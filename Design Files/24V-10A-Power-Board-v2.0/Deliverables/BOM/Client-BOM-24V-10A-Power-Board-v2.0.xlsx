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24V-10A-Power-Board-v2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13" i="1" l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<sst xmlns="http://schemas.openxmlformats.org/spreadsheetml/2006/main" count="776" uniqueCount="479">
  <si>
    <t>#</t>
  </si>
  <si>
    <t>Item Type</t>
  </si>
  <si>
    <t>Capacitors</t>
  </si>
  <si>
    <t>Suppression Capacitor</t>
  </si>
  <si>
    <t>Film Capacitors</t>
  </si>
  <si>
    <t>Capacitor</t>
  </si>
  <si>
    <t>Diode</t>
  </si>
  <si>
    <t>Fuses</t>
  </si>
  <si>
    <t>Terminal Block</t>
  </si>
  <si>
    <t>Inductors</t>
  </si>
  <si>
    <t>MOSFETs</t>
  </si>
  <si>
    <t>BJTs</t>
  </si>
  <si>
    <t>Mosfet</t>
  </si>
  <si>
    <t>Resistor</t>
  </si>
  <si>
    <t>Resistors</t>
  </si>
  <si>
    <t>Thermistors</t>
  </si>
  <si>
    <t>Inductor</t>
  </si>
  <si>
    <t>Common Mode Chokes</t>
  </si>
  <si>
    <t>Transformer</t>
  </si>
  <si>
    <t>IC</t>
  </si>
  <si>
    <t>Optocouplers</t>
  </si>
  <si>
    <t>Varistors</t>
  </si>
  <si>
    <t>Designator</t>
  </si>
  <si>
    <t>C1, C11, C24, C34, C47, C57, C70, C80</t>
  </si>
  <si>
    <t>C2, C3, C9, C10, C25, C26, C32, C33, C48, C49, C55, C56, C71, C72, C78, C79</t>
  </si>
  <si>
    <t>C4, C27, C50, C73</t>
  </si>
  <si>
    <t>C5, C28, C51, C74</t>
  </si>
  <si>
    <t>C6, C29, C52, C75</t>
  </si>
  <si>
    <t>C7, C8, C30, C31, C53, C54, C76, C77</t>
  </si>
  <si>
    <t>C12, C35, C58, C81</t>
  </si>
  <si>
    <t>C13, C36, C59, C82</t>
  </si>
  <si>
    <t>C14, C37, C60, C83</t>
  </si>
  <si>
    <t>C15, C38, C61, C84</t>
  </si>
  <si>
    <t>C16, C39, C62, C85</t>
  </si>
  <si>
    <t>C17, C40, C63, C86</t>
  </si>
  <si>
    <t>C18, C41, C64, C87</t>
  </si>
  <si>
    <t>C19, C42, C65, C88</t>
  </si>
  <si>
    <t>C20, C43, C66, C89</t>
  </si>
  <si>
    <t>C21, C44, C67, C90</t>
  </si>
  <si>
    <t>C22, C45, C68, C91</t>
  </si>
  <si>
    <t>C23, C46, C69, C92</t>
  </si>
  <si>
    <t>C93, C128, C163, C198</t>
  </si>
  <si>
    <t>C94, C102, C129, C137, C164, C172, C199, C207</t>
  </si>
  <si>
    <t>C95, C96, C107, C108, C130, C131, C142, C143, C165, C166, C177, C178, C200, C201, C212, C213</t>
  </si>
  <si>
    <t>C97, C98, C99, C100, C132, C133, C134, C135, C167, C168, C169, C170, C202, C203, C204, C205</t>
  </si>
  <si>
    <t>C101, C110, C112, C136, C145, C147, C171, C180, C182, C206, C215, C217</t>
  </si>
  <si>
    <t>C103, C138, C173, C208</t>
  </si>
  <si>
    <t>C104, C139, C174, C209</t>
  </si>
  <si>
    <t>C105, C140, C175, C210</t>
  </si>
  <si>
    <t>C106, C141, C176, C211</t>
  </si>
  <si>
    <t>C109, C111, C144, C146, C179, C181, C214, C216</t>
  </si>
  <si>
    <t>C113, C148, C183, C218</t>
  </si>
  <si>
    <t>C114, C115, C116, C149, C150, C151, C184, C185, C186, C219, C220, C221</t>
  </si>
  <si>
    <t>C117, C152, C187, C222</t>
  </si>
  <si>
    <t>C118, C153, C188, C223</t>
  </si>
  <si>
    <t>C119, C154, C189, C224</t>
  </si>
  <si>
    <t>C120, C155, C190, C225</t>
  </si>
  <si>
    <t>C121, C156, C191, C226</t>
  </si>
  <si>
    <t>C122, C157, C192, C227</t>
  </si>
  <si>
    <t>C123, C158, C193, C228</t>
  </si>
  <si>
    <t>C124, C159, C194, C229</t>
  </si>
  <si>
    <t>C125, C160, C195, C230</t>
  </si>
  <si>
    <t>C126, C161, C196, C231</t>
  </si>
  <si>
    <t>C127, C162, C197, C232</t>
  </si>
  <si>
    <t>D1, D8, D15, D22</t>
  </si>
  <si>
    <t>D2, D3, D9, D10, D16, D17, D23, D24</t>
  </si>
  <si>
    <t>D4, D11, D18, D25</t>
  </si>
  <si>
    <t>D5, D7, D12, D14, D19, D21, D26, D28, D29, D31, D35, D37, D41, D43, D47, D49</t>
  </si>
  <si>
    <t>D6, D13, D20, D27</t>
  </si>
  <si>
    <t>D30, D36, D42, D48</t>
  </si>
  <si>
    <t>D32, D38, D44, D50</t>
  </si>
  <si>
    <t>D33, D39, D45, D51</t>
  </si>
  <si>
    <t>D34, D40, D46, D52</t>
  </si>
  <si>
    <t>F1</t>
  </si>
  <si>
    <t>F2, F3, F4</t>
  </si>
  <si>
    <t>J1, J2, J3, J4, J5</t>
  </si>
  <si>
    <t>L1, L3, L5, L7</t>
  </si>
  <si>
    <t>L2, L4, L6, L8</t>
  </si>
  <si>
    <t>Q1, Q5, Q9, Q13</t>
  </si>
  <si>
    <t>Q2, Q6, Q10, Q14</t>
  </si>
  <si>
    <t>Q3, Q7, Q11, Q15</t>
  </si>
  <si>
    <t>Q4, Q8, Q12, Q16</t>
  </si>
  <si>
    <t>Q17, Q19, Q20, Q22, Q23, Q25, Q26, Q28</t>
  </si>
  <si>
    <t>Q18, Q21, Q24, Q27</t>
  </si>
  <si>
    <t>R1, R4, R27, R30, R53, R56, R79, R82</t>
  </si>
  <si>
    <t>R2, R28, R54, R80</t>
  </si>
  <si>
    <t>R3, R6, R7, R10, R29, R32, R33, R36, R55, R58, R59, R62, R81, R84, R85, R88</t>
  </si>
  <si>
    <t>R5, R31, R57, R83, R105, R110, R135, R140, R165, R170, R195, R200</t>
  </si>
  <si>
    <t>R8, R34, R60, R86</t>
  </si>
  <si>
    <t>R9, R35, R61, R87</t>
  </si>
  <si>
    <t>R11, R37, R63, R89</t>
  </si>
  <si>
    <t>R12, R38, R64, R90</t>
  </si>
  <si>
    <t>R13, R39, R65, R91</t>
  </si>
  <si>
    <t>R14, R40, R66, R92</t>
  </si>
  <si>
    <t>R15, R41, R67, R93</t>
  </si>
  <si>
    <t>R16, R42, R68, R94</t>
  </si>
  <si>
    <t>R17, R25, R43, R51, R69, R77, R95, R103</t>
  </si>
  <si>
    <t>R18, R19, R44, R45, R70, R71, R96, R97</t>
  </si>
  <si>
    <t>R20, R46, R72, R98</t>
  </si>
  <si>
    <t>R21, R22, R47, R48, R73, R74, R99, R100</t>
  </si>
  <si>
    <t>R23, R24, R49, R50, R75, R76, R101, R102</t>
  </si>
  <si>
    <t>R26, R52, R78, R104</t>
  </si>
  <si>
    <t>R106, R111, R136, R141, R166, R171, R196, R201</t>
  </si>
  <si>
    <t>R107, R137, R167, R197</t>
  </si>
  <si>
    <t>R108, R138, R168, R198</t>
  </si>
  <si>
    <t>R109, R139, R169, R199</t>
  </si>
  <si>
    <t>R112, R142, R172, R202</t>
  </si>
  <si>
    <t>R113, R143, R173, R203</t>
  </si>
  <si>
    <t>R114, R144, R174, R204</t>
  </si>
  <si>
    <t>R115, R116, R145, R146, R175, R176, R205, R206</t>
  </si>
  <si>
    <t>R117, R118, R119, R147, R148, R149, R177, R178, R179, R207, R208, R209</t>
  </si>
  <si>
    <t>R120, R150, R180, R210</t>
  </si>
  <si>
    <t>R121, R122, R124, R151, R152, R154, R181, R182, R184, R211, R212, R214</t>
  </si>
  <si>
    <t>R123, R153, R183, R213</t>
  </si>
  <si>
    <t>R125, R155, R185, R215</t>
  </si>
  <si>
    <t>R126, R156, R186, R216</t>
  </si>
  <si>
    <t>R127, R157, R187, R217</t>
  </si>
  <si>
    <t>R128, R158, R188, R218</t>
  </si>
  <si>
    <t>R129, R159, R189, R219</t>
  </si>
  <si>
    <t>R130, R131, R160, R161, R190, R191, R220, R221</t>
  </si>
  <si>
    <t>R132, R162, R192, R222</t>
  </si>
  <si>
    <t>R133, R163, R193, R223</t>
  </si>
  <si>
    <t>R134, R164, R194, R224</t>
  </si>
  <si>
    <t>RT1, RT2, RT3, RT4</t>
  </si>
  <si>
    <t>T1, T3, T5, T7</t>
  </si>
  <si>
    <t>T2, T4, T6, T8</t>
  </si>
  <si>
    <t>T9, T10, T11, T12</t>
  </si>
  <si>
    <t>U1, U2, U3, U4</t>
  </si>
  <si>
    <t>U5, U6, U12, U13, U19, U20, U26, U27</t>
  </si>
  <si>
    <t>U7, U8, U14, U15, U21, U22, U28, U29</t>
  </si>
  <si>
    <t>U9, U16, U23, U30</t>
  </si>
  <si>
    <t>U10, U17, U24, U31</t>
  </si>
  <si>
    <t>U11, U18, U25, U32</t>
  </si>
  <si>
    <t>VR1, VR2, VR3, VR4</t>
  </si>
  <si>
    <t>Description</t>
  </si>
  <si>
    <t>CAP CER 100PF 250V RADIAL</t>
  </si>
  <si>
    <t>CAP CER 220PF 250V RADIAL</t>
  </si>
  <si>
    <t>CAP FILM 0.47UF 5% 450VDC RADIAL</t>
  </si>
  <si>
    <t>1uF -40℃~+105℃ ±5% 450V Plugin,P=10mm Polypropylene Film Capacitors (CBB) ROHS</t>
  </si>
  <si>
    <t>220nF ±10% X2 275V Plugin,P=10mm Suppression Capacitors ROHS</t>
  </si>
  <si>
    <t>CAP FILM 0.47UF 10% 275VAC RAD</t>
  </si>
  <si>
    <t>20% 900mA@120Hz 10mm 450V 150uF Plugin,D25xL30mm Horn-Type Electrolytic Capacitors ROHS</t>
  </si>
  <si>
    <t>CAP CER 0.1UF 50V X7R 0603</t>
  </si>
  <si>
    <t>CAP CER 10PF 1KV C0G/NPO 1206</t>
  </si>
  <si>
    <t>CAP CER 3900PF 25V X7R 0603</t>
  </si>
  <si>
    <t>CAP CER 560PF 50V C0G/NP0 0603</t>
  </si>
  <si>
    <t>CAP CER 0.47UF 25V X7R 1206</t>
  </si>
  <si>
    <t>CAP CER 0.068UF 50V X7R 0603</t>
  </si>
  <si>
    <t>CAP CER 0.22UF 16V X7R 0603</t>
  </si>
  <si>
    <t>CAP CER 0.47UF 50V X7R 1206</t>
  </si>
  <si>
    <t>CAP ALUM POLY 10UF 20% 50V SMD</t>
  </si>
  <si>
    <t>CAP CER 1000PF 100V X7R 0603</t>
  </si>
  <si>
    <t>CAP CER 10PF 50V C0G/NP0 0603</t>
  </si>
  <si>
    <t>2200 pF ±20% 250VAC Ceramic Capacitor E Radial, Disc</t>
  </si>
  <si>
    <t>22nF -40℃~+100℃ ±5% 630V Plugin,P=7.5mm Polypropylene Film Capacitors (CBB) ROHS</t>
  </si>
  <si>
    <t>CAP CER 4.7UF 50V X7R 1206</t>
  </si>
  <si>
    <t>CAP ALUM 680UF 20% 35V RADIAL TH</t>
  </si>
  <si>
    <t>CAP CER 0.1UF 50V X7R 1206</t>
  </si>
  <si>
    <t>CAP CER 150PF 630V C0G/NP0 1206</t>
  </si>
  <si>
    <t>CAP CER 100PF 1KV 5% NP0 1206</t>
  </si>
  <si>
    <t>CAP ALUM 470UF 20% 35V RADIAL</t>
  </si>
  <si>
    <t>CAP CER 2.2UF 50V X5R 1206</t>
  </si>
  <si>
    <t>CAP CER 2.2UF 25V X5R 0603</t>
  </si>
  <si>
    <t>CAP CER 2.2UF 16V X7R 1206</t>
  </si>
  <si>
    <t>CAP CER 4.7UF 16V X5R 0603</t>
  </si>
  <si>
    <t>CAP CER 10000PF 50V C0G/NP0 0603</t>
  </si>
  <si>
    <t>330uF 35V ±20% 860mA@100kHz Plugin,D8xL14mm Aluminum Electrolytic Capacitors - Leaded ROHS</t>
  </si>
  <si>
    <t>CAP, 2.2µF, 35V, 10%, X5R, 0603</t>
  </si>
  <si>
    <t>CAP CER 1UF 100V X7R 1206</t>
  </si>
  <si>
    <t>50V 220pF X7R ±10% 0603 Multilayer Ceramic Capacitors MLCC - SMD/SMT ROHS</t>
  </si>
  <si>
    <t>CAP CER 10000PF 100V X7R 0603</t>
  </si>
  <si>
    <t>CAP CER 47PF 50V C0G/NP0 0402</t>
  </si>
  <si>
    <t>CAP CER 0.082UF 50V X7R 0603</t>
  </si>
  <si>
    <t>CAP CER 4700PF 100V X7R 0603</t>
  </si>
  <si>
    <t>CAP CER 470PF 50V X7R 0603</t>
  </si>
  <si>
    <t>CAP CER 47PF 50V NPO 0603</t>
  </si>
  <si>
    <t>BRIDGE RECT 1PHASE 600V 8A GBU</t>
  </si>
  <si>
    <t>DIODE GEN PURP 600V 1A SMA</t>
  </si>
  <si>
    <t>DIODE GEN PURP 600V 8A TO220FPAC</t>
  </si>
  <si>
    <t>100V 1V@10mA 4ns 200mA SOD-323 Switching Diodes ROHS</t>
  </si>
  <si>
    <t>100V 400mW Single 1.25V@150mA 8ns 300mA SOD-123 Switching Diode ROHS</t>
  </si>
  <si>
    <t>DIODE SCHOTTKY 60V 1A SMB</t>
  </si>
  <si>
    <t>19V~21V 200mW 20V SOD-323-2 Zener Diodes ROHS</t>
  </si>
  <si>
    <t>DIODE GEN PURP 600V 1A DO214AD</t>
  </si>
  <si>
    <t>DIODE GEN PURP 100V 300MA SOD123</t>
  </si>
  <si>
    <t>FUSE BOARD MNT 5A 250VAC RADIAL</t>
  </si>
  <si>
    <t>1x3P 18A -40℃~+105℃ 250V Orange 12~30 Direct Insert 5.08mm 2.5 1 3 Plugin,P=5.08mm Screw Terminal Blocks ROHS</t>
  </si>
  <si>
    <t>FIXED IND 100UH 2A 80 MOHM TH</t>
  </si>
  <si>
    <t>FIXED IND 118UH 13.9A 0.022OHM</t>
  </si>
  <si>
    <t>MOSFET N-CH 600V 20A D2PAK</t>
  </si>
  <si>
    <t>MOSFET N-CH 600V 22A TO220-3</t>
  </si>
  <si>
    <t>MOSFET P-CH 60V 1.6A SOT23-3</t>
  </si>
  <si>
    <t>TRANS NPN 40V 0.6A SOT23-3</t>
  </si>
  <si>
    <t>MOSFET N-CH 80V 100A 8VSON</t>
  </si>
  <si>
    <t>TRANS NPN 60V 3A SOT223-3</t>
  </si>
  <si>
    <t>RES 3.09M OHM 1% 1/4W 1206</t>
  </si>
  <si>
    <t>RES 1M OHM 1% 1/8W 0805</t>
  </si>
  <si>
    <t>RES 3.3M OHM 1% 1/4W 1206</t>
  </si>
  <si>
    <t>RES SMD 10 OHM 1% 1/10W 0603</t>
  </si>
  <si>
    <t>RES SMD 1 OHM 1% 1/10W 0603</t>
  </si>
  <si>
    <t>RES 82.5K OHM 1% 1/10W 0603</t>
  </si>
  <si>
    <t>RES 36.5K OHM 1% 1/10W 0603</t>
  </si>
  <si>
    <t>RES 120K OHM 1% 1/10W 0603</t>
  </si>
  <si>
    <t>RES 3K OHM 1% 1/10W 0603</t>
  </si>
  <si>
    <t>RES SMD 10 OHM 1% 1/2W 0805</t>
  </si>
  <si>
    <t>RES 24.3K OHM 1% 1/10W 0603</t>
  </si>
  <si>
    <t>RES SMD 100K OHM 1% 1/10W 0603</t>
  </si>
  <si>
    <t>RES 390K OHM 1% 1/10W 0603</t>
  </si>
  <si>
    <t>RES 75K OHM 1% 1/10W 0603</t>
  </si>
  <si>
    <t>RES 140K OHM 1% 1/10W 0603</t>
  </si>
  <si>
    <t>500mW Thick Film Resistors ±100ppm/℃ ±1% 130mΩ 1206 Chip Resistor - Surface Mount ROHS</t>
  </si>
  <si>
    <t>RES 0.15 OHM 1% 1/2W 1206</t>
  </si>
  <si>
    <t>RES 49.9K OHM 1% 1/10W 0603</t>
  </si>
  <si>
    <t>RES 10K OHM 1% 1/4W 0805</t>
  </si>
  <si>
    <t>RES SMD 0 OHM JUMPER 1/4W 1206</t>
  </si>
  <si>
    <t>RES SMD 26.1K OHM 1% 1/5W 0603</t>
  </si>
  <si>
    <t>RES SMD 7.15K OHM 1% 1/10W 0603</t>
  </si>
  <si>
    <t>RES SMD 5.6K OHM 1% 1/8W 0805</t>
  </si>
  <si>
    <t>RES 10K OHM 1% 1/10W 0603</t>
  </si>
  <si>
    <t>RES SMD 4.99K OHM 1% 1/10W 0603</t>
  </si>
  <si>
    <t>RES 0 OHM JUMPER 1/16W 0402</t>
  </si>
  <si>
    <t>RES 1.65K OHM 1% 1/4W 1206</t>
  </si>
  <si>
    <t>RES 2.2 OHM 1% 1/10W 0603</t>
  </si>
  <si>
    <t>RES 4.99M OHM 1% 1/4W 1206</t>
  </si>
  <si>
    <t>RES 274K OHM 1% 1/10W 0603</t>
  </si>
  <si>
    <t>RES SMD 100 OHM 1% 1/10W 0603</t>
  </si>
  <si>
    <t>RES SMD 301K OHM 0.1% 1/10W 0603</t>
  </si>
  <si>
    <t>RES SMD 37.4K OHM 1% 1/10W 0603</t>
  </si>
  <si>
    <t>RES SMD 44.2K OHM 1% 1/10W 0603</t>
  </si>
  <si>
    <t>RES 0 OHM JUMPER 1/10W 0603</t>
  </si>
  <si>
    <t>RES SMD 324K OHM 1% 1/10W 0603</t>
  </si>
  <si>
    <t>RES SMD 20 OHM 1% 1/10W 0603</t>
  </si>
  <si>
    <t>RES 20K OHM 1% 1/4W 1206</t>
  </si>
  <si>
    <t>RES SMD 12.4K OHM 1% 1/10W 0603</t>
  </si>
  <si>
    <t>ICL 10 OHM 20% 3.5A 11.5MM</t>
  </si>
  <si>
    <t>CMC 1MH 3A 2LN TH</t>
  </si>
  <si>
    <t>CMC 10MH 3A 2LN TH</t>
  </si>
  <si>
    <t>XFMR RES CONV AC/DC 400UH TH</t>
  </si>
  <si>
    <t>IC PFC CTRLR TRANSITION SOT23-6</t>
  </si>
  <si>
    <t>MOSFET N-CH 650V 22.4A D2PAK</t>
  </si>
  <si>
    <t>SYNC RECTIFIER FLYBACK</t>
  </si>
  <si>
    <t>HALF BRIDGE CONT WITH HV DRIVER</t>
  </si>
  <si>
    <t>IC VREF SHUNT ADJ 1% SOT23-3</t>
  </si>
  <si>
    <t>Optocoupler DC-IN 1-CH Transistor DC-OUT 4-Pin PDIP</t>
  </si>
  <si>
    <t>VARISTOR 430V 3.5KA DISC 10MM</t>
  </si>
  <si>
    <t>Footprint</t>
  </si>
  <si>
    <t>DE1B3RA101KN4AN01F</t>
  </si>
  <si>
    <t>DE1B3RA221KN4AN01F</t>
  </si>
  <si>
    <t>450MPK474J</t>
  </si>
  <si>
    <t>MPP105J2W10KN22605</t>
  </si>
  <si>
    <t>X2P2224KN1B0130150080ES0</t>
  </si>
  <si>
    <t>KN151M45025*30A</t>
  </si>
  <si>
    <t>Cap-0603</t>
  </si>
  <si>
    <t>Cap-1206</t>
  </si>
  <si>
    <t>50SVPF10M</t>
  </si>
  <si>
    <t>DE1E3RA222MA4BN01F</t>
  </si>
  <si>
    <t>KP223J2J0701</t>
  </si>
  <si>
    <t>EEU-FR1V681B</t>
  </si>
  <si>
    <t>CAP-0603</t>
  </si>
  <si>
    <t>RC035M331LO8*14TH-2A1E</t>
  </si>
  <si>
    <t>Cap-0402</t>
  </si>
  <si>
    <t>GBU</t>
  </si>
  <si>
    <t>SMA</t>
  </si>
  <si>
    <t>TO-220-2</t>
  </si>
  <si>
    <t>SOD-323</t>
  </si>
  <si>
    <t>SOD-123</t>
  </si>
  <si>
    <t>SMB_</t>
  </si>
  <si>
    <t>DO-214AD (SMAF)</t>
  </si>
  <si>
    <t>DB128L-5.08-3P-OG-S</t>
  </si>
  <si>
    <t>TO-263</t>
  </si>
  <si>
    <t>TO-220-3</t>
  </si>
  <si>
    <t>SOT-23</t>
  </si>
  <si>
    <t>VSON-CLIP-8(6x5)</t>
  </si>
  <si>
    <t>SOT- 223</t>
  </si>
  <si>
    <t>Res-1206</t>
  </si>
  <si>
    <t>RES-0805</t>
  </si>
  <si>
    <t>Res-0603</t>
  </si>
  <si>
    <t>Res-0402</t>
  </si>
  <si>
    <t>res-0603</t>
  </si>
  <si>
    <t>B57236S0100M000</t>
  </si>
  <si>
    <t>SOT-23-6</t>
  </si>
  <si>
    <t>SOT-23-5</t>
  </si>
  <si>
    <t>UCC256404DDBR</t>
  </si>
  <si>
    <t>DIP-4</t>
  </si>
  <si>
    <t>B72210S2271K101</t>
  </si>
  <si>
    <t>Manufacturer Part Number</t>
  </si>
  <si>
    <t>CC1206JKNPOCBN100</t>
  </si>
  <si>
    <t>CC0603KRX7R8BB392</t>
  </si>
  <si>
    <t>06035A561JAT2A</t>
  </si>
  <si>
    <t>12063C474KAT2A</t>
  </si>
  <si>
    <t>CC0603KRX7R9BB683</t>
  </si>
  <si>
    <t>CC0603KRX7R7BB224</t>
  </si>
  <si>
    <t>CC1206KKX7R9BB474</t>
  </si>
  <si>
    <t>06031C102KAT2A</t>
  </si>
  <si>
    <t>06035A100JAT2A/4K</t>
  </si>
  <si>
    <t>UMK316AB7475KL-T</t>
  </si>
  <si>
    <t>CC1206KRX7R9BB104</t>
  </si>
  <si>
    <t>GRM31A5C2J151JW01D</t>
  </si>
  <si>
    <t>GRM31A5C3A101JW01D</t>
  </si>
  <si>
    <t>EEU-FR1V471B</t>
  </si>
  <si>
    <t>CC1206KKX5R9BB225</t>
  </si>
  <si>
    <t>CC0603KRX5R8BB225</t>
  </si>
  <si>
    <t>CC1206KKX7R7BB225</t>
  </si>
  <si>
    <t>CC0603KRX5R7BB475</t>
  </si>
  <si>
    <t>GRM1885C1H103JA01D</t>
  </si>
  <si>
    <t>GRM188R6YA225KA12D</t>
  </si>
  <si>
    <t>GRM31CR72A105KA01K</t>
  </si>
  <si>
    <t>CS1608X7R221K500NRB</t>
  </si>
  <si>
    <t>06031C103KAT2A</t>
  </si>
  <si>
    <t>GCM1555C1H470FA16D</t>
  </si>
  <si>
    <t>CC0603KRX7R9BB823</t>
  </si>
  <si>
    <t>CC0603KRX7R0BB472</t>
  </si>
  <si>
    <t>CC0603KPX7R9BB471</t>
  </si>
  <si>
    <t>CC0603FRNPO9BN470</t>
  </si>
  <si>
    <t>GBU806</t>
  </si>
  <si>
    <t>MURA160T3G</t>
  </si>
  <si>
    <t>STTH8L06FP</t>
  </si>
  <si>
    <t>MMDL914-TP</t>
  </si>
  <si>
    <t>1N4148W</t>
  </si>
  <si>
    <t>STPS160UY</t>
  </si>
  <si>
    <t>MMSZ5250BS-7-F</t>
  </si>
  <si>
    <t>ES1JAF</t>
  </si>
  <si>
    <t>1N4148W-7-F</t>
  </si>
  <si>
    <t>STB26NM60N</t>
  </si>
  <si>
    <t>IPP60R099C7XKSA1</t>
  </si>
  <si>
    <t>SI2309CDS-T1-E3</t>
  </si>
  <si>
    <t>MMBT4401-7-F</t>
  </si>
  <si>
    <t>CSD19502Q5B</t>
  </si>
  <si>
    <t>FZT651TA</t>
  </si>
  <si>
    <t>RC1206FR-073M09L</t>
  </si>
  <si>
    <t>RC0805FR-071ML</t>
  </si>
  <si>
    <t>RC1206FR-073M3L</t>
  </si>
  <si>
    <t>CRCW060310R0FKEA</t>
  </si>
  <si>
    <t>CRCW06031R00FKEA</t>
  </si>
  <si>
    <t>RC0603FR-0782K5L</t>
  </si>
  <si>
    <t>RC0603FR-0736K5L</t>
  </si>
  <si>
    <t>RC0603FR-07120KL</t>
  </si>
  <si>
    <t>RC0603FR-073KL</t>
  </si>
  <si>
    <t>CRCW080510R0FKEAHP</t>
  </si>
  <si>
    <t>RC0603FR-0724K3L</t>
  </si>
  <si>
    <t>RC0603FR-07390KL</t>
  </si>
  <si>
    <t>RC0603FR-0775KL</t>
  </si>
  <si>
    <t>RC0603FR-07140KL</t>
  </si>
  <si>
    <t>CSR1206FTR130</t>
  </si>
  <si>
    <t>RL1206FR-7W0R15L</t>
  </si>
  <si>
    <t>RC0603FR-0749K9L</t>
  </si>
  <si>
    <t>RC0805FR-7W10KL</t>
  </si>
  <si>
    <t>CRCW12060000Z0EA</t>
  </si>
  <si>
    <t>CRGH0603F26K1</t>
  </si>
  <si>
    <t>CRCW06037K15FKEA</t>
  </si>
  <si>
    <t>CRCW08055K60FKEA</t>
  </si>
  <si>
    <t>CR0603-FX-4991ELF</t>
  </si>
  <si>
    <t>RC0402FR-070RL</t>
  </si>
  <si>
    <t>RC1206FR-071K65L</t>
  </si>
  <si>
    <t>RC0603FR-072R2L</t>
  </si>
  <si>
    <t>RC1206FR-074M99L</t>
  </si>
  <si>
    <t>RC0603FR-07274KL</t>
  </si>
  <si>
    <t>CRCW0603100RFKEA</t>
  </si>
  <si>
    <t>RT0603BRE07301KL</t>
  </si>
  <si>
    <t>CRCW060337K4FKEA</t>
  </si>
  <si>
    <t>CRCW060344K2FKEA</t>
  </si>
  <si>
    <t>RC0603JR-070RL</t>
  </si>
  <si>
    <t>AC0603FR-07324KL</t>
  </si>
  <si>
    <t>CRCW060320R0FKEA</t>
  </si>
  <si>
    <t>RC1206FR-0720KL</t>
  </si>
  <si>
    <t>CRCW060312K4FKEA</t>
  </si>
  <si>
    <t>UCC28056DBVT</t>
  </si>
  <si>
    <t>IPB65R150CFDA</t>
  </si>
  <si>
    <t>UCC24612-2DBVR</t>
  </si>
  <si>
    <t>ATL432LIAQDBZRQ1</t>
  </si>
  <si>
    <t>VO618A-3</t>
  </si>
  <si>
    <t>Manufacturer</t>
  </si>
  <si>
    <t>Murata</t>
  </si>
  <si>
    <t>Rubycon</t>
  </si>
  <si>
    <t>KNSCHA</t>
  </si>
  <si>
    <t>STE</t>
  </si>
  <si>
    <t>Wurth Electronics</t>
  </si>
  <si>
    <t>KFSON</t>
  </si>
  <si>
    <t>Yageo</t>
  </si>
  <si>
    <t>Kyocera AVX</t>
  </si>
  <si>
    <t>Panasonic</t>
  </si>
  <si>
    <t>KYET</t>
  </si>
  <si>
    <t>Taiyo Yuden</t>
  </si>
  <si>
    <t>BERYL Electronic Tech</t>
  </si>
  <si>
    <t>Samwha Capacitors</t>
  </si>
  <si>
    <t>Diodes</t>
  </si>
  <si>
    <t>ON Semiconductor</t>
  </si>
  <si>
    <t>STMicroelectronics</t>
  </si>
  <si>
    <t>MCC</t>
  </si>
  <si>
    <t>JSMSEMI</t>
  </si>
  <si>
    <t>ON Semiconductor / Fairchild</t>
  </si>
  <si>
    <t>Littelfuse Wickmann</t>
  </si>
  <si>
    <t>DORABO</t>
  </si>
  <si>
    <t>Infineon</t>
  </si>
  <si>
    <t>Vishay Siliconix</t>
  </si>
  <si>
    <t>Texas Instruments</t>
  </si>
  <si>
    <t>Diodes Zetex</t>
  </si>
  <si>
    <t>Vishay</t>
  </si>
  <si>
    <t>Vishay Dale</t>
  </si>
  <si>
    <t>YAGEO</t>
  </si>
  <si>
    <t>SEI(Stackpole Elec)</t>
  </si>
  <si>
    <t>TE Connectivity</t>
  </si>
  <si>
    <t>Bourns</t>
  </si>
  <si>
    <t>TDK EPCOS</t>
  </si>
  <si>
    <t>Vishay Semiconductors</t>
  </si>
  <si>
    <t>100pF</t>
  </si>
  <si>
    <t>220pF</t>
  </si>
  <si>
    <t>470nF</t>
  </si>
  <si>
    <t>220nF</t>
  </si>
  <si>
    <t>0.47UF</t>
  </si>
  <si>
    <t>150uF</t>
  </si>
  <si>
    <t>0.1uF</t>
  </si>
  <si>
    <t>10pF</t>
  </si>
  <si>
    <t>3.9nF</t>
  </si>
  <si>
    <t>560pF</t>
  </si>
  <si>
    <t>68nF</t>
  </si>
  <si>
    <t>0.22uF</t>
  </si>
  <si>
    <t>0.47uF</t>
  </si>
  <si>
    <t>10uF</t>
  </si>
  <si>
    <t>2.2nF</t>
  </si>
  <si>
    <t>4.7uF</t>
  </si>
  <si>
    <t>680uF</t>
  </si>
  <si>
    <t>150pF</t>
  </si>
  <si>
    <t>470uF</t>
  </si>
  <si>
    <t>2.2uF</t>
  </si>
  <si>
    <t>0.01uF</t>
  </si>
  <si>
    <t>330uF</t>
  </si>
  <si>
    <t>1uF</t>
  </si>
  <si>
    <t>10nF</t>
  </si>
  <si>
    <t>47pF</t>
  </si>
  <si>
    <t>82nF</t>
  </si>
  <si>
    <t>4.7nF</t>
  </si>
  <si>
    <t>470pF</t>
  </si>
  <si>
    <t>100uH</t>
  </si>
  <si>
    <t>118uH</t>
  </si>
  <si>
    <t>3.09MR</t>
  </si>
  <si>
    <t>1M</t>
  </si>
  <si>
    <t>3.3MR</t>
  </si>
  <si>
    <t>10R</t>
  </si>
  <si>
    <t>1R</t>
  </si>
  <si>
    <t>82.5K</t>
  </si>
  <si>
    <t>36.5K</t>
  </si>
  <si>
    <t>120K</t>
  </si>
  <si>
    <t>3K</t>
  </si>
  <si>
    <t>24.3K</t>
  </si>
  <si>
    <t>100K</t>
  </si>
  <si>
    <t>390K</t>
  </si>
  <si>
    <t>75K</t>
  </si>
  <si>
    <t>140K</t>
  </si>
  <si>
    <t>130mR</t>
  </si>
  <si>
    <t>150mR</t>
  </si>
  <si>
    <t>49K9</t>
  </si>
  <si>
    <t>10K</t>
  </si>
  <si>
    <t>0R</t>
  </si>
  <si>
    <t>26.1K</t>
  </si>
  <si>
    <t>7.15K</t>
  </si>
  <si>
    <t>5.6K</t>
  </si>
  <si>
    <t>4.99K</t>
  </si>
  <si>
    <t>1.65K</t>
  </si>
  <si>
    <t>2.2R</t>
  </si>
  <si>
    <t>4.99MR</t>
  </si>
  <si>
    <t>274K</t>
  </si>
  <si>
    <t>100R</t>
  </si>
  <si>
    <t>301K</t>
  </si>
  <si>
    <t>37.4K</t>
  </si>
  <si>
    <t>44.2K</t>
  </si>
  <si>
    <t>324K</t>
  </si>
  <si>
    <t>20R</t>
  </si>
  <si>
    <t>20K</t>
  </si>
  <si>
    <t>12.4K</t>
  </si>
  <si>
    <t>Quantity</t>
  </si>
  <si>
    <t>Value</t>
  </si>
  <si>
    <t>Remarks</t>
  </si>
  <si>
    <t>CL10B104KB8WPNC</t>
  </si>
  <si>
    <t>Samsung</t>
  </si>
  <si>
    <t>-</t>
  </si>
  <si>
    <t>Custom</t>
  </si>
  <si>
    <t>RK73G1JTTD1002F</t>
  </si>
  <si>
    <t>CRCW0603100KFKEA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</si>
</sst>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13"/>
  <sheetViews>
    <sheetView tabSelected="1" workbookViewId="0">
      <selection activeCell="N12" sqref="N12"/>
    </sheetView>
  </sheetViews>
  <sheetFormatPr defaultRowHeight="15" x14ac:dyDescent="0.25"/>
  <cols>
    <col min="2" max="2" width="4" style="4" bestFit="1" customWidth="1"/>
    <col min="3" max="3" width="18.7109375" style="4" bestFit="1" customWidth="1"/>
    <col min="4" max="4" width="36" bestFit="1" customWidth="1"/>
    <col min="5" max="5" width="30" customWidth="1"/>
    <col min="6" max="6" width="14.42578125" bestFit="1" customWidth="1"/>
    <col min="7" max="7" width="25.28515625" bestFit="1" customWidth="1"/>
    <col min="8" max="8" width="19.140625" bestFit="1" customWidth="1"/>
    <col min="9" max="9" width="6.425781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22</v>
      </c>
      <c r="E2" s="6" t="s">
        <v>134</v>
      </c>
      <c r="F2" s="5" t="s">
        <v>245</v>
      </c>
      <c r="G2" s="6" t="s">
        <v>285</v>
      </c>
      <c r="H2" s="5" t="s">
        <v>371</v>
      </c>
      <c r="I2" s="6" t="s">
        <v>471</v>
      </c>
      <c r="J2" s="5" t="s">
        <v>470</v>
      </c>
      <c r="K2" s="5" t="s">
        <v>472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23</v>
      </c>
      <c r="E3" s="8" t="s">
        <v>135</v>
      </c>
      <c r="F3" s="9" t="s">
        <v>476</v>
      </c>
      <c r="G3" s="8" t="s">
        <v>246</v>
      </c>
      <c r="H3" s="7" t="s">
        <v>372</v>
      </c>
      <c r="I3" s="8" t="s">
        <v>405</v>
      </c>
      <c r="J3" s="7">
        <v>8</v>
      </c>
      <c r="K3" s="7"/>
    </row>
    <row r="4" spans="1:11" ht="24.75" thickBot="1" x14ac:dyDescent="0.3">
      <c r="A4" s="1"/>
      <c r="B4" s="11">
        <f t="shared" ref="B4:B112" si="0">ROW(B4) - ROW($B$2)</f>
        <v>2</v>
      </c>
      <c r="C4" s="13" t="s">
        <v>3</v>
      </c>
      <c r="D4" s="9" t="s">
        <v>24</v>
      </c>
      <c r="E4" s="10" t="s">
        <v>136</v>
      </c>
      <c r="F4" s="9" t="s">
        <v>476</v>
      </c>
      <c r="G4" s="10" t="s">
        <v>247</v>
      </c>
      <c r="H4" s="9" t="s">
        <v>372</v>
      </c>
      <c r="I4" s="10" t="s">
        <v>406</v>
      </c>
      <c r="J4" s="9">
        <v>16</v>
      </c>
      <c r="K4" s="9"/>
    </row>
    <row r="5" spans="1:11" ht="15.75" thickBot="1" x14ac:dyDescent="0.3">
      <c r="A5" s="1"/>
      <c r="B5" s="11">
        <f>ROW(B5) - ROW($B$2)</f>
        <v>3</v>
      </c>
      <c r="C5" s="12" t="s">
        <v>4</v>
      </c>
      <c r="D5" s="7" t="s">
        <v>25</v>
      </c>
      <c r="E5" s="8" t="s">
        <v>137</v>
      </c>
      <c r="F5" s="9" t="s">
        <v>476</v>
      </c>
      <c r="G5" s="8" t="s">
        <v>248</v>
      </c>
      <c r="H5" s="7" t="s">
        <v>373</v>
      </c>
      <c r="I5" s="8" t="s">
        <v>407</v>
      </c>
      <c r="J5" s="7">
        <v>4</v>
      </c>
      <c r="K5" s="7"/>
    </row>
    <row r="6" spans="1:11" ht="36.75" thickBot="1" x14ac:dyDescent="0.3">
      <c r="A6" s="1"/>
      <c r="B6" s="11">
        <f t="shared" si="0"/>
        <v>4</v>
      </c>
      <c r="C6" s="13" t="s">
        <v>5</v>
      </c>
      <c r="D6" s="9" t="s">
        <v>26</v>
      </c>
      <c r="E6" s="10" t="s">
        <v>138</v>
      </c>
      <c r="F6" s="9" t="s">
        <v>476</v>
      </c>
      <c r="G6" s="10" t="s">
        <v>249</v>
      </c>
      <c r="H6" s="9" t="s">
        <v>374</v>
      </c>
      <c r="I6" s="10" t="s">
        <v>475</v>
      </c>
      <c r="J6" s="9">
        <v>4</v>
      </c>
      <c r="K6" s="9"/>
    </row>
    <row r="7" spans="1:11" ht="24.75" thickBot="1" x14ac:dyDescent="0.3">
      <c r="A7" s="1"/>
      <c r="B7" s="11">
        <f>ROW(B7) - ROW($B$2)</f>
        <v>5</v>
      </c>
      <c r="C7" s="12" t="s">
        <v>3</v>
      </c>
      <c r="D7" s="7" t="s">
        <v>27</v>
      </c>
      <c r="E7" s="8" t="s">
        <v>139</v>
      </c>
      <c r="F7" s="9" t="s">
        <v>476</v>
      </c>
      <c r="G7" s="8" t="s">
        <v>250</v>
      </c>
      <c r="H7" s="7" t="s">
        <v>375</v>
      </c>
      <c r="I7" s="8" t="s">
        <v>408</v>
      </c>
      <c r="J7" s="7">
        <v>4</v>
      </c>
      <c r="K7" s="7"/>
    </row>
    <row r="8" spans="1:11" ht="15.75" thickBot="1" x14ac:dyDescent="0.3">
      <c r="A8" s="1"/>
      <c r="B8" s="11">
        <f t="shared" si="0"/>
        <v>6</v>
      </c>
      <c r="C8" s="13" t="s">
        <v>5</v>
      </c>
      <c r="D8" s="9" t="s">
        <v>28</v>
      </c>
      <c r="E8" s="10" t="s">
        <v>140</v>
      </c>
      <c r="F8" s="9" t="s">
        <v>476</v>
      </c>
      <c r="G8" s="10">
        <v>890324024005</v>
      </c>
      <c r="H8" s="9" t="s">
        <v>376</v>
      </c>
      <c r="I8" s="10" t="s">
        <v>409</v>
      </c>
      <c r="J8" s="9">
        <v>8</v>
      </c>
      <c r="K8" s="9"/>
    </row>
    <row r="9" spans="1:11" ht="36.75" thickBot="1" x14ac:dyDescent="0.3">
      <c r="A9" s="1"/>
      <c r="B9" s="11">
        <f>ROW(B9) - ROW($B$2)</f>
        <v>7</v>
      </c>
      <c r="C9" s="12" t="s">
        <v>5</v>
      </c>
      <c r="D9" s="7" t="s">
        <v>29</v>
      </c>
      <c r="E9" s="8" t="s">
        <v>141</v>
      </c>
      <c r="F9" s="9" t="s">
        <v>476</v>
      </c>
      <c r="G9" s="8" t="s">
        <v>251</v>
      </c>
      <c r="H9" s="7" t="s">
        <v>377</v>
      </c>
      <c r="I9" s="8" t="s">
        <v>410</v>
      </c>
      <c r="J9" s="7">
        <v>4</v>
      </c>
      <c r="K9" s="7"/>
    </row>
    <row r="10" spans="1:11" ht="15.75" thickBot="1" x14ac:dyDescent="0.3">
      <c r="A10" s="1"/>
      <c r="B10" s="11">
        <f t="shared" si="0"/>
        <v>8</v>
      </c>
      <c r="C10" s="13" t="s">
        <v>5</v>
      </c>
      <c r="D10" s="9" t="s">
        <v>30</v>
      </c>
      <c r="E10" s="10" t="s">
        <v>142</v>
      </c>
      <c r="F10" s="9" t="s">
        <v>252</v>
      </c>
      <c r="G10" s="10" t="s">
        <v>473</v>
      </c>
      <c r="H10" s="7" t="s">
        <v>474</v>
      </c>
      <c r="I10" s="10" t="s">
        <v>411</v>
      </c>
      <c r="J10" s="9">
        <v>4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5</v>
      </c>
      <c r="D11" s="7" t="s">
        <v>31</v>
      </c>
      <c r="E11" s="8" t="s">
        <v>143</v>
      </c>
      <c r="F11" s="7" t="s">
        <v>253</v>
      </c>
      <c r="G11" s="8" t="s">
        <v>286</v>
      </c>
      <c r="H11" s="7" t="s">
        <v>378</v>
      </c>
      <c r="I11" s="8" t="s">
        <v>412</v>
      </c>
      <c r="J11" s="7">
        <v>4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5</v>
      </c>
      <c r="D12" s="9" t="s">
        <v>32</v>
      </c>
      <c r="E12" s="10" t="s">
        <v>144</v>
      </c>
      <c r="F12" s="9" t="s">
        <v>252</v>
      </c>
      <c r="G12" s="10" t="s">
        <v>287</v>
      </c>
      <c r="H12" s="9" t="s">
        <v>378</v>
      </c>
      <c r="I12" s="10" t="s">
        <v>413</v>
      </c>
      <c r="J12" s="9">
        <v>4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5</v>
      </c>
      <c r="D13" s="7" t="s">
        <v>33</v>
      </c>
      <c r="E13" s="8" t="s">
        <v>145</v>
      </c>
      <c r="F13" s="7" t="s">
        <v>252</v>
      </c>
      <c r="G13" s="8" t="s">
        <v>288</v>
      </c>
      <c r="H13" s="7" t="s">
        <v>379</v>
      </c>
      <c r="I13" s="8" t="s">
        <v>414</v>
      </c>
      <c r="J13" s="7">
        <v>4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5</v>
      </c>
      <c r="D14" s="9" t="s">
        <v>34</v>
      </c>
      <c r="E14" s="10" t="s">
        <v>146</v>
      </c>
      <c r="F14" s="9" t="s">
        <v>253</v>
      </c>
      <c r="G14" s="10" t="s">
        <v>289</v>
      </c>
      <c r="H14" s="9" t="s">
        <v>379</v>
      </c>
      <c r="I14" s="10" t="s">
        <v>407</v>
      </c>
      <c r="J14" s="9">
        <v>4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2</v>
      </c>
      <c r="D15" s="7" t="s">
        <v>35</v>
      </c>
      <c r="E15" s="8" t="s">
        <v>147</v>
      </c>
      <c r="F15" s="7" t="s">
        <v>252</v>
      </c>
      <c r="G15" s="8" t="s">
        <v>290</v>
      </c>
      <c r="H15" s="7" t="s">
        <v>378</v>
      </c>
      <c r="I15" s="8" t="s">
        <v>415</v>
      </c>
      <c r="J15" s="7">
        <v>4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5</v>
      </c>
      <c r="D16" s="9" t="s">
        <v>36</v>
      </c>
      <c r="E16" s="10" t="s">
        <v>148</v>
      </c>
      <c r="F16" s="9" t="s">
        <v>252</v>
      </c>
      <c r="G16" s="10" t="s">
        <v>291</v>
      </c>
      <c r="H16" s="9" t="s">
        <v>378</v>
      </c>
      <c r="I16" s="10" t="s">
        <v>416</v>
      </c>
      <c r="J16" s="9">
        <v>4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5</v>
      </c>
      <c r="D17" s="7" t="s">
        <v>37</v>
      </c>
      <c r="E17" s="8" t="s">
        <v>149</v>
      </c>
      <c r="F17" s="7" t="s">
        <v>253</v>
      </c>
      <c r="G17" s="8" t="s">
        <v>292</v>
      </c>
      <c r="H17" s="7" t="s">
        <v>378</v>
      </c>
      <c r="I17" s="8" t="s">
        <v>417</v>
      </c>
      <c r="J17" s="7">
        <v>4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5</v>
      </c>
      <c r="D18" s="9" t="s">
        <v>38</v>
      </c>
      <c r="E18" s="10" t="s">
        <v>150</v>
      </c>
      <c r="F18" s="9" t="s">
        <v>254</v>
      </c>
      <c r="G18" s="10" t="s">
        <v>254</v>
      </c>
      <c r="H18" s="9" t="s">
        <v>380</v>
      </c>
      <c r="I18" s="10" t="s">
        <v>418</v>
      </c>
      <c r="J18" s="9">
        <v>4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5</v>
      </c>
      <c r="D19" s="7" t="s">
        <v>39</v>
      </c>
      <c r="E19" s="8" t="s">
        <v>151</v>
      </c>
      <c r="F19" s="7" t="s">
        <v>252</v>
      </c>
      <c r="G19" s="8" t="s">
        <v>293</v>
      </c>
      <c r="H19" s="7" t="s">
        <v>379</v>
      </c>
      <c r="I19" s="8" t="s">
        <v>475</v>
      </c>
      <c r="J19" s="7">
        <v>4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5</v>
      </c>
      <c r="D20" s="9" t="s">
        <v>40</v>
      </c>
      <c r="E20" s="10" t="s">
        <v>152</v>
      </c>
      <c r="F20" s="9" t="s">
        <v>252</v>
      </c>
      <c r="G20" s="10" t="s">
        <v>294</v>
      </c>
      <c r="H20" s="9" t="s">
        <v>379</v>
      </c>
      <c r="I20" s="10" t="s">
        <v>412</v>
      </c>
      <c r="J20" s="9">
        <v>4</v>
      </c>
      <c r="K20" s="9"/>
    </row>
    <row r="21" spans="1:11" ht="24.75" thickBot="1" x14ac:dyDescent="0.3">
      <c r="A21" s="1"/>
      <c r="B21" s="11">
        <f>ROW(B21) - ROW($B$2)</f>
        <v>19</v>
      </c>
      <c r="C21" s="12" t="s">
        <v>2</v>
      </c>
      <c r="D21" s="7" t="s">
        <v>41</v>
      </c>
      <c r="E21" s="8" t="s">
        <v>153</v>
      </c>
      <c r="F21" s="9" t="s">
        <v>476</v>
      </c>
      <c r="G21" s="8" t="s">
        <v>255</v>
      </c>
      <c r="H21" s="7" t="s">
        <v>372</v>
      </c>
      <c r="I21" s="8" t="s">
        <v>419</v>
      </c>
      <c r="J21" s="7">
        <v>4</v>
      </c>
      <c r="K21" s="7"/>
    </row>
    <row r="22" spans="1:11" ht="36.75" thickBot="1" x14ac:dyDescent="0.3">
      <c r="A22" s="1"/>
      <c r="B22" s="11">
        <f t="shared" si="0"/>
        <v>20</v>
      </c>
      <c r="C22" s="13" t="s">
        <v>5</v>
      </c>
      <c r="D22" s="9" t="s">
        <v>42</v>
      </c>
      <c r="E22" s="10" t="s">
        <v>154</v>
      </c>
      <c r="F22" s="9" t="s">
        <v>476</v>
      </c>
      <c r="G22" s="10" t="s">
        <v>256</v>
      </c>
      <c r="H22" s="9" t="s">
        <v>381</v>
      </c>
      <c r="I22" s="10" t="s">
        <v>475</v>
      </c>
      <c r="J22" s="9">
        <v>8</v>
      </c>
      <c r="K22" s="9"/>
    </row>
    <row r="23" spans="1:11" ht="24.75" thickBot="1" x14ac:dyDescent="0.3">
      <c r="A23" s="1"/>
      <c r="B23" s="11">
        <f>ROW(B23) - ROW($B$2)</f>
        <v>21</v>
      </c>
      <c r="C23" s="12" t="s">
        <v>5</v>
      </c>
      <c r="D23" s="7" t="s">
        <v>43</v>
      </c>
      <c r="E23" s="8" t="s">
        <v>155</v>
      </c>
      <c r="F23" s="7" t="s">
        <v>253</v>
      </c>
      <c r="G23" s="8" t="s">
        <v>295</v>
      </c>
      <c r="H23" s="7" t="s">
        <v>382</v>
      </c>
      <c r="I23" s="8" t="s">
        <v>420</v>
      </c>
      <c r="J23" s="7">
        <v>16</v>
      </c>
      <c r="K23" s="7"/>
    </row>
    <row r="24" spans="1:11" ht="24.75" thickBot="1" x14ac:dyDescent="0.3">
      <c r="A24" s="1"/>
      <c r="B24" s="11">
        <f t="shared" si="0"/>
        <v>22</v>
      </c>
      <c r="C24" s="13" t="s">
        <v>5</v>
      </c>
      <c r="D24" s="9" t="s">
        <v>44</v>
      </c>
      <c r="E24" s="10" t="s">
        <v>156</v>
      </c>
      <c r="F24" s="9" t="s">
        <v>476</v>
      </c>
      <c r="G24" s="10" t="s">
        <v>257</v>
      </c>
      <c r="H24" s="9" t="s">
        <v>380</v>
      </c>
      <c r="I24" s="10" t="s">
        <v>421</v>
      </c>
      <c r="J24" s="9">
        <v>16</v>
      </c>
      <c r="K24" s="9"/>
    </row>
    <row r="25" spans="1:11" ht="24.75" thickBot="1" x14ac:dyDescent="0.3">
      <c r="A25" s="1"/>
      <c r="B25" s="11">
        <f>ROW(B25) - ROW($B$2)</f>
        <v>23</v>
      </c>
      <c r="C25" s="12" t="s">
        <v>5</v>
      </c>
      <c r="D25" s="7" t="s">
        <v>45</v>
      </c>
      <c r="E25" s="8" t="s">
        <v>157</v>
      </c>
      <c r="F25" s="7" t="s">
        <v>253</v>
      </c>
      <c r="G25" s="8" t="s">
        <v>296</v>
      </c>
      <c r="H25" s="7" t="s">
        <v>378</v>
      </c>
      <c r="I25" s="8" t="s">
        <v>411</v>
      </c>
      <c r="J25" s="7">
        <v>12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5</v>
      </c>
      <c r="D26" s="9" t="s">
        <v>46</v>
      </c>
      <c r="E26" s="10" t="s">
        <v>158</v>
      </c>
      <c r="F26" s="9" t="s">
        <v>253</v>
      </c>
      <c r="G26" s="10" t="s">
        <v>297</v>
      </c>
      <c r="H26" s="9" t="s">
        <v>372</v>
      </c>
      <c r="I26" s="10" t="s">
        <v>422</v>
      </c>
      <c r="J26" s="9">
        <v>4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5</v>
      </c>
      <c r="D27" s="7" t="s">
        <v>47</v>
      </c>
      <c r="E27" s="8" t="s">
        <v>159</v>
      </c>
      <c r="F27" s="7" t="s">
        <v>253</v>
      </c>
      <c r="G27" s="8" t="s">
        <v>298</v>
      </c>
      <c r="H27" s="7" t="s">
        <v>372</v>
      </c>
      <c r="I27" s="8" t="s">
        <v>405</v>
      </c>
      <c r="J27" s="7">
        <v>4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5</v>
      </c>
      <c r="D28" s="9" t="s">
        <v>48</v>
      </c>
      <c r="E28" s="10" t="s">
        <v>160</v>
      </c>
      <c r="F28" s="9" t="s">
        <v>476</v>
      </c>
      <c r="G28" s="10" t="s">
        <v>299</v>
      </c>
      <c r="H28" s="9" t="s">
        <v>380</v>
      </c>
      <c r="I28" s="10" t="s">
        <v>423</v>
      </c>
      <c r="J28" s="9">
        <v>4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5</v>
      </c>
      <c r="D29" s="7" t="s">
        <v>49</v>
      </c>
      <c r="E29" s="8" t="s">
        <v>161</v>
      </c>
      <c r="F29" s="7" t="s">
        <v>253</v>
      </c>
      <c r="G29" s="8" t="s">
        <v>300</v>
      </c>
      <c r="H29" s="7" t="s">
        <v>378</v>
      </c>
      <c r="I29" s="8" t="s">
        <v>424</v>
      </c>
      <c r="J29" s="7">
        <v>4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5</v>
      </c>
      <c r="D30" s="9" t="s">
        <v>50</v>
      </c>
      <c r="E30" s="10" t="s">
        <v>162</v>
      </c>
      <c r="F30" s="9" t="s">
        <v>258</v>
      </c>
      <c r="G30" s="10" t="s">
        <v>301</v>
      </c>
      <c r="H30" s="9" t="s">
        <v>378</v>
      </c>
      <c r="I30" s="10" t="s">
        <v>424</v>
      </c>
      <c r="J30" s="9">
        <v>8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2</v>
      </c>
      <c r="D31" s="7" t="s">
        <v>51</v>
      </c>
      <c r="E31" s="8" t="s">
        <v>163</v>
      </c>
      <c r="F31" s="7" t="s">
        <v>253</v>
      </c>
      <c r="G31" s="8" t="s">
        <v>302</v>
      </c>
      <c r="H31" s="7" t="s">
        <v>378</v>
      </c>
      <c r="I31" s="8" t="s">
        <v>424</v>
      </c>
      <c r="J31" s="7">
        <v>4</v>
      </c>
      <c r="K31" s="7"/>
    </row>
    <row r="32" spans="1:11" ht="24.75" thickBot="1" x14ac:dyDescent="0.3">
      <c r="A32" s="1"/>
      <c r="B32" s="11">
        <f t="shared" si="0"/>
        <v>30</v>
      </c>
      <c r="C32" s="13" t="s">
        <v>5</v>
      </c>
      <c r="D32" s="9" t="s">
        <v>52</v>
      </c>
      <c r="E32" s="10" t="s">
        <v>164</v>
      </c>
      <c r="F32" s="9" t="s">
        <v>252</v>
      </c>
      <c r="G32" s="10" t="s">
        <v>303</v>
      </c>
      <c r="H32" s="9" t="s">
        <v>378</v>
      </c>
      <c r="I32" s="10" t="s">
        <v>420</v>
      </c>
      <c r="J32" s="9">
        <v>12</v>
      </c>
      <c r="K32" s="9"/>
    </row>
    <row r="33" spans="1:11" ht="15.75" thickBot="1" x14ac:dyDescent="0.3">
      <c r="A33" s="1"/>
      <c r="B33" s="11">
        <f>ROW(B33) - ROW($B$2)</f>
        <v>31</v>
      </c>
      <c r="C33" s="13" t="s">
        <v>5</v>
      </c>
      <c r="D33" s="7" t="s">
        <v>53</v>
      </c>
      <c r="E33" s="8" t="s">
        <v>165</v>
      </c>
      <c r="F33" s="7" t="s">
        <v>252</v>
      </c>
      <c r="G33" s="8" t="s">
        <v>304</v>
      </c>
      <c r="H33" s="7" t="s">
        <v>372</v>
      </c>
      <c r="I33" s="8" t="s">
        <v>425</v>
      </c>
      <c r="J33" s="7">
        <v>4</v>
      </c>
      <c r="K33" s="7"/>
    </row>
    <row r="34" spans="1:11" ht="48.75" thickBot="1" x14ac:dyDescent="0.3">
      <c r="A34" s="1"/>
      <c r="B34" s="11">
        <f t="shared" si="0"/>
        <v>32</v>
      </c>
      <c r="C34" s="13" t="s">
        <v>5</v>
      </c>
      <c r="D34" s="9" t="s">
        <v>54</v>
      </c>
      <c r="E34" s="10" t="s">
        <v>166</v>
      </c>
      <c r="F34" s="9" t="s">
        <v>476</v>
      </c>
      <c r="G34" s="10" t="s">
        <v>259</v>
      </c>
      <c r="H34" s="9" t="s">
        <v>383</v>
      </c>
      <c r="I34" s="10" t="s">
        <v>426</v>
      </c>
      <c r="J34" s="9">
        <v>4</v>
      </c>
      <c r="K34" s="9"/>
    </row>
    <row r="35" spans="1:11" ht="15.75" thickBot="1" x14ac:dyDescent="0.3">
      <c r="A35" s="1"/>
      <c r="B35" s="11">
        <f>ROW(B35) - ROW($B$2)</f>
        <v>33</v>
      </c>
      <c r="C35" s="13" t="s">
        <v>5</v>
      </c>
      <c r="D35" s="7" t="s">
        <v>55</v>
      </c>
      <c r="E35" s="8" t="s">
        <v>167</v>
      </c>
      <c r="F35" s="7" t="s">
        <v>252</v>
      </c>
      <c r="G35" s="8" t="s">
        <v>305</v>
      </c>
      <c r="H35" s="7" t="s">
        <v>372</v>
      </c>
      <c r="I35" s="8" t="s">
        <v>424</v>
      </c>
      <c r="J35" s="7">
        <v>4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5</v>
      </c>
      <c r="D36" s="9" t="s">
        <v>56</v>
      </c>
      <c r="E36" s="10" t="s">
        <v>168</v>
      </c>
      <c r="F36" s="9" t="s">
        <v>253</v>
      </c>
      <c r="G36" s="10" t="s">
        <v>306</v>
      </c>
      <c r="H36" s="9" t="s">
        <v>372</v>
      </c>
      <c r="I36" s="10" t="s">
        <v>427</v>
      </c>
      <c r="J36" s="9">
        <v>4</v>
      </c>
      <c r="K36" s="9"/>
    </row>
    <row r="37" spans="1:11" ht="36.75" thickBot="1" x14ac:dyDescent="0.3">
      <c r="A37" s="1"/>
      <c r="B37" s="11">
        <f>ROW(B37) - ROW($B$2)</f>
        <v>35</v>
      </c>
      <c r="C37" s="13" t="s">
        <v>5</v>
      </c>
      <c r="D37" s="7" t="s">
        <v>57</v>
      </c>
      <c r="E37" s="8" t="s">
        <v>169</v>
      </c>
      <c r="F37" s="7" t="s">
        <v>252</v>
      </c>
      <c r="G37" s="8" t="s">
        <v>307</v>
      </c>
      <c r="H37" s="7" t="s">
        <v>384</v>
      </c>
      <c r="I37" s="8" t="s">
        <v>406</v>
      </c>
      <c r="J37" s="7">
        <v>4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5</v>
      </c>
      <c r="D38" s="9" t="s">
        <v>58</v>
      </c>
      <c r="E38" s="10" t="s">
        <v>170</v>
      </c>
      <c r="F38" s="9" t="s">
        <v>252</v>
      </c>
      <c r="G38" s="10" t="s">
        <v>308</v>
      </c>
      <c r="H38" s="9" t="s">
        <v>379</v>
      </c>
      <c r="I38" s="10" t="s">
        <v>428</v>
      </c>
      <c r="J38" s="9">
        <v>4</v>
      </c>
      <c r="K38" s="9"/>
    </row>
    <row r="39" spans="1:11" ht="15.75" thickBot="1" x14ac:dyDescent="0.3">
      <c r="A39" s="1"/>
      <c r="B39" s="11">
        <f>ROW(B39) - ROW($B$2)</f>
        <v>37</v>
      </c>
      <c r="C39" s="13" t="s">
        <v>5</v>
      </c>
      <c r="D39" s="7" t="s">
        <v>59</v>
      </c>
      <c r="E39" s="8" t="s">
        <v>171</v>
      </c>
      <c r="F39" s="7" t="s">
        <v>260</v>
      </c>
      <c r="G39" s="8" t="s">
        <v>309</v>
      </c>
      <c r="H39" s="7" t="s">
        <v>372</v>
      </c>
      <c r="I39" s="8" t="s">
        <v>429</v>
      </c>
      <c r="J39" s="7">
        <v>4</v>
      </c>
      <c r="K39" s="7"/>
    </row>
    <row r="40" spans="1:11" ht="15.75" thickBot="1" x14ac:dyDescent="0.3">
      <c r="A40" s="1"/>
      <c r="B40" s="11">
        <f t="shared" si="0"/>
        <v>38</v>
      </c>
      <c r="C40" s="13" t="s">
        <v>5</v>
      </c>
      <c r="D40" s="9" t="s">
        <v>60</v>
      </c>
      <c r="E40" s="10" t="s">
        <v>172</v>
      </c>
      <c r="F40" s="9" t="s">
        <v>252</v>
      </c>
      <c r="G40" s="10" t="s">
        <v>310</v>
      </c>
      <c r="H40" s="9" t="s">
        <v>378</v>
      </c>
      <c r="I40" s="10" t="s">
        <v>430</v>
      </c>
      <c r="J40" s="9">
        <v>4</v>
      </c>
      <c r="K40" s="9"/>
    </row>
    <row r="41" spans="1:11" ht="15.75" thickBot="1" x14ac:dyDescent="0.3">
      <c r="A41" s="1"/>
      <c r="B41" s="11">
        <f>ROW(B41) - ROW($B$2)</f>
        <v>39</v>
      </c>
      <c r="C41" s="13" t="s">
        <v>5</v>
      </c>
      <c r="D41" s="7" t="s">
        <v>61</v>
      </c>
      <c r="E41" s="8" t="s">
        <v>173</v>
      </c>
      <c r="F41" s="7" t="s">
        <v>252</v>
      </c>
      <c r="G41" s="8" t="s">
        <v>311</v>
      </c>
      <c r="H41" s="7" t="s">
        <v>378</v>
      </c>
      <c r="I41" s="8" t="s">
        <v>431</v>
      </c>
      <c r="J41" s="7">
        <v>4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5</v>
      </c>
      <c r="D42" s="9" t="s">
        <v>62</v>
      </c>
      <c r="E42" s="10" t="s">
        <v>174</v>
      </c>
      <c r="F42" s="9" t="s">
        <v>252</v>
      </c>
      <c r="G42" s="10" t="s">
        <v>312</v>
      </c>
      <c r="H42" s="9" t="s">
        <v>378</v>
      </c>
      <c r="I42" s="10" t="s">
        <v>432</v>
      </c>
      <c r="J42" s="9">
        <v>4</v>
      </c>
      <c r="K42" s="9"/>
    </row>
    <row r="43" spans="1:11" ht="15.75" thickBot="1" x14ac:dyDescent="0.3">
      <c r="A43" s="1"/>
      <c r="B43" s="11">
        <f>ROW(B43) - ROW($B$2)</f>
        <v>41</v>
      </c>
      <c r="C43" s="12" t="s">
        <v>5</v>
      </c>
      <c r="D43" s="7" t="s">
        <v>63</v>
      </c>
      <c r="E43" s="8" t="s">
        <v>175</v>
      </c>
      <c r="F43" s="7" t="s">
        <v>252</v>
      </c>
      <c r="G43" s="8" t="s">
        <v>313</v>
      </c>
      <c r="H43" s="7" t="s">
        <v>378</v>
      </c>
      <c r="I43" s="8" t="s">
        <v>429</v>
      </c>
      <c r="J43" s="7">
        <v>4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6</v>
      </c>
      <c r="D44" s="9" t="s">
        <v>64</v>
      </c>
      <c r="E44" s="10" t="s">
        <v>176</v>
      </c>
      <c r="F44" s="9" t="s">
        <v>261</v>
      </c>
      <c r="G44" s="10" t="s">
        <v>314</v>
      </c>
      <c r="H44" s="9" t="s">
        <v>385</v>
      </c>
      <c r="I44" s="10" t="s">
        <v>475</v>
      </c>
      <c r="J44" s="9">
        <v>4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6</v>
      </c>
      <c r="D45" s="7" t="s">
        <v>65</v>
      </c>
      <c r="E45" s="8" t="s">
        <v>177</v>
      </c>
      <c r="F45" s="7" t="s">
        <v>262</v>
      </c>
      <c r="G45" s="8" t="s">
        <v>315</v>
      </c>
      <c r="H45" s="7" t="s">
        <v>386</v>
      </c>
      <c r="I45" s="10" t="s">
        <v>475</v>
      </c>
      <c r="J45" s="7">
        <v>8</v>
      </c>
      <c r="K45" s="7"/>
    </row>
    <row r="46" spans="1:11" ht="15.75" thickBot="1" x14ac:dyDescent="0.3">
      <c r="A46" s="1"/>
      <c r="B46" s="11">
        <f t="shared" si="0"/>
        <v>44</v>
      </c>
      <c r="C46" s="13" t="s">
        <v>6</v>
      </c>
      <c r="D46" s="9" t="s">
        <v>66</v>
      </c>
      <c r="E46" s="10" t="s">
        <v>178</v>
      </c>
      <c r="F46" s="9" t="s">
        <v>263</v>
      </c>
      <c r="G46" s="10" t="s">
        <v>316</v>
      </c>
      <c r="H46" s="9" t="s">
        <v>387</v>
      </c>
      <c r="I46" s="10" t="s">
        <v>475</v>
      </c>
      <c r="J46" s="9">
        <v>4</v>
      </c>
      <c r="K46" s="9"/>
    </row>
    <row r="47" spans="1:11" ht="24.75" thickBot="1" x14ac:dyDescent="0.3">
      <c r="A47" s="1"/>
      <c r="B47" s="11">
        <f>ROW(B47) - ROW($B$2)</f>
        <v>45</v>
      </c>
      <c r="C47" s="12" t="s">
        <v>6</v>
      </c>
      <c r="D47" s="7" t="s">
        <v>67</v>
      </c>
      <c r="E47" s="8" t="s">
        <v>179</v>
      </c>
      <c r="F47" s="7" t="s">
        <v>264</v>
      </c>
      <c r="G47" s="8" t="s">
        <v>317</v>
      </c>
      <c r="H47" s="7" t="s">
        <v>388</v>
      </c>
      <c r="I47" s="10" t="s">
        <v>475</v>
      </c>
      <c r="J47" s="7">
        <v>16</v>
      </c>
      <c r="K47" s="7"/>
    </row>
    <row r="48" spans="1:11" ht="36.75" thickBot="1" x14ac:dyDescent="0.3">
      <c r="A48" s="1"/>
      <c r="B48" s="11">
        <f t="shared" si="0"/>
        <v>46</v>
      </c>
      <c r="C48" s="13" t="s">
        <v>6</v>
      </c>
      <c r="D48" s="9" t="s">
        <v>68</v>
      </c>
      <c r="E48" s="10" t="s">
        <v>180</v>
      </c>
      <c r="F48" s="9" t="s">
        <v>265</v>
      </c>
      <c r="G48" s="10" t="s">
        <v>318</v>
      </c>
      <c r="H48" s="9" t="s">
        <v>389</v>
      </c>
      <c r="I48" s="10" t="s">
        <v>475</v>
      </c>
      <c r="J48" s="9">
        <v>4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6</v>
      </c>
      <c r="D49" s="7" t="s">
        <v>69</v>
      </c>
      <c r="E49" s="8" t="s">
        <v>181</v>
      </c>
      <c r="F49" s="7" t="s">
        <v>266</v>
      </c>
      <c r="G49" s="8" t="s">
        <v>319</v>
      </c>
      <c r="H49" s="7" t="s">
        <v>387</v>
      </c>
      <c r="I49" s="10" t="s">
        <v>475</v>
      </c>
      <c r="J49" s="7">
        <v>4</v>
      </c>
      <c r="K49" s="7"/>
    </row>
    <row r="50" spans="1:11" ht="24.75" thickBot="1" x14ac:dyDescent="0.3">
      <c r="A50" s="1"/>
      <c r="B50" s="11">
        <f t="shared" si="0"/>
        <v>48</v>
      </c>
      <c r="C50" s="13" t="s">
        <v>6</v>
      </c>
      <c r="D50" s="9" t="s">
        <v>70</v>
      </c>
      <c r="E50" s="10" t="s">
        <v>182</v>
      </c>
      <c r="F50" s="9" t="s">
        <v>264</v>
      </c>
      <c r="G50" s="10" t="s">
        <v>320</v>
      </c>
      <c r="H50" s="9" t="s">
        <v>385</v>
      </c>
      <c r="I50" s="10" t="s">
        <v>475</v>
      </c>
      <c r="J50" s="9">
        <v>4</v>
      </c>
      <c r="K50" s="9"/>
    </row>
    <row r="51" spans="1:11" ht="24.75" thickBot="1" x14ac:dyDescent="0.3">
      <c r="A51" s="1"/>
      <c r="B51" s="11">
        <f>ROW(B51) - ROW($B$2)</f>
        <v>49</v>
      </c>
      <c r="C51" s="12" t="s">
        <v>6</v>
      </c>
      <c r="D51" s="7" t="s">
        <v>71</v>
      </c>
      <c r="E51" s="8" t="s">
        <v>183</v>
      </c>
      <c r="F51" s="7" t="s">
        <v>267</v>
      </c>
      <c r="G51" s="8" t="s">
        <v>321</v>
      </c>
      <c r="H51" s="7" t="s">
        <v>390</v>
      </c>
      <c r="I51" s="10" t="s">
        <v>475</v>
      </c>
      <c r="J51" s="7">
        <v>4</v>
      </c>
      <c r="K51" s="7"/>
    </row>
    <row r="52" spans="1:11" ht="15.75" thickBot="1" x14ac:dyDescent="0.3">
      <c r="A52" s="1"/>
      <c r="B52" s="11">
        <f t="shared" si="0"/>
        <v>50</v>
      </c>
      <c r="C52" s="13" t="s">
        <v>6</v>
      </c>
      <c r="D52" s="9" t="s">
        <v>72</v>
      </c>
      <c r="E52" s="10" t="s">
        <v>184</v>
      </c>
      <c r="F52" s="9" t="s">
        <v>265</v>
      </c>
      <c r="G52" s="10" t="s">
        <v>322</v>
      </c>
      <c r="H52" s="9" t="s">
        <v>385</v>
      </c>
      <c r="I52" s="10" t="s">
        <v>475</v>
      </c>
      <c r="J52" s="9">
        <v>4</v>
      </c>
      <c r="K52" s="9"/>
    </row>
    <row r="53" spans="1:11" ht="15.75" thickBot="1" x14ac:dyDescent="0.3">
      <c r="A53" s="1"/>
      <c r="B53" s="11">
        <f>ROW(B53) - ROW($B$2)</f>
        <v>51</v>
      </c>
      <c r="C53" s="12" t="s">
        <v>7</v>
      </c>
      <c r="D53" s="7" t="s">
        <v>73</v>
      </c>
      <c r="E53" s="8" t="s">
        <v>185</v>
      </c>
      <c r="F53" s="9" t="s">
        <v>476</v>
      </c>
      <c r="G53" s="8">
        <v>37215000001</v>
      </c>
      <c r="H53" s="7" t="s">
        <v>391</v>
      </c>
      <c r="I53" s="10" t="s">
        <v>475</v>
      </c>
      <c r="J53" s="7">
        <v>1</v>
      </c>
      <c r="K53" s="7"/>
    </row>
    <row r="54" spans="1:11" ht="15.75" thickBot="1" x14ac:dyDescent="0.3">
      <c r="A54" s="1"/>
      <c r="B54" s="11">
        <f t="shared" si="0"/>
        <v>52</v>
      </c>
      <c r="C54" s="13" t="s">
        <v>7</v>
      </c>
      <c r="D54" s="9" t="s">
        <v>74</v>
      </c>
      <c r="E54" s="10" t="s">
        <v>185</v>
      </c>
      <c r="F54" s="9" t="s">
        <v>476</v>
      </c>
      <c r="G54" s="10">
        <v>37215000001</v>
      </c>
      <c r="H54" s="9" t="s">
        <v>391</v>
      </c>
      <c r="I54" s="10" t="s">
        <v>475</v>
      </c>
      <c r="J54" s="9">
        <v>3</v>
      </c>
      <c r="K54" s="9"/>
    </row>
    <row r="55" spans="1:11" ht="48.75" thickBot="1" x14ac:dyDescent="0.3">
      <c r="A55" s="1"/>
      <c r="B55" s="11">
        <f>ROW(B55) - ROW($B$2)</f>
        <v>53</v>
      </c>
      <c r="C55" s="12" t="s">
        <v>8</v>
      </c>
      <c r="D55" s="7" t="s">
        <v>75</v>
      </c>
      <c r="E55" s="8" t="s">
        <v>186</v>
      </c>
      <c r="F55" s="9" t="s">
        <v>476</v>
      </c>
      <c r="G55" s="8" t="s">
        <v>268</v>
      </c>
      <c r="H55" s="7" t="s">
        <v>392</v>
      </c>
      <c r="I55" s="10" t="s">
        <v>475</v>
      </c>
      <c r="J55" s="7">
        <v>5</v>
      </c>
      <c r="K55" s="7"/>
    </row>
    <row r="56" spans="1:11" ht="15.75" thickBot="1" x14ac:dyDescent="0.3">
      <c r="A56" s="1"/>
      <c r="B56" s="11">
        <f t="shared" si="0"/>
        <v>54</v>
      </c>
      <c r="C56" s="13" t="s">
        <v>9</v>
      </c>
      <c r="D56" s="9" t="s">
        <v>76</v>
      </c>
      <c r="E56" s="10" t="s">
        <v>187</v>
      </c>
      <c r="F56" s="9" t="s">
        <v>476</v>
      </c>
      <c r="G56" s="10">
        <v>7447021</v>
      </c>
      <c r="H56" s="9" t="s">
        <v>376</v>
      </c>
      <c r="I56" s="10" t="s">
        <v>433</v>
      </c>
      <c r="J56" s="9">
        <v>4</v>
      </c>
      <c r="K56" s="9"/>
    </row>
    <row r="57" spans="1:11" ht="15.75" thickBot="1" x14ac:dyDescent="0.3">
      <c r="A57" s="1"/>
      <c r="B57" s="11">
        <f>ROW(B57) - ROW($B$2)</f>
        <v>55</v>
      </c>
      <c r="C57" s="12" t="s">
        <v>9</v>
      </c>
      <c r="D57" s="7" t="s">
        <v>77</v>
      </c>
      <c r="E57" s="8" t="s">
        <v>188</v>
      </c>
      <c r="F57" s="9" t="s">
        <v>476</v>
      </c>
      <c r="G57" s="8">
        <v>760801401</v>
      </c>
      <c r="H57" s="7" t="s">
        <v>376</v>
      </c>
      <c r="I57" s="8" t="s">
        <v>434</v>
      </c>
      <c r="J57" s="7">
        <v>4</v>
      </c>
      <c r="K57" s="7"/>
    </row>
    <row r="58" spans="1:11" ht="15.75" thickBot="1" x14ac:dyDescent="0.3">
      <c r="A58" s="1"/>
      <c r="B58" s="11">
        <f t="shared" si="0"/>
        <v>56</v>
      </c>
      <c r="C58" s="13" t="s">
        <v>10</v>
      </c>
      <c r="D58" s="9" t="s">
        <v>78</v>
      </c>
      <c r="E58" s="10" t="s">
        <v>189</v>
      </c>
      <c r="F58" s="9" t="s">
        <v>269</v>
      </c>
      <c r="G58" s="10" t="s">
        <v>323</v>
      </c>
      <c r="H58" s="9" t="s">
        <v>387</v>
      </c>
      <c r="I58" s="10" t="s">
        <v>475</v>
      </c>
      <c r="J58" s="9">
        <v>4</v>
      </c>
      <c r="K58" s="9"/>
    </row>
    <row r="59" spans="1:11" ht="15.75" thickBot="1" x14ac:dyDescent="0.3">
      <c r="A59" s="1"/>
      <c r="B59" s="11">
        <f>ROW(B59) - ROW($B$2)</f>
        <v>57</v>
      </c>
      <c r="C59" s="12" t="s">
        <v>10</v>
      </c>
      <c r="D59" s="7" t="s">
        <v>79</v>
      </c>
      <c r="E59" s="8" t="s">
        <v>190</v>
      </c>
      <c r="F59" s="7" t="s">
        <v>270</v>
      </c>
      <c r="G59" s="8" t="s">
        <v>324</v>
      </c>
      <c r="H59" s="7" t="s">
        <v>393</v>
      </c>
      <c r="I59" s="10" t="s">
        <v>475</v>
      </c>
      <c r="J59" s="7">
        <v>4</v>
      </c>
      <c r="K59" s="7"/>
    </row>
    <row r="60" spans="1:11" ht="15.75" thickBot="1" x14ac:dyDescent="0.3">
      <c r="A60" s="1"/>
      <c r="B60" s="11">
        <f t="shared" si="0"/>
        <v>58</v>
      </c>
      <c r="C60" s="13" t="s">
        <v>10</v>
      </c>
      <c r="D60" s="9" t="s">
        <v>80</v>
      </c>
      <c r="E60" s="10" t="s">
        <v>191</v>
      </c>
      <c r="F60" s="9" t="s">
        <v>271</v>
      </c>
      <c r="G60" s="10" t="s">
        <v>325</v>
      </c>
      <c r="H60" s="9" t="s">
        <v>394</v>
      </c>
      <c r="I60" s="10" t="s">
        <v>475</v>
      </c>
      <c r="J60" s="9">
        <v>4</v>
      </c>
      <c r="K60" s="9"/>
    </row>
    <row r="61" spans="1:11" ht="15.75" thickBot="1" x14ac:dyDescent="0.3">
      <c r="A61" s="1"/>
      <c r="B61" s="11">
        <f>ROW(B61) - ROW($B$2)</f>
        <v>59</v>
      </c>
      <c r="C61" s="12" t="s">
        <v>11</v>
      </c>
      <c r="D61" s="7" t="s">
        <v>81</v>
      </c>
      <c r="E61" s="8" t="s">
        <v>192</v>
      </c>
      <c r="F61" s="7" t="s">
        <v>271</v>
      </c>
      <c r="G61" s="8" t="s">
        <v>326</v>
      </c>
      <c r="H61" s="7" t="s">
        <v>385</v>
      </c>
      <c r="I61" s="10" t="s">
        <v>475</v>
      </c>
      <c r="J61" s="7">
        <v>4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12</v>
      </c>
      <c r="D62" s="9" t="s">
        <v>82</v>
      </c>
      <c r="E62" s="10" t="s">
        <v>193</v>
      </c>
      <c r="F62" s="9" t="s">
        <v>272</v>
      </c>
      <c r="G62" s="10" t="s">
        <v>327</v>
      </c>
      <c r="H62" s="9" t="s">
        <v>395</v>
      </c>
      <c r="I62" s="10" t="s">
        <v>475</v>
      </c>
      <c r="J62" s="9">
        <v>8</v>
      </c>
      <c r="K62" s="9"/>
    </row>
    <row r="63" spans="1:11" ht="15.75" thickBot="1" x14ac:dyDescent="0.3">
      <c r="A63" s="1"/>
      <c r="B63" s="11">
        <f>ROW(B63) - ROW($B$2)</f>
        <v>61</v>
      </c>
      <c r="C63" s="12" t="s">
        <v>11</v>
      </c>
      <c r="D63" s="7" t="s">
        <v>83</v>
      </c>
      <c r="E63" s="8" t="s">
        <v>194</v>
      </c>
      <c r="F63" s="7" t="s">
        <v>273</v>
      </c>
      <c r="G63" s="8" t="s">
        <v>328</v>
      </c>
      <c r="H63" s="7" t="s">
        <v>396</v>
      </c>
      <c r="I63" s="10" t="s">
        <v>475</v>
      </c>
      <c r="J63" s="7">
        <v>4</v>
      </c>
      <c r="K63" s="7"/>
    </row>
    <row r="64" spans="1:11" ht="15.75" thickBot="1" x14ac:dyDescent="0.3">
      <c r="A64" s="1"/>
      <c r="B64" s="11">
        <f t="shared" si="0"/>
        <v>62</v>
      </c>
      <c r="C64" s="13" t="s">
        <v>13</v>
      </c>
      <c r="D64" s="9" t="s">
        <v>84</v>
      </c>
      <c r="E64" s="10" t="s">
        <v>195</v>
      </c>
      <c r="F64" s="9" t="s">
        <v>274</v>
      </c>
      <c r="G64" s="10" t="s">
        <v>329</v>
      </c>
      <c r="H64" s="9" t="s">
        <v>378</v>
      </c>
      <c r="I64" s="10" t="s">
        <v>435</v>
      </c>
      <c r="J64" s="9">
        <v>8</v>
      </c>
      <c r="K64" s="9"/>
    </row>
    <row r="65" spans="1:11" ht="15.75" thickBot="1" x14ac:dyDescent="0.3">
      <c r="A65" s="1"/>
      <c r="B65" s="11">
        <f>ROW(B65) - ROW($B$2)</f>
        <v>63</v>
      </c>
      <c r="C65" s="12" t="s">
        <v>13</v>
      </c>
      <c r="D65" s="7" t="s">
        <v>85</v>
      </c>
      <c r="E65" s="8" t="s">
        <v>196</v>
      </c>
      <c r="F65" s="7" t="s">
        <v>275</v>
      </c>
      <c r="G65" s="8" t="s">
        <v>330</v>
      </c>
      <c r="H65" s="7" t="s">
        <v>378</v>
      </c>
      <c r="I65" s="8" t="s">
        <v>436</v>
      </c>
      <c r="J65" s="7">
        <v>4</v>
      </c>
      <c r="K65" s="7"/>
    </row>
    <row r="66" spans="1:11" ht="24.75" thickBot="1" x14ac:dyDescent="0.3">
      <c r="A66" s="1"/>
      <c r="B66" s="11">
        <f t="shared" si="0"/>
        <v>64</v>
      </c>
      <c r="C66" s="13" t="s">
        <v>13</v>
      </c>
      <c r="D66" s="9" t="s">
        <v>86</v>
      </c>
      <c r="E66" s="10" t="s">
        <v>197</v>
      </c>
      <c r="F66" s="9" t="s">
        <v>274</v>
      </c>
      <c r="G66" s="10" t="s">
        <v>331</v>
      </c>
      <c r="H66" s="9" t="s">
        <v>378</v>
      </c>
      <c r="I66" s="10" t="s">
        <v>437</v>
      </c>
      <c r="J66" s="9">
        <v>16</v>
      </c>
      <c r="K66" s="9"/>
    </row>
    <row r="67" spans="1:11" ht="24.75" thickBot="1" x14ac:dyDescent="0.3">
      <c r="A67" s="1"/>
      <c r="B67" s="11">
        <f>ROW(B67) - ROW($B$2)</f>
        <v>65</v>
      </c>
      <c r="C67" s="12" t="s">
        <v>14</v>
      </c>
      <c r="D67" s="7" t="s">
        <v>87</v>
      </c>
      <c r="E67" s="8" t="s">
        <v>198</v>
      </c>
      <c r="F67" s="7" t="s">
        <v>276</v>
      </c>
      <c r="G67" s="8" t="s">
        <v>332</v>
      </c>
      <c r="H67" s="7" t="s">
        <v>397</v>
      </c>
      <c r="I67" s="8" t="s">
        <v>438</v>
      </c>
      <c r="J67" s="7">
        <v>12</v>
      </c>
      <c r="K67" s="7"/>
    </row>
    <row r="68" spans="1:11" ht="15.75" thickBot="1" x14ac:dyDescent="0.3">
      <c r="A68" s="1"/>
      <c r="B68" s="11">
        <f t="shared" si="0"/>
        <v>66</v>
      </c>
      <c r="C68" s="13" t="s">
        <v>13</v>
      </c>
      <c r="D68" s="9" t="s">
        <v>88</v>
      </c>
      <c r="E68" s="10" t="s">
        <v>199</v>
      </c>
      <c r="F68" s="9" t="s">
        <v>276</v>
      </c>
      <c r="G68" s="10" t="s">
        <v>333</v>
      </c>
      <c r="H68" s="9" t="s">
        <v>398</v>
      </c>
      <c r="I68" s="10" t="s">
        <v>439</v>
      </c>
      <c r="J68" s="9">
        <v>4</v>
      </c>
      <c r="K68" s="9"/>
    </row>
    <row r="69" spans="1:11" ht="15.75" thickBot="1" x14ac:dyDescent="0.3">
      <c r="A69" s="1"/>
      <c r="B69" s="11">
        <f>ROW(B69) - ROW($B$2)</f>
        <v>67</v>
      </c>
      <c r="C69" s="12" t="s">
        <v>13</v>
      </c>
      <c r="D69" s="7" t="s">
        <v>89</v>
      </c>
      <c r="E69" s="8" t="s">
        <v>200</v>
      </c>
      <c r="F69" s="7" t="s">
        <v>276</v>
      </c>
      <c r="G69" s="8" t="s">
        <v>334</v>
      </c>
      <c r="H69" s="7" t="s">
        <v>378</v>
      </c>
      <c r="I69" s="8" t="s">
        <v>440</v>
      </c>
      <c r="J69" s="7">
        <v>4</v>
      </c>
      <c r="K69" s="7"/>
    </row>
    <row r="70" spans="1:11" ht="15.75" thickBot="1" x14ac:dyDescent="0.3">
      <c r="A70" s="1"/>
      <c r="B70" s="11">
        <f t="shared" si="0"/>
        <v>68</v>
      </c>
      <c r="C70" s="13" t="s">
        <v>13</v>
      </c>
      <c r="D70" s="9" t="s">
        <v>90</v>
      </c>
      <c r="E70" s="10" t="s">
        <v>201</v>
      </c>
      <c r="F70" s="9" t="s">
        <v>276</v>
      </c>
      <c r="G70" s="10" t="s">
        <v>335</v>
      </c>
      <c r="H70" s="9" t="s">
        <v>399</v>
      </c>
      <c r="I70" s="10" t="s">
        <v>441</v>
      </c>
      <c r="J70" s="9">
        <v>4</v>
      </c>
      <c r="K70" s="9"/>
    </row>
    <row r="71" spans="1:11" ht="15.75" thickBot="1" x14ac:dyDescent="0.3">
      <c r="A71" s="1"/>
      <c r="B71" s="11">
        <f>ROW(B71) - ROW($B$2)</f>
        <v>69</v>
      </c>
      <c r="C71" s="12" t="s">
        <v>14</v>
      </c>
      <c r="D71" s="7" t="s">
        <v>91</v>
      </c>
      <c r="E71" s="8" t="s">
        <v>202</v>
      </c>
      <c r="F71" s="7" t="s">
        <v>276</v>
      </c>
      <c r="G71" s="8" t="s">
        <v>336</v>
      </c>
      <c r="H71" s="7" t="s">
        <v>378</v>
      </c>
      <c r="I71" s="8" t="s">
        <v>442</v>
      </c>
      <c r="J71" s="7">
        <v>4</v>
      </c>
      <c r="K71" s="7"/>
    </row>
    <row r="72" spans="1:11" ht="15.75" thickBot="1" x14ac:dyDescent="0.3">
      <c r="A72" s="1"/>
      <c r="B72" s="11">
        <f t="shared" si="0"/>
        <v>70</v>
      </c>
      <c r="C72" s="13" t="s">
        <v>13</v>
      </c>
      <c r="D72" s="9" t="s">
        <v>92</v>
      </c>
      <c r="E72" s="10" t="s">
        <v>203</v>
      </c>
      <c r="F72" s="9" t="s">
        <v>276</v>
      </c>
      <c r="G72" s="10" t="s">
        <v>337</v>
      </c>
      <c r="H72" s="9" t="s">
        <v>378</v>
      </c>
      <c r="I72" s="10" t="s">
        <v>443</v>
      </c>
      <c r="J72" s="9">
        <v>4</v>
      </c>
      <c r="K72" s="9"/>
    </row>
    <row r="73" spans="1:11" ht="15.75" thickBot="1" x14ac:dyDescent="0.3">
      <c r="A73" s="1"/>
      <c r="B73" s="11">
        <f>ROW(B73) - ROW($B$2)</f>
        <v>71</v>
      </c>
      <c r="C73" s="12" t="s">
        <v>13</v>
      </c>
      <c r="D73" s="7" t="s">
        <v>93</v>
      </c>
      <c r="E73" s="8" t="s">
        <v>204</v>
      </c>
      <c r="F73" s="7" t="s">
        <v>275</v>
      </c>
      <c r="G73" s="8" t="s">
        <v>338</v>
      </c>
      <c r="H73" s="7" t="s">
        <v>397</v>
      </c>
      <c r="I73" s="8" t="s">
        <v>438</v>
      </c>
      <c r="J73" s="7">
        <v>4</v>
      </c>
      <c r="K73" s="7"/>
    </row>
    <row r="74" spans="1:11" ht="15.75" thickBot="1" x14ac:dyDescent="0.3">
      <c r="A74" s="1"/>
      <c r="B74" s="11">
        <f t="shared" si="0"/>
        <v>72</v>
      </c>
      <c r="C74" s="13" t="s">
        <v>14</v>
      </c>
      <c r="D74" s="9" t="s">
        <v>94</v>
      </c>
      <c r="E74" s="10" t="s">
        <v>205</v>
      </c>
      <c r="F74" s="9" t="s">
        <v>276</v>
      </c>
      <c r="G74" s="10" t="s">
        <v>339</v>
      </c>
      <c r="H74" s="9" t="s">
        <v>378</v>
      </c>
      <c r="I74" s="10" t="s">
        <v>444</v>
      </c>
      <c r="J74" s="9">
        <v>4</v>
      </c>
      <c r="K74" s="9"/>
    </row>
    <row r="75" spans="1:11" ht="15.75" thickBot="1" x14ac:dyDescent="0.3">
      <c r="A75" s="1"/>
      <c r="B75" s="11">
        <f>ROW(B75) - ROW($B$2)</f>
        <v>73</v>
      </c>
      <c r="C75" s="12" t="s">
        <v>13</v>
      </c>
      <c r="D75" s="7" t="s">
        <v>95</v>
      </c>
      <c r="E75" s="8" t="s">
        <v>206</v>
      </c>
      <c r="F75" s="7" t="s">
        <v>276</v>
      </c>
      <c r="G75" s="8" t="s">
        <v>478</v>
      </c>
      <c r="H75" s="7" t="s">
        <v>397</v>
      </c>
      <c r="I75" s="8" t="s">
        <v>445</v>
      </c>
      <c r="J75" s="7">
        <v>4</v>
      </c>
      <c r="K75" s="7"/>
    </row>
    <row r="76" spans="1:11" ht="15.75" thickBot="1" x14ac:dyDescent="0.3">
      <c r="A76" s="1"/>
      <c r="B76" s="11">
        <f t="shared" si="0"/>
        <v>74</v>
      </c>
      <c r="C76" s="13" t="s">
        <v>13</v>
      </c>
      <c r="D76" s="9" t="s">
        <v>96</v>
      </c>
      <c r="E76" s="10" t="s">
        <v>207</v>
      </c>
      <c r="F76" s="9" t="s">
        <v>276</v>
      </c>
      <c r="G76" s="10" t="s">
        <v>340</v>
      </c>
      <c r="H76" s="9" t="s">
        <v>378</v>
      </c>
      <c r="I76" s="10" t="s">
        <v>446</v>
      </c>
      <c r="J76" s="9">
        <v>8</v>
      </c>
      <c r="K76" s="9"/>
    </row>
    <row r="77" spans="1:11" ht="15.75" thickBot="1" x14ac:dyDescent="0.3">
      <c r="A77" s="1"/>
      <c r="B77" s="11">
        <f>ROW(B77) - ROW($B$2)</f>
        <v>75</v>
      </c>
      <c r="C77" s="12" t="s">
        <v>13</v>
      </c>
      <c r="D77" s="7" t="s">
        <v>97</v>
      </c>
      <c r="E77" s="8" t="s">
        <v>208</v>
      </c>
      <c r="F77" s="7" t="s">
        <v>276</v>
      </c>
      <c r="G77" s="8" t="s">
        <v>341</v>
      </c>
      <c r="H77" s="7" t="s">
        <v>378</v>
      </c>
      <c r="I77" s="8" t="s">
        <v>447</v>
      </c>
      <c r="J77" s="7">
        <v>8</v>
      </c>
      <c r="K77" s="7"/>
    </row>
    <row r="78" spans="1:11" ht="15.75" thickBot="1" x14ac:dyDescent="0.3">
      <c r="A78" s="1"/>
      <c r="B78" s="11">
        <f t="shared" si="0"/>
        <v>76</v>
      </c>
      <c r="C78" s="13" t="s">
        <v>13</v>
      </c>
      <c r="D78" s="9" t="s">
        <v>98</v>
      </c>
      <c r="E78" s="10" t="s">
        <v>209</v>
      </c>
      <c r="F78" s="9" t="s">
        <v>276</v>
      </c>
      <c r="G78" s="10" t="s">
        <v>342</v>
      </c>
      <c r="H78" s="9" t="s">
        <v>378</v>
      </c>
      <c r="I78" s="10" t="s">
        <v>448</v>
      </c>
      <c r="J78" s="9">
        <v>4</v>
      </c>
      <c r="K78" s="9"/>
    </row>
    <row r="79" spans="1:11" ht="36.75" thickBot="1" x14ac:dyDescent="0.3">
      <c r="A79" s="1"/>
      <c r="B79" s="11">
        <f>ROW(B79) - ROW($B$2)</f>
        <v>77</v>
      </c>
      <c r="C79" s="12" t="s">
        <v>13</v>
      </c>
      <c r="D79" s="7" t="s">
        <v>99</v>
      </c>
      <c r="E79" s="8" t="s">
        <v>210</v>
      </c>
      <c r="F79" s="7" t="s">
        <v>274</v>
      </c>
      <c r="G79" s="8" t="s">
        <v>343</v>
      </c>
      <c r="H79" s="7" t="s">
        <v>400</v>
      </c>
      <c r="I79" s="8" t="s">
        <v>449</v>
      </c>
      <c r="J79" s="7">
        <v>8</v>
      </c>
      <c r="K79" s="7"/>
    </row>
    <row r="80" spans="1:11" ht="15.75" thickBot="1" x14ac:dyDescent="0.3">
      <c r="A80" s="1"/>
      <c r="B80" s="11">
        <f t="shared" si="0"/>
        <v>78</v>
      </c>
      <c r="C80" s="13" t="s">
        <v>13</v>
      </c>
      <c r="D80" s="9" t="s">
        <v>100</v>
      </c>
      <c r="E80" s="10" t="s">
        <v>211</v>
      </c>
      <c r="F80" s="9" t="s">
        <v>274</v>
      </c>
      <c r="G80" s="10" t="s">
        <v>344</v>
      </c>
      <c r="H80" s="9" t="s">
        <v>399</v>
      </c>
      <c r="I80" s="10" t="s">
        <v>450</v>
      </c>
      <c r="J80" s="9">
        <v>8</v>
      </c>
      <c r="K80" s="9"/>
    </row>
    <row r="81" spans="1:11" ht="15.75" thickBot="1" x14ac:dyDescent="0.3">
      <c r="A81" s="1"/>
      <c r="B81" s="11">
        <f>ROW(B81) - ROW($B$2)</f>
        <v>79</v>
      </c>
      <c r="C81" s="12" t="s">
        <v>13</v>
      </c>
      <c r="D81" s="7" t="s">
        <v>101</v>
      </c>
      <c r="E81" s="8" t="s">
        <v>212</v>
      </c>
      <c r="F81" s="7" t="s">
        <v>276</v>
      </c>
      <c r="G81" s="8" t="s">
        <v>345</v>
      </c>
      <c r="H81" s="7" t="s">
        <v>378</v>
      </c>
      <c r="I81" s="8" t="s">
        <v>451</v>
      </c>
      <c r="J81" s="7">
        <v>4</v>
      </c>
      <c r="K81" s="7"/>
    </row>
    <row r="82" spans="1:11" ht="24.75" thickBot="1" x14ac:dyDescent="0.3">
      <c r="A82" s="1"/>
      <c r="B82" s="11">
        <f t="shared" si="0"/>
        <v>80</v>
      </c>
      <c r="C82" s="13" t="s">
        <v>13</v>
      </c>
      <c r="D82" s="9" t="s">
        <v>102</v>
      </c>
      <c r="E82" s="10" t="s">
        <v>213</v>
      </c>
      <c r="F82" s="9" t="s">
        <v>275</v>
      </c>
      <c r="G82" s="10" t="s">
        <v>346</v>
      </c>
      <c r="H82" s="9" t="s">
        <v>378</v>
      </c>
      <c r="I82" s="10" t="s">
        <v>452</v>
      </c>
      <c r="J82" s="9">
        <v>8</v>
      </c>
      <c r="K82" s="9"/>
    </row>
    <row r="83" spans="1:11" ht="15.75" thickBot="1" x14ac:dyDescent="0.3">
      <c r="A83" s="1"/>
      <c r="B83" s="11">
        <f>ROW(B83) - ROW($B$2)</f>
        <v>81</v>
      </c>
      <c r="C83" s="12" t="s">
        <v>13</v>
      </c>
      <c r="D83" s="7" t="s">
        <v>103</v>
      </c>
      <c r="E83" s="8" t="s">
        <v>214</v>
      </c>
      <c r="F83" s="7" t="s">
        <v>274</v>
      </c>
      <c r="G83" s="8" t="s">
        <v>347</v>
      </c>
      <c r="H83" s="7" t="s">
        <v>397</v>
      </c>
      <c r="I83" s="8" t="s">
        <v>453</v>
      </c>
      <c r="J83" s="7">
        <v>4</v>
      </c>
      <c r="K83" s="7"/>
    </row>
    <row r="84" spans="1:11" ht="15.75" thickBot="1" x14ac:dyDescent="0.3">
      <c r="A84" s="1"/>
      <c r="B84" s="11">
        <f t="shared" si="0"/>
        <v>82</v>
      </c>
      <c r="C84" s="13" t="s">
        <v>13</v>
      </c>
      <c r="D84" s="9" t="s">
        <v>104</v>
      </c>
      <c r="E84" s="10" t="s">
        <v>215</v>
      </c>
      <c r="F84" s="9" t="s">
        <v>276</v>
      </c>
      <c r="G84" s="10" t="s">
        <v>348</v>
      </c>
      <c r="H84" s="9" t="s">
        <v>401</v>
      </c>
      <c r="I84" s="10" t="s">
        <v>454</v>
      </c>
      <c r="J84" s="9">
        <v>4</v>
      </c>
      <c r="K84" s="9"/>
    </row>
    <row r="85" spans="1:11" ht="15.75" thickBot="1" x14ac:dyDescent="0.3">
      <c r="A85" s="1"/>
      <c r="B85" s="11">
        <f>ROW(B85) - ROW($B$2)</f>
        <v>83</v>
      </c>
      <c r="C85" s="12" t="s">
        <v>13</v>
      </c>
      <c r="D85" s="7" t="s">
        <v>105</v>
      </c>
      <c r="E85" s="8" t="s">
        <v>216</v>
      </c>
      <c r="F85" s="7" t="s">
        <v>276</v>
      </c>
      <c r="G85" s="8" t="s">
        <v>349</v>
      </c>
      <c r="H85" s="7" t="s">
        <v>397</v>
      </c>
      <c r="I85" s="8" t="s">
        <v>455</v>
      </c>
      <c r="J85" s="7">
        <v>4</v>
      </c>
      <c r="K85" s="7"/>
    </row>
    <row r="86" spans="1:11" ht="15.75" thickBot="1" x14ac:dyDescent="0.3">
      <c r="A86" s="1"/>
      <c r="B86" s="11">
        <f t="shared" si="0"/>
        <v>84</v>
      </c>
      <c r="C86" s="13" t="s">
        <v>13</v>
      </c>
      <c r="D86" s="9" t="s">
        <v>106</v>
      </c>
      <c r="E86" s="10" t="s">
        <v>217</v>
      </c>
      <c r="F86" s="9" t="s">
        <v>275</v>
      </c>
      <c r="G86" s="10" t="s">
        <v>350</v>
      </c>
      <c r="H86" s="9" t="s">
        <v>397</v>
      </c>
      <c r="I86" s="10" t="s">
        <v>456</v>
      </c>
      <c r="J86" s="9">
        <v>4</v>
      </c>
      <c r="K86" s="9"/>
    </row>
    <row r="87" spans="1:11" ht="15.75" thickBot="1" x14ac:dyDescent="0.3">
      <c r="A87" s="1"/>
      <c r="B87" s="11">
        <f>ROW(B87) - ROW($B$2)</f>
        <v>85</v>
      </c>
      <c r="C87" s="12" t="s">
        <v>13</v>
      </c>
      <c r="D87" s="7" t="s">
        <v>107</v>
      </c>
      <c r="E87" s="8" t="s">
        <v>218</v>
      </c>
      <c r="F87" s="7" t="s">
        <v>276</v>
      </c>
      <c r="G87" s="8" t="s">
        <v>477</v>
      </c>
      <c r="H87" s="7" t="s">
        <v>378</v>
      </c>
      <c r="I87" s="8" t="s">
        <v>452</v>
      </c>
      <c r="J87" s="7">
        <v>4</v>
      </c>
      <c r="K87" s="7"/>
    </row>
    <row r="88" spans="1:11" ht="15.75" thickBot="1" x14ac:dyDescent="0.3">
      <c r="A88" s="1"/>
      <c r="B88" s="11">
        <f t="shared" si="0"/>
        <v>86</v>
      </c>
      <c r="C88" s="13" t="s">
        <v>13</v>
      </c>
      <c r="D88" s="9" t="s">
        <v>108</v>
      </c>
      <c r="E88" s="10" t="s">
        <v>219</v>
      </c>
      <c r="F88" s="9" t="s">
        <v>276</v>
      </c>
      <c r="G88" s="10" t="s">
        <v>351</v>
      </c>
      <c r="H88" s="9" t="s">
        <v>402</v>
      </c>
      <c r="I88" s="10" t="s">
        <v>457</v>
      </c>
      <c r="J88" s="9">
        <v>4</v>
      </c>
      <c r="K88" s="9"/>
    </row>
    <row r="89" spans="1:11" ht="24.75" thickBot="1" x14ac:dyDescent="0.3">
      <c r="A89" s="1"/>
      <c r="B89" s="11">
        <f>ROW(B89) - ROW($B$2)</f>
        <v>87</v>
      </c>
      <c r="C89" s="12" t="s">
        <v>14</v>
      </c>
      <c r="D89" s="7" t="s">
        <v>109</v>
      </c>
      <c r="E89" s="8" t="s">
        <v>220</v>
      </c>
      <c r="F89" s="7" t="s">
        <v>277</v>
      </c>
      <c r="G89" s="8" t="s">
        <v>352</v>
      </c>
      <c r="H89" s="7" t="s">
        <v>378</v>
      </c>
      <c r="I89" s="8" t="s">
        <v>453</v>
      </c>
      <c r="J89" s="7">
        <v>8</v>
      </c>
      <c r="K89" s="7"/>
    </row>
    <row r="90" spans="1:11" ht="24.75" thickBot="1" x14ac:dyDescent="0.3">
      <c r="A90" s="1"/>
      <c r="B90" s="11">
        <f t="shared" si="0"/>
        <v>88</v>
      </c>
      <c r="C90" s="13" t="s">
        <v>13</v>
      </c>
      <c r="D90" s="9" t="s">
        <v>110</v>
      </c>
      <c r="E90" s="10" t="s">
        <v>221</v>
      </c>
      <c r="F90" s="9" t="s">
        <v>274</v>
      </c>
      <c r="G90" s="10" t="s">
        <v>353</v>
      </c>
      <c r="H90" s="9" t="s">
        <v>378</v>
      </c>
      <c r="I90" s="10" t="s">
        <v>458</v>
      </c>
      <c r="J90" s="9">
        <v>12</v>
      </c>
      <c r="K90" s="9"/>
    </row>
    <row r="91" spans="1:11" ht="15.75" thickBot="1" x14ac:dyDescent="0.3">
      <c r="A91" s="1"/>
      <c r="B91" s="11">
        <f>ROW(B91) - ROW($B$2)</f>
        <v>89</v>
      </c>
      <c r="C91" s="12" t="s">
        <v>14</v>
      </c>
      <c r="D91" s="7" t="s">
        <v>111</v>
      </c>
      <c r="E91" s="8" t="s">
        <v>222</v>
      </c>
      <c r="F91" s="7" t="s">
        <v>276</v>
      </c>
      <c r="G91" s="8" t="s">
        <v>354</v>
      </c>
      <c r="H91" s="7" t="s">
        <v>378</v>
      </c>
      <c r="I91" s="8" t="s">
        <v>459</v>
      </c>
      <c r="J91" s="7">
        <v>4</v>
      </c>
      <c r="K91" s="7"/>
    </row>
    <row r="92" spans="1:11" ht="24.75" thickBot="1" x14ac:dyDescent="0.3">
      <c r="A92" s="1"/>
      <c r="B92" s="11">
        <f t="shared" si="0"/>
        <v>90</v>
      </c>
      <c r="C92" s="13" t="s">
        <v>14</v>
      </c>
      <c r="D92" s="9" t="s">
        <v>112</v>
      </c>
      <c r="E92" s="10" t="s">
        <v>223</v>
      </c>
      <c r="F92" s="9" t="s">
        <v>274</v>
      </c>
      <c r="G92" s="10" t="s">
        <v>355</v>
      </c>
      <c r="H92" s="9" t="s">
        <v>378</v>
      </c>
      <c r="I92" s="10" t="s">
        <v>460</v>
      </c>
      <c r="J92" s="9">
        <v>12</v>
      </c>
      <c r="K92" s="9"/>
    </row>
    <row r="93" spans="1:11" ht="15.75" thickBot="1" x14ac:dyDescent="0.3">
      <c r="A93" s="1"/>
      <c r="B93" s="11">
        <f>ROW(B93) - ROW($B$2)</f>
        <v>91</v>
      </c>
      <c r="C93" s="12" t="s">
        <v>14</v>
      </c>
      <c r="D93" s="7" t="s">
        <v>113</v>
      </c>
      <c r="E93" s="8" t="s">
        <v>224</v>
      </c>
      <c r="F93" s="7" t="s">
        <v>276</v>
      </c>
      <c r="G93" s="8" t="s">
        <v>356</v>
      </c>
      <c r="H93" s="7" t="s">
        <v>378</v>
      </c>
      <c r="I93" s="8" t="s">
        <v>461</v>
      </c>
      <c r="J93" s="7">
        <v>4</v>
      </c>
      <c r="K93" s="7"/>
    </row>
    <row r="94" spans="1:11" ht="15.75" thickBot="1" x14ac:dyDescent="0.3">
      <c r="A94" s="1"/>
      <c r="B94" s="11">
        <f t="shared" si="0"/>
        <v>92</v>
      </c>
      <c r="C94" s="13" t="s">
        <v>14</v>
      </c>
      <c r="D94" s="9" t="s">
        <v>114</v>
      </c>
      <c r="E94" s="10" t="s">
        <v>225</v>
      </c>
      <c r="F94" s="9" t="s">
        <v>276</v>
      </c>
      <c r="G94" s="10" t="s">
        <v>357</v>
      </c>
      <c r="H94" s="9" t="s">
        <v>398</v>
      </c>
      <c r="I94" s="10" t="s">
        <v>462</v>
      </c>
      <c r="J94" s="9">
        <v>4</v>
      </c>
      <c r="K94" s="9"/>
    </row>
    <row r="95" spans="1:11" ht="15.75" thickBot="1" x14ac:dyDescent="0.3">
      <c r="A95" s="1"/>
      <c r="B95" s="11">
        <f>ROW(B95) - ROW($B$2)</f>
        <v>93</v>
      </c>
      <c r="C95" s="12" t="s">
        <v>13</v>
      </c>
      <c r="D95" s="7" t="s">
        <v>115</v>
      </c>
      <c r="E95" s="8" t="s">
        <v>226</v>
      </c>
      <c r="F95" s="7" t="s">
        <v>278</v>
      </c>
      <c r="G95" s="8" t="s">
        <v>358</v>
      </c>
      <c r="H95" s="7" t="s">
        <v>378</v>
      </c>
      <c r="I95" s="8" t="s">
        <v>463</v>
      </c>
      <c r="J95" s="7">
        <v>4</v>
      </c>
      <c r="K95" s="7"/>
    </row>
    <row r="96" spans="1:11" ht="15.75" thickBot="1" x14ac:dyDescent="0.3">
      <c r="A96" s="1"/>
      <c r="B96" s="11">
        <f t="shared" si="0"/>
        <v>94</v>
      </c>
      <c r="C96" s="13" t="s">
        <v>13</v>
      </c>
      <c r="D96" s="9" t="s">
        <v>116</v>
      </c>
      <c r="E96" s="10" t="s">
        <v>227</v>
      </c>
      <c r="F96" s="9" t="s">
        <v>276</v>
      </c>
      <c r="G96" s="10" t="s">
        <v>359</v>
      </c>
      <c r="H96" s="9" t="s">
        <v>397</v>
      </c>
      <c r="I96" s="10" t="s">
        <v>464</v>
      </c>
      <c r="J96" s="9">
        <v>4</v>
      </c>
      <c r="K96" s="9"/>
    </row>
    <row r="97" spans="1:11" ht="15.75" thickBot="1" x14ac:dyDescent="0.3">
      <c r="A97" s="1"/>
      <c r="B97" s="11">
        <f>ROW(B97) - ROW($B$2)</f>
        <v>95</v>
      </c>
      <c r="C97" s="12" t="s">
        <v>13</v>
      </c>
      <c r="D97" s="7" t="s">
        <v>117</v>
      </c>
      <c r="E97" s="8" t="s">
        <v>228</v>
      </c>
      <c r="F97" s="7" t="s">
        <v>276</v>
      </c>
      <c r="G97" s="8" t="s">
        <v>360</v>
      </c>
      <c r="H97" s="7" t="s">
        <v>397</v>
      </c>
      <c r="I97" s="8" t="s">
        <v>465</v>
      </c>
      <c r="J97" s="7">
        <v>4</v>
      </c>
      <c r="K97" s="7"/>
    </row>
    <row r="98" spans="1:11" ht="15.75" thickBot="1" x14ac:dyDescent="0.3">
      <c r="A98" s="1"/>
      <c r="B98" s="11">
        <f t="shared" si="0"/>
        <v>96</v>
      </c>
      <c r="C98" s="13" t="s">
        <v>13</v>
      </c>
      <c r="D98" s="9" t="s">
        <v>118</v>
      </c>
      <c r="E98" s="10" t="s">
        <v>229</v>
      </c>
      <c r="F98" s="9" t="s">
        <v>276</v>
      </c>
      <c r="G98" s="10" t="s">
        <v>361</v>
      </c>
      <c r="H98" s="9" t="s">
        <v>378</v>
      </c>
      <c r="I98" s="10" t="s">
        <v>453</v>
      </c>
      <c r="J98" s="9">
        <v>4</v>
      </c>
      <c r="K98" s="9"/>
    </row>
    <row r="99" spans="1:11" ht="24.75" thickBot="1" x14ac:dyDescent="0.3">
      <c r="A99" s="1"/>
      <c r="B99" s="11">
        <f>ROW(B99) - ROW($B$2)</f>
        <v>97</v>
      </c>
      <c r="C99" s="12" t="s">
        <v>14</v>
      </c>
      <c r="D99" s="7" t="s">
        <v>119</v>
      </c>
      <c r="E99" s="8" t="s">
        <v>230</v>
      </c>
      <c r="F99" s="7" t="s">
        <v>276</v>
      </c>
      <c r="G99" s="8" t="s">
        <v>362</v>
      </c>
      <c r="H99" s="7" t="s">
        <v>378</v>
      </c>
      <c r="I99" s="8" t="s">
        <v>466</v>
      </c>
      <c r="J99" s="7">
        <v>8</v>
      </c>
      <c r="K99" s="7"/>
    </row>
    <row r="100" spans="1:11" ht="15.75" thickBot="1" x14ac:dyDescent="0.3">
      <c r="A100" s="1"/>
      <c r="B100" s="11">
        <f t="shared" si="0"/>
        <v>98</v>
      </c>
      <c r="C100" s="13" t="s">
        <v>14</v>
      </c>
      <c r="D100" s="9" t="s">
        <v>120</v>
      </c>
      <c r="E100" s="10" t="s">
        <v>231</v>
      </c>
      <c r="F100" s="9" t="s">
        <v>276</v>
      </c>
      <c r="G100" s="10" t="s">
        <v>363</v>
      </c>
      <c r="H100" s="9" t="s">
        <v>397</v>
      </c>
      <c r="I100" s="10" t="s">
        <v>467</v>
      </c>
      <c r="J100" s="9">
        <v>4</v>
      </c>
      <c r="K100" s="9"/>
    </row>
    <row r="101" spans="1:11" ht="15.75" thickBot="1" x14ac:dyDescent="0.3">
      <c r="A101" s="1"/>
      <c r="B101" s="11">
        <f>ROW(B101) - ROW($B$2)</f>
        <v>99</v>
      </c>
      <c r="C101" s="12" t="s">
        <v>14</v>
      </c>
      <c r="D101" s="7" t="s">
        <v>121</v>
      </c>
      <c r="E101" s="8" t="s">
        <v>232</v>
      </c>
      <c r="F101" s="7" t="s">
        <v>274</v>
      </c>
      <c r="G101" s="8" t="s">
        <v>364</v>
      </c>
      <c r="H101" s="7" t="s">
        <v>378</v>
      </c>
      <c r="I101" s="8" t="s">
        <v>468</v>
      </c>
      <c r="J101" s="7">
        <v>4</v>
      </c>
      <c r="K101" s="7"/>
    </row>
    <row r="102" spans="1:11" ht="15.75" thickBot="1" x14ac:dyDescent="0.3">
      <c r="A102" s="1"/>
      <c r="B102" s="11">
        <f t="shared" si="0"/>
        <v>100</v>
      </c>
      <c r="C102" s="13" t="s">
        <v>14</v>
      </c>
      <c r="D102" s="9" t="s">
        <v>122</v>
      </c>
      <c r="E102" s="10" t="s">
        <v>233</v>
      </c>
      <c r="F102" s="9" t="s">
        <v>276</v>
      </c>
      <c r="G102" s="10" t="s">
        <v>365</v>
      </c>
      <c r="H102" s="9" t="s">
        <v>397</v>
      </c>
      <c r="I102" s="10" t="s">
        <v>469</v>
      </c>
      <c r="J102" s="9">
        <v>4</v>
      </c>
      <c r="K102" s="9"/>
    </row>
    <row r="103" spans="1:11" ht="15.75" thickBot="1" x14ac:dyDescent="0.3">
      <c r="A103" s="1"/>
      <c r="B103" s="11">
        <f>ROW(B103) - ROW($B$2)</f>
        <v>101</v>
      </c>
      <c r="C103" s="12" t="s">
        <v>15</v>
      </c>
      <c r="D103" s="7" t="s">
        <v>123</v>
      </c>
      <c r="E103" s="8" t="s">
        <v>234</v>
      </c>
      <c r="F103" s="9" t="s">
        <v>476</v>
      </c>
      <c r="G103" s="8" t="s">
        <v>279</v>
      </c>
      <c r="H103" s="7" t="s">
        <v>403</v>
      </c>
      <c r="I103" s="8" t="s">
        <v>475</v>
      </c>
      <c r="J103" s="7">
        <v>4</v>
      </c>
      <c r="K103" s="7"/>
    </row>
    <row r="104" spans="1:11" ht="15.75" thickBot="1" x14ac:dyDescent="0.3">
      <c r="A104" s="1"/>
      <c r="B104" s="11">
        <f t="shared" si="0"/>
        <v>102</v>
      </c>
      <c r="C104" s="13" t="s">
        <v>16</v>
      </c>
      <c r="D104" s="9" t="s">
        <v>124</v>
      </c>
      <c r="E104" s="10" t="s">
        <v>235</v>
      </c>
      <c r="F104" s="9">
        <v>744822301</v>
      </c>
      <c r="G104" s="10">
        <v>744822301</v>
      </c>
      <c r="H104" s="9" t="s">
        <v>376</v>
      </c>
      <c r="I104" s="8" t="s">
        <v>475</v>
      </c>
      <c r="J104" s="9">
        <v>4</v>
      </c>
      <c r="K104" s="9"/>
    </row>
    <row r="105" spans="1:11" ht="26.25" thickBot="1" x14ac:dyDescent="0.3">
      <c r="A105" s="1"/>
      <c r="B105" s="11">
        <f>ROW(B105) - ROW($B$2)</f>
        <v>103</v>
      </c>
      <c r="C105" s="12" t="s">
        <v>17</v>
      </c>
      <c r="D105" s="7" t="s">
        <v>125</v>
      </c>
      <c r="E105" s="8" t="s">
        <v>236</v>
      </c>
      <c r="F105" s="7">
        <v>744824310</v>
      </c>
      <c r="G105" s="8">
        <v>744824310</v>
      </c>
      <c r="H105" s="7" t="s">
        <v>376</v>
      </c>
      <c r="I105" s="8" t="s">
        <v>475</v>
      </c>
      <c r="J105" s="7">
        <v>4</v>
      </c>
      <c r="K105" s="7"/>
    </row>
    <row r="106" spans="1:11" ht="15.75" thickBot="1" x14ac:dyDescent="0.3">
      <c r="A106" s="1"/>
      <c r="B106" s="11">
        <f t="shared" si="0"/>
        <v>104</v>
      </c>
      <c r="C106" s="13" t="s">
        <v>18</v>
      </c>
      <c r="D106" s="9" t="s">
        <v>126</v>
      </c>
      <c r="E106" s="10" t="s">
        <v>237</v>
      </c>
      <c r="F106" s="9">
        <v>760895741</v>
      </c>
      <c r="G106" s="10">
        <v>760895741</v>
      </c>
      <c r="H106" s="9" t="s">
        <v>376</v>
      </c>
      <c r="I106" s="8" t="s">
        <v>475</v>
      </c>
      <c r="J106" s="9">
        <v>4</v>
      </c>
      <c r="K106" s="9"/>
    </row>
    <row r="107" spans="1:11" ht="15.75" thickBot="1" x14ac:dyDescent="0.3">
      <c r="A107" s="1"/>
      <c r="B107" s="11">
        <f>ROW(B107) - ROW($B$2)</f>
        <v>105</v>
      </c>
      <c r="C107" s="12" t="s">
        <v>19</v>
      </c>
      <c r="D107" s="7" t="s">
        <v>127</v>
      </c>
      <c r="E107" s="8" t="s">
        <v>238</v>
      </c>
      <c r="F107" s="7" t="s">
        <v>280</v>
      </c>
      <c r="G107" s="8" t="s">
        <v>366</v>
      </c>
      <c r="H107" s="7" t="s">
        <v>395</v>
      </c>
      <c r="I107" s="8" t="s">
        <v>475</v>
      </c>
      <c r="J107" s="7">
        <v>4</v>
      </c>
      <c r="K107" s="7"/>
    </row>
    <row r="108" spans="1:11" ht="15.75" thickBot="1" x14ac:dyDescent="0.3">
      <c r="A108" s="1"/>
      <c r="B108" s="11">
        <f t="shared" si="0"/>
        <v>106</v>
      </c>
      <c r="C108" s="13" t="s">
        <v>12</v>
      </c>
      <c r="D108" s="9" t="s">
        <v>128</v>
      </c>
      <c r="E108" s="10" t="s">
        <v>239</v>
      </c>
      <c r="F108" s="9" t="s">
        <v>269</v>
      </c>
      <c r="G108" s="10" t="s">
        <v>367</v>
      </c>
      <c r="H108" s="9" t="s">
        <v>393</v>
      </c>
      <c r="I108" s="8" t="s">
        <v>475</v>
      </c>
      <c r="J108" s="9">
        <v>8</v>
      </c>
      <c r="K108" s="9"/>
    </row>
    <row r="109" spans="1:11" ht="15.75" thickBot="1" x14ac:dyDescent="0.3">
      <c r="A109" s="1"/>
      <c r="B109" s="11">
        <f>ROW(B109) - ROW($B$2)</f>
        <v>107</v>
      </c>
      <c r="C109" s="12" t="s">
        <v>19</v>
      </c>
      <c r="D109" s="7" t="s">
        <v>129</v>
      </c>
      <c r="E109" s="8" t="s">
        <v>240</v>
      </c>
      <c r="F109" s="7" t="s">
        <v>281</v>
      </c>
      <c r="G109" s="8" t="s">
        <v>368</v>
      </c>
      <c r="H109" s="7" t="s">
        <v>395</v>
      </c>
      <c r="I109" s="8" t="s">
        <v>475</v>
      </c>
      <c r="J109" s="7">
        <v>8</v>
      </c>
      <c r="K109" s="7"/>
    </row>
    <row r="110" spans="1:11" ht="15.75" thickBot="1" x14ac:dyDescent="0.3">
      <c r="A110" s="1"/>
      <c r="B110" s="11">
        <f t="shared" si="0"/>
        <v>108</v>
      </c>
      <c r="C110" s="13" t="s">
        <v>19</v>
      </c>
      <c r="D110" s="9" t="s">
        <v>130</v>
      </c>
      <c r="E110" s="10" t="s">
        <v>241</v>
      </c>
      <c r="F110" s="9" t="s">
        <v>476</v>
      </c>
      <c r="G110" s="10" t="s">
        <v>282</v>
      </c>
      <c r="H110" s="9" t="s">
        <v>395</v>
      </c>
      <c r="I110" s="8" t="s">
        <v>475</v>
      </c>
      <c r="J110" s="9">
        <v>4</v>
      </c>
      <c r="K110" s="9"/>
    </row>
    <row r="111" spans="1:11" ht="15.75" thickBot="1" x14ac:dyDescent="0.3">
      <c r="A111" s="1"/>
      <c r="B111" s="11">
        <f>ROW(B111) - ROW($B$2)</f>
        <v>109</v>
      </c>
      <c r="C111" s="12" t="s">
        <v>19</v>
      </c>
      <c r="D111" s="7" t="s">
        <v>131</v>
      </c>
      <c r="E111" s="8" t="s">
        <v>242</v>
      </c>
      <c r="F111" s="7" t="s">
        <v>271</v>
      </c>
      <c r="G111" s="8" t="s">
        <v>369</v>
      </c>
      <c r="H111" s="7" t="s">
        <v>395</v>
      </c>
      <c r="I111" s="8" t="s">
        <v>475</v>
      </c>
      <c r="J111" s="7">
        <v>4</v>
      </c>
      <c r="K111" s="7"/>
    </row>
    <row r="112" spans="1:11" ht="24.75" thickBot="1" x14ac:dyDescent="0.3">
      <c r="A112" s="1"/>
      <c r="B112" s="11">
        <f t="shared" si="0"/>
        <v>110</v>
      </c>
      <c r="C112" s="13" t="s">
        <v>20</v>
      </c>
      <c r="D112" s="9" t="s">
        <v>132</v>
      </c>
      <c r="E112" s="10" t="s">
        <v>243</v>
      </c>
      <c r="F112" s="9" t="s">
        <v>283</v>
      </c>
      <c r="G112" s="10" t="s">
        <v>370</v>
      </c>
      <c r="H112" s="9" t="s">
        <v>404</v>
      </c>
      <c r="I112" s="8" t="s">
        <v>475</v>
      </c>
      <c r="J112" s="9">
        <v>4</v>
      </c>
      <c r="K112" s="9"/>
    </row>
    <row r="113" spans="1:11" ht="15.75" thickBot="1" x14ac:dyDescent="0.3">
      <c r="A113" s="1"/>
      <c r="B113" s="11">
        <f>ROW(B113) - ROW($B$2)</f>
        <v>111</v>
      </c>
      <c r="C113" s="12" t="s">
        <v>21</v>
      </c>
      <c r="D113" s="7" t="s">
        <v>133</v>
      </c>
      <c r="E113" s="8" t="s">
        <v>244</v>
      </c>
      <c r="F113" s="9" t="s">
        <v>476</v>
      </c>
      <c r="G113" s="8" t="s">
        <v>284</v>
      </c>
      <c r="H113" s="7" t="s">
        <v>403</v>
      </c>
      <c r="I113" s="8" t="s">
        <v>475</v>
      </c>
      <c r="J113" s="7">
        <v>4</v>
      </c>
      <c r="K113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2025-07-03T07:23:32Z</dcterms:modified>
</cp:coreProperties>
</file>