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muhunthancanagey-servocontrol\Design Files\24V-70A-Power-Board-v2.0\Deliverables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150" i="1" l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<sst xmlns="http://schemas.openxmlformats.org/spreadsheetml/2006/main" count="1036" uniqueCount="627">
  <si>
    <t>#</t>
  </si>
  <si>
    <t>Item Type</t>
  </si>
  <si>
    <t>Bridge Rectifier</t>
  </si>
  <si>
    <t>Capacitors</t>
  </si>
  <si>
    <t>Aluminum Electrolytic Capacitors</t>
  </si>
  <si>
    <t>Capacitor</t>
  </si>
  <si>
    <t>Diode</t>
  </si>
  <si>
    <t>Diodes</t>
  </si>
  <si>
    <t>Connectors</t>
  </si>
  <si>
    <t>Terminal Block</t>
  </si>
  <si>
    <t>Fuse Holder</t>
  </si>
  <si>
    <t>Male Header</t>
  </si>
  <si>
    <t>Terminal Blocks</t>
  </si>
  <si>
    <t>Power Relays</t>
  </si>
  <si>
    <t>Inductors</t>
  </si>
  <si>
    <t>INDUCTOR</t>
  </si>
  <si>
    <t>Mosfet</t>
  </si>
  <si>
    <t>MOSFETs</t>
  </si>
  <si>
    <t>Transistor</t>
  </si>
  <si>
    <t>(BJT)</t>
  </si>
  <si>
    <t>BJTs</t>
  </si>
  <si>
    <t>Resistor</t>
  </si>
  <si>
    <t>Resistors</t>
  </si>
  <si>
    <t>RESISTOR</t>
  </si>
  <si>
    <t>THermistor</t>
  </si>
  <si>
    <t>Transformer</t>
  </si>
  <si>
    <t>IC</t>
  </si>
  <si>
    <t>Optocouplers</t>
  </si>
  <si>
    <t>Varistors</t>
  </si>
  <si>
    <t>Designator</t>
  </si>
  <si>
    <t>BR1</t>
  </si>
  <si>
    <t>C1, C2, C9, C10</t>
  </si>
  <si>
    <t>C3, C4, C5, C6</t>
  </si>
  <si>
    <t>C7, C8</t>
  </si>
  <si>
    <t>C11</t>
  </si>
  <si>
    <t>C12, C22, C34, C48, C49, C68, C69, C81, C83, C89, C92, C98, C99, C100, C105, C106</t>
  </si>
  <si>
    <t>C13, C21, C30, C35, C40, C41, C46, C47, C50, C51, C56, C57, C67, C70, C80, C82, C85, C90</t>
  </si>
  <si>
    <t>C14</t>
  </si>
  <si>
    <t>C15, C24</t>
  </si>
  <si>
    <t>C16, C17</t>
  </si>
  <si>
    <t>C18</t>
  </si>
  <si>
    <t>C19, C20</t>
  </si>
  <si>
    <t>C23</t>
  </si>
  <si>
    <t>C25, C26, C96</t>
  </si>
  <si>
    <t>C27</t>
  </si>
  <si>
    <t>C28</t>
  </si>
  <si>
    <t>C29</t>
  </si>
  <si>
    <t>C31</t>
  </si>
  <si>
    <t>C32, C95, C102</t>
  </si>
  <si>
    <t>C33, C93, C103</t>
  </si>
  <si>
    <t>C36, C42, C43, C44, C45, C52, C53, C54, C55, C79, C86, C97</t>
  </si>
  <si>
    <t>C37, C38</t>
  </si>
  <si>
    <t>C39</t>
  </si>
  <si>
    <t>C58, C59, C60</t>
  </si>
  <si>
    <t>C61, C62, C63, C64, C65, C66</t>
  </si>
  <si>
    <t>C71, C72, C77, C78</t>
  </si>
  <si>
    <t>C73, C74, C75, C76</t>
  </si>
  <si>
    <t>C84</t>
  </si>
  <si>
    <t>C87</t>
  </si>
  <si>
    <t>C88</t>
  </si>
  <si>
    <t>C91</t>
  </si>
  <si>
    <t>C94, C101</t>
  </si>
  <si>
    <t>C104</t>
  </si>
  <si>
    <t>C107</t>
  </si>
  <si>
    <t>C108</t>
  </si>
  <si>
    <t>D1</t>
  </si>
  <si>
    <t>D2</t>
  </si>
  <si>
    <t>D3, D8, D10, D23</t>
  </si>
  <si>
    <t>D4</t>
  </si>
  <si>
    <t>D5</t>
  </si>
  <si>
    <t>D6</t>
  </si>
  <si>
    <t>D7</t>
  </si>
  <si>
    <t>D9</t>
  </si>
  <si>
    <t>D11, D12, D14, D15, D18, D19, D20, D21</t>
  </si>
  <si>
    <t>D13, D16</t>
  </si>
  <si>
    <t>D17</t>
  </si>
  <si>
    <t>D22, D24</t>
  </si>
  <si>
    <t>D25</t>
  </si>
  <si>
    <t>J1, J7, J13, J14</t>
  </si>
  <si>
    <t>J2</t>
  </si>
  <si>
    <t>J3, J4</t>
  </si>
  <si>
    <t>J5, J10</t>
  </si>
  <si>
    <t>J6, J8, J12</t>
  </si>
  <si>
    <t>J9</t>
  </si>
  <si>
    <t>J11</t>
  </si>
  <si>
    <t>J15</t>
  </si>
  <si>
    <t>K1</t>
  </si>
  <si>
    <t>L1, L2</t>
  </si>
  <si>
    <t>L3, L4</t>
  </si>
  <si>
    <t>L5</t>
  </si>
  <si>
    <t>L6</t>
  </si>
  <si>
    <t>L7</t>
  </si>
  <si>
    <t>L8</t>
  </si>
  <si>
    <t>L9</t>
  </si>
  <si>
    <t>Q1, Q2</t>
  </si>
  <si>
    <t>Q3</t>
  </si>
  <si>
    <t>Q4</t>
  </si>
  <si>
    <t>Q5, Q25</t>
  </si>
  <si>
    <t>Q6</t>
  </si>
  <si>
    <t>Q7</t>
  </si>
  <si>
    <t>Q8</t>
  </si>
  <si>
    <t>Q9, Q10, Q15, Q16</t>
  </si>
  <si>
    <t>Q11, Q12, Q17, Q18</t>
  </si>
  <si>
    <t>Q13, Q14, Q19, Q20</t>
  </si>
  <si>
    <t>Q21, Q22, Q23, Q24</t>
  </si>
  <si>
    <t>R1, R2, R29, R41</t>
  </si>
  <si>
    <t>R3, R4, R8, R13, R17, R38, R47, R86, R114, R119</t>
  </si>
  <si>
    <t>R5, R6, R7</t>
  </si>
  <si>
    <t>R9, R117</t>
  </si>
  <si>
    <t>R10, R87, R88</t>
  </si>
  <si>
    <t>R11</t>
  </si>
  <si>
    <t>R12, R16, R34, R83, R85, R106, R107, R116</t>
  </si>
  <si>
    <t>R14</t>
  </si>
  <si>
    <t>R15, R18</t>
  </si>
  <si>
    <t>R19</t>
  </si>
  <si>
    <t>R20</t>
  </si>
  <si>
    <t>R21</t>
  </si>
  <si>
    <t>R22</t>
  </si>
  <si>
    <t>R23</t>
  </si>
  <si>
    <t>R24</t>
  </si>
  <si>
    <t>R25, R32</t>
  </si>
  <si>
    <t>R26, R27, R28</t>
  </si>
  <si>
    <t>R30</t>
  </si>
  <si>
    <t>R31, R92, R112</t>
  </si>
  <si>
    <t>R33</t>
  </si>
  <si>
    <t>R35</t>
  </si>
  <si>
    <t>R36, R90</t>
  </si>
  <si>
    <t>R37, R45</t>
  </si>
  <si>
    <t>R39</t>
  </si>
  <si>
    <t>R40</t>
  </si>
  <si>
    <t>R42</t>
  </si>
  <si>
    <t>R43</t>
  </si>
  <si>
    <t>R44</t>
  </si>
  <si>
    <t>R46</t>
  </si>
  <si>
    <t>R48</t>
  </si>
  <si>
    <t>R49, R69, R70, R71, R72</t>
  </si>
  <si>
    <t>R50, R51, R52, R55, R57, R58, R60, R61, R62, R65, R66, R67, R81</t>
  </si>
  <si>
    <t>R53, R54, R63, R64</t>
  </si>
  <si>
    <t>R56, R59, R73, R74, R75, R76</t>
  </si>
  <si>
    <t>R68</t>
  </si>
  <si>
    <t>R77, R82</t>
  </si>
  <si>
    <t>R78, R80, R101, R115</t>
  </si>
  <si>
    <t>R79</t>
  </si>
  <si>
    <t>R84</t>
  </si>
  <si>
    <t>R89</t>
  </si>
  <si>
    <t>R91</t>
  </si>
  <si>
    <t>R93, R94, R95</t>
  </si>
  <si>
    <t>R96</t>
  </si>
  <si>
    <t>R97</t>
  </si>
  <si>
    <t>R98</t>
  </si>
  <si>
    <t>R99</t>
  </si>
  <si>
    <t>R100</t>
  </si>
  <si>
    <t>R102</t>
  </si>
  <si>
    <t>R103</t>
  </si>
  <si>
    <t>R104</t>
  </si>
  <si>
    <t>R105</t>
  </si>
  <si>
    <t>R108</t>
  </si>
  <si>
    <t>R109, R120</t>
  </si>
  <si>
    <t>R110</t>
  </si>
  <si>
    <t>R111</t>
  </si>
  <si>
    <t>R113</t>
  </si>
  <si>
    <t>R118</t>
  </si>
  <si>
    <t>RT1</t>
  </si>
  <si>
    <t>T1</t>
  </si>
  <si>
    <t>T2, T3</t>
  </si>
  <si>
    <t>T4</t>
  </si>
  <si>
    <t>U1, U2</t>
  </si>
  <si>
    <t>U3, U4, U8</t>
  </si>
  <si>
    <t>U5, U19</t>
  </si>
  <si>
    <t>U6, U10</t>
  </si>
  <si>
    <t>U7</t>
  </si>
  <si>
    <t>U9</t>
  </si>
  <si>
    <t>U11, U12, U14, U15</t>
  </si>
  <si>
    <t>U13</t>
  </si>
  <si>
    <t>U16</t>
  </si>
  <si>
    <t>U17</t>
  </si>
  <si>
    <t>U18</t>
  </si>
  <si>
    <t>VR1</t>
  </si>
  <si>
    <t>Description</t>
  </si>
  <si>
    <t>BRIDGE RECT 1P 600V 3.5A GSIB-5S</t>
  </si>
  <si>
    <t>CAP CER 4.7NF X1/Y2 400V/250V</t>
  </si>
  <si>
    <t>CAP ALUM 330UF 20% 450V SNAP TH</t>
  </si>
  <si>
    <t>CAP FILM 0.47UF 20% 305VAC RAD</t>
  </si>
  <si>
    <t>Cap Film 0.47uF 305VAC PET 20% (26.5 X 8.5 X 16.5mm) Radial 22.5mm 105°C Bulk</t>
  </si>
  <si>
    <t>CAP CER 1UF 25V X7R 0603</t>
  </si>
  <si>
    <t>CAP CER 0.1UF 50V X7R 0603</t>
  </si>
  <si>
    <t>CAP CER, 4.7 µF, 25 V, 0603</t>
  </si>
  <si>
    <t>CAP CER 2700PF 50V C0G 0603</t>
  </si>
  <si>
    <t>CAP CER 1000PF 250V X7R 0805</t>
  </si>
  <si>
    <t>CAP ALUM 1000UF 20% 16V RADIAL</t>
  </si>
  <si>
    <t>CAP CER 10UF 25V X7R 1210</t>
  </si>
  <si>
    <t>CAP ALUM 22UF 20% 50V SMD</t>
  </si>
  <si>
    <t>CAP CER 560PF 50V C0G/NP0 0603</t>
  </si>
  <si>
    <t>CAP CER 820PF 50V C0G/NPO 0603</t>
  </si>
  <si>
    <t>CAP CER 0.47UF 50V X5R 0603</t>
  </si>
  <si>
    <t>CAP CER 3.3UF 50V X7R 1210</t>
  </si>
  <si>
    <t>CAP CER 68PF 100V C0G 0603</t>
  </si>
  <si>
    <t>CAP CER 0.22UF 16V X7R 0603</t>
  </si>
  <si>
    <t>CAP CER 220PF 50V C0G 0603</t>
  </si>
  <si>
    <t>CAP CER 0.022UF 100V X7R 0603</t>
  </si>
  <si>
    <t>CAP CER 2200PF 1.5KV RADIAL</t>
  </si>
  <si>
    <t>FILM CAP MKP DC FILTERING - 600V</t>
  </si>
  <si>
    <t>CAP CER 10UF 50V X7R 1210</t>
  </si>
  <si>
    <t>CAP ALUM 50V POLAR</t>
  </si>
  <si>
    <t>CAP CER 470PF 500V X7R 1206</t>
  </si>
  <si>
    <t>250V 100nF X7R ±10% 1206 Multilayer Ceramic Capacitors MLCC - SMD/SMT ROHS</t>
  </si>
  <si>
    <t>CAP CER 1000PF 50V C0G/NP0 0603</t>
  </si>
  <si>
    <t>CAP CER 2200PF 50V C0G 0603</t>
  </si>
  <si>
    <t>CAP CER 2.2UF 16V X7R 0805</t>
  </si>
  <si>
    <t>CAP CER 0.47UF 16V X7R 0805</t>
  </si>
  <si>
    <t>CAP CER 330PF 50V C0G/NPO 0603</t>
  </si>
  <si>
    <t>CAP ALUM POLY 100UF 20% 25V SMD</t>
  </si>
  <si>
    <t>CAP FILM 2.2UF 5% 630VDC RADIAL</t>
  </si>
  <si>
    <t>22uF 450V 1.9Ω@100kHz ±20% 560mA@100kHz Plugin,D13xL20mm Aluminum Electrolytic Capacitors - Leaded ROHS</t>
  </si>
  <si>
    <t>DIODE GEN PURP 600V 3A DO201AD</t>
  </si>
  <si>
    <t>600V 1.8V@10A 10A TO-220-2 SiC Diodes ROHS</t>
  </si>
  <si>
    <t>200V Independent Type 1.25V@200mA 50ns 200mA SOT-23 Switching Diodes ROHS</t>
  </si>
  <si>
    <t>DIODE GEN PURP 1KV 1A SMB</t>
  </si>
  <si>
    <t>DIODE SCHOTTKY 100V 2A SMB</t>
  </si>
  <si>
    <t>DIODE GEN PURP 600V 1A SMA</t>
  </si>
  <si>
    <t>Diode Zener Single 13V 5% 200mW 2-Pin SOD-323 T/R</t>
  </si>
  <si>
    <t>DIODE ZENER 13V 200MW SOD323</t>
  </si>
  <si>
    <t>DIODE ARR SCHOTT 30V 200MA SOT23</t>
  </si>
  <si>
    <t>SMC(DO-214AB) Diodes - Fast Recovery Rectifiers ROHS</t>
  </si>
  <si>
    <t>DIODE ARRAY GP 200V 8A D2PAK</t>
  </si>
  <si>
    <t>DIODE SCHOTTKY 30V 200MA SOD323</t>
  </si>
  <si>
    <t>DIODE SCHOTTKY 40V 1A SOD123</t>
  </si>
  <si>
    <t>PC TEST POINT MULTIPURPOSE RED</t>
  </si>
  <si>
    <t>1x3P 18A -40℃~+105℃ 250V Orange 12~30 Direct Insert 5.08mm 2.5 1 3 Plugin,P=5.08mm Screw Terminal Blocks ROHS</t>
  </si>
  <si>
    <t>FUSE CLIP CARTRIDGE 250V 15A PCB</t>
  </si>
  <si>
    <t>PC TEST POINT MULTIPURPOSE BLACK</t>
  </si>
  <si>
    <t>Gold 250V 3A Straight Square Pins 2.5mm 2P 260℃ 6mm -40℃~+105℃ 3mm 2.54mm Plugin Black Brass 1x2P Plugin,P=2.54mm Pin Headers ROHS</t>
  </si>
  <si>
    <t>PC TEST POINT MULTIPURPOSE WHITE</t>
  </si>
  <si>
    <t>1x3P With Cover Plate 3 1 16mm -40℃~+105℃ 76A 1kV Black 6~14 Straight Needle 16 Plugin,P=16mm Barrier Terminal Blocks ROHS</t>
  </si>
  <si>
    <t>TERM BLOCK HDR 4POS 90DEG 5.08MM</t>
  </si>
  <si>
    <t>RELAY GEN PURPOSE SPST 16A 12V</t>
  </si>
  <si>
    <t>FIXED IND 118UH 13.9A 0.022OHM</t>
  </si>
  <si>
    <t>CMC 1MH 12A 2LN TH</t>
  </si>
  <si>
    <t>FIXED IND 2.2UH 3.6A 36 MOHM SMD</t>
  </si>
  <si>
    <t>FIXED IND 2.3UH 17.5A 3.7MOHM SM</t>
  </si>
  <si>
    <t>Transformer, Current Sense, 1: 100, 24A</t>
  </si>
  <si>
    <t>SMD HIGH CURRENT POWER INDUCTOR</t>
  </si>
  <si>
    <t>THT HIGH CURRENT POWER INDUCTOR</t>
  </si>
  <si>
    <t>MOSFET N-CH 650V 18A TO220-3</t>
  </si>
  <si>
    <t>MOSFET P-CH 40V 2.3A SOT23-3</t>
  </si>
  <si>
    <t>MOSFET P-CH 60V 1.6A SOT23-3</t>
  </si>
  <si>
    <t>50V 220mA 3.5Ω@10V,220mA 225mW 1.6V@1mA N Channel SOT-23 MOSFETs ROHS</t>
  </si>
  <si>
    <t>40V 300mW 200mA PNP SOT-23(TO-236) Bipolar Transistors - BJT ROHS</t>
  </si>
  <si>
    <t>Trans MOSFET N-CH 600V 0.12A Automotive 4-Pin(3+Tab) SOT-223</t>
  </si>
  <si>
    <t>650V 5A 950mΩ@10V 1 N-Channel TO-252 MOSFETs ROHS</t>
  </si>
  <si>
    <t>40V 200mW 100 200mA NPN SOT-23 Bipolar (BJT) ROHS</t>
  </si>
  <si>
    <t>MOSFET N-CH 650V 14A TO220-3</t>
  </si>
  <si>
    <t>TRANS PNP 40V 0.2A SOT23-3</t>
  </si>
  <si>
    <t>MOSFET N-CH 200V 84A TO220-3</t>
  </si>
  <si>
    <t>RES SMD 2.21 OHM 1% 1/8W 0805</t>
  </si>
  <si>
    <t>RES 10K OHM 1% 1/10W 0603</t>
  </si>
  <si>
    <t>RES 0.03 OHM 1% 2W 2512</t>
  </si>
  <si>
    <t>RES SMD 47.5K OHM 1% 1/10W 0603</t>
  </si>
  <si>
    <t>RES SMD 8.25K OHM 1% 1/10W 0603</t>
  </si>
  <si>
    <t>RES 47.5K OHM 1% 1/10W 0603</t>
  </si>
  <si>
    <t>RES SMD 100K OHM 1% 1/10W 0603</t>
  </si>
  <si>
    <t>RES 1M OHM 1% 1/8W 0805</t>
  </si>
  <si>
    <t>RES SMD 715K OHM 1% 1/4W 1206</t>
  </si>
  <si>
    <t>RES SMD 909K OHM 1% 1/10W 0603</t>
  </si>
  <si>
    <t>RES SMD 698K OHM 1% 1/4W 1206</t>
  </si>
  <si>
    <t>RES SMD 6.81K OHM 1% 1/10W 0603</t>
  </si>
  <si>
    <t>Res Metal Film 22 Ohm 10% 2W ±100ppm/C Conformal Coated AXL Ammo</t>
  </si>
  <si>
    <t>RES SMD 10K OHM 1% 1.5W 2512</t>
  </si>
  <si>
    <t>RES SMD 150K OHM 1% 3/4W 2010</t>
  </si>
  <si>
    <t>RES SMD 100 OHM 1% 1/4W 1206</t>
  </si>
  <si>
    <t>RES SMD 332K OHM 1% 1/4W 1206</t>
  </si>
  <si>
    <t>RES SMD 221 OHM 1% 1/10W 0603</t>
  </si>
  <si>
    <t>RES 49.9 OHM 1% 1/10W 0603</t>
  </si>
  <si>
    <t>RES SMD 23.2K OHM 1% 1/10W 0603</t>
  </si>
  <si>
    <t>RES SMD 10M OHM 5% 1/4W 1206</t>
  </si>
  <si>
    <t>RES 33.2K OHM 1% 1/10W 0603</t>
  </si>
  <si>
    <t>RES SMD 16.2K OHM 1% 1/10W 0603</t>
  </si>
  <si>
    <t>100mW Thick Film Resistors ±100ppm/℃ ±1% 13kΩ 0603 Chip Resistor - Surface Mount ROHS</t>
  </si>
  <si>
    <t>RES SMD 86.6K OHM 1% 1/10W 0603</t>
  </si>
  <si>
    <t>RES SMD 7.5K OHM 1% 1/10W 0603</t>
  </si>
  <si>
    <t>RES SMD 7.5K OHM 0.1% 1/10W 0603</t>
  </si>
  <si>
    <t>RES SMD 6.34KOHM 0.1% 1/10W 0603</t>
  </si>
  <si>
    <t>RES SMD 1 OHM 1% 1/4W 1206</t>
  </si>
  <si>
    <t>RES 100K OHM 1% 1/8W 0805</t>
  </si>
  <si>
    <t>RES 10 OHM 1% 3/4W 2010</t>
  </si>
  <si>
    <t>RES SMD 100 OHM 1% 1/10W 0603</t>
  </si>
  <si>
    <t>RES 10 OHM 1% 1/4W 1206</t>
  </si>
  <si>
    <t>250mW Thick Film Resistors 200V ±200ppm/℃ ±1% 2.21Ω 1206 Chip Resistor - Surface Mount ROHS</t>
  </si>
  <si>
    <t>RES 1K OHM 20W 5% TO220</t>
  </si>
  <si>
    <t>RES SMD 165K OHM 0.1% 1/10W 0603</t>
  </si>
  <si>
    <t>RES SMD 1K OHM 1% 1/10W 0603</t>
  </si>
  <si>
    <t>RESISTOR - ISA-WELD SHUNT, 0.000</t>
  </si>
  <si>
    <t>100mW Thick Film Resistors 75V ±100ppm/℃ ±1% 68.1kΩ 0603 Chip Resistor - Surface Mount ROHS</t>
  </si>
  <si>
    <t>RES 15.4K OHM 1% 1/10W 0603</t>
  </si>
  <si>
    <t>RES 2.49K OHM 1% 1/10W 0603</t>
  </si>
  <si>
    <t>RES 49.9K OHM 1% 1/10W 0603</t>
  </si>
  <si>
    <t>RES SMD 2.37K OHM 1% 1/10W 0603</t>
  </si>
  <si>
    <t>RES SMD 13K OHM 1% 1/10W 0603</t>
  </si>
  <si>
    <t>RES SMD 4.64K OHM 1% 1/10W 0603</t>
  </si>
  <si>
    <t>RES SMD 348 OHM 0.1% 1/10W 0603</t>
  </si>
  <si>
    <t>RES SMD 562 OHM 1% 1/10W 0603</t>
  </si>
  <si>
    <t>RES SMD 16.2 OHM 1% 1W 2512</t>
  </si>
  <si>
    <t>RES 0 OHM JUMPER 1/4W 1206</t>
  </si>
  <si>
    <t>RES SMD 60.4K OHM 1% 1/10W 0603</t>
  </si>
  <si>
    <t>RES 90.9K OHM 1% 1/10W 0603</t>
  </si>
  <si>
    <t>RES 140K OHM 1% 1/10W 0603</t>
  </si>
  <si>
    <t>RES SMD 102K OHM 0.1% 1/10W 0603</t>
  </si>
  <si>
    <t>RES 150K OHM 1% 1/10W 0603</t>
  </si>
  <si>
    <t>RES SMD 28K OHM 0.1% 1/10W 0603</t>
  </si>
  <si>
    <t>RES SMD 27.4KOHM 0.1% 1/10W 0603</t>
  </si>
  <si>
    <t>RES SMD 4.75K OHM 1% 1/10W 0603</t>
  </si>
  <si>
    <t>ICL 10 OHM 20% 8A 26MM</t>
  </si>
  <si>
    <t>XFMR FLYBACK AC/DC CONV 2MH TH</t>
  </si>
  <si>
    <t>Gate Drive Transformer</t>
  </si>
  <si>
    <t>IC GATE DRVR LOW-SIDE SOT23-5</t>
  </si>
  <si>
    <t>OPTOISOLATOR 5KV TRANSISTOR 4SMD</t>
  </si>
  <si>
    <t>IC VREF SHUNT ADJ 1% SOT23-3</t>
  </si>
  <si>
    <t>IC OFFLINE SWITCH FLYBACK 8VSSOP</t>
  </si>
  <si>
    <t>IC PFC CTRLR CCM 250KHZ 8SOIC</t>
  </si>
  <si>
    <t>IC GATE DRVR LOW-SIDE 8MSOP</t>
  </si>
  <si>
    <t>IC OPAMP ZER-DRIFT 1CIRC SOT23-5</t>
  </si>
  <si>
    <t>PWR MGMT MOSFET/PWR DRIVER</t>
  </si>
  <si>
    <t>IC CMOS 2 CIRCUIT 8SOIC</t>
  </si>
  <si>
    <t>IC REG LINEAR 3.45V 50MA SC70-5</t>
  </si>
  <si>
    <t>VARISTOR 430V 10KA DISC 20MM</t>
  </si>
  <si>
    <t>Footprint</t>
  </si>
  <si>
    <t>GSIB-5S</t>
  </si>
  <si>
    <t>C771U472MYWDBA7317</t>
  </si>
  <si>
    <t>381LR331M450K052</t>
  </si>
  <si>
    <t>B32933A3474M000</t>
  </si>
  <si>
    <t>R75PR4100AA30K</t>
  </si>
  <si>
    <t>Cap-0603</t>
  </si>
  <si>
    <t>Cap-0805</t>
  </si>
  <si>
    <t>EEU-FM1C102B</t>
  </si>
  <si>
    <t>Cap-1210</t>
  </si>
  <si>
    <t>DE1E3RA222MN4AP01F</t>
  </si>
  <si>
    <t>B32774X5106K000</t>
  </si>
  <si>
    <t>EKZM500ELL471MK20S</t>
  </si>
  <si>
    <t>Cap-1206</t>
  </si>
  <si>
    <t>ECW-FA2J225J</t>
  </si>
  <si>
    <t>01EC2051</t>
  </si>
  <si>
    <t>DO-201AD</t>
  </si>
  <si>
    <t>TO-220-2</t>
  </si>
  <si>
    <t>SOT-23</t>
  </si>
  <si>
    <t>SMB_</t>
  </si>
  <si>
    <t>SMA</t>
  </si>
  <si>
    <t>SOD-123FL</t>
  </si>
  <si>
    <t>SOD-323</t>
  </si>
  <si>
    <t>SMC</t>
  </si>
  <si>
    <t>D2Pak.</t>
  </si>
  <si>
    <t>SOD-123</t>
  </si>
  <si>
    <t>DB128L-5.08-3P-OG-S</t>
  </si>
  <si>
    <t>01020071Z</t>
  </si>
  <si>
    <t>HDR1X2_</t>
  </si>
  <si>
    <t>KF88SM-16.0-3P</t>
  </si>
  <si>
    <t>ALZ51B12W</t>
  </si>
  <si>
    <t>CS4100V-01L</t>
  </si>
  <si>
    <t>CSBL1809-100M</t>
  </si>
  <si>
    <t>CPRX3231L-8R2MC</t>
  </si>
  <si>
    <t>TO-220-3</t>
  </si>
  <si>
    <t>Sot-23</t>
  </si>
  <si>
    <t>SOT- 223</t>
  </si>
  <si>
    <t>TO-252-2L</t>
  </si>
  <si>
    <t>RES-0805</t>
  </si>
  <si>
    <t>Res-0603</t>
  </si>
  <si>
    <t>RES-2512</t>
  </si>
  <si>
    <t>Res-1206</t>
  </si>
  <si>
    <t>EMC2-22RKI</t>
  </si>
  <si>
    <t>RES-2010</t>
  </si>
  <si>
    <t>BVR-Z-R0002-1.0</t>
  </si>
  <si>
    <t>B57464S0100M000</t>
  </si>
  <si>
    <t>PQ50-50 145400-A</t>
  </si>
  <si>
    <t>SOT-23-5</t>
  </si>
  <si>
    <t>FOD817DSD</t>
  </si>
  <si>
    <t>VSSOP-8-0.65mm</t>
  </si>
  <si>
    <t>SOIC-8</t>
  </si>
  <si>
    <t>8-HVSSOP</t>
  </si>
  <si>
    <t>TSSOP-24</t>
  </si>
  <si>
    <t>SOIC-8(0.154", 3.90mm Width)</t>
  </si>
  <si>
    <t>SC70-5</t>
  </si>
  <si>
    <t>B72220S2271K101</t>
  </si>
  <si>
    <t>Manufacturer Part Number</t>
  </si>
  <si>
    <t>GSIB2560-E3/45</t>
  </si>
  <si>
    <t>C1608X7R1E105K080AB</t>
  </si>
  <si>
    <t>C1608X5R1E475KT000E</t>
  </si>
  <si>
    <t>C1608C0G1H272J080AA</t>
  </si>
  <si>
    <t>C2012X7R2E102K085AA</t>
  </si>
  <si>
    <t>C3225X7R1E106M250AC</t>
  </si>
  <si>
    <t>EEE-FK1H220P</t>
  </si>
  <si>
    <t>06035A561JAT2A</t>
  </si>
  <si>
    <t>CC0603JRNPO9BN821</t>
  </si>
  <si>
    <t>CL10A474KB8NNNC</t>
  </si>
  <si>
    <t>C1210C335K5RAC7800</t>
  </si>
  <si>
    <t>CGA3E2C0G2A680JT0Y0N</t>
  </si>
  <si>
    <t>CC0603KRX7R7BB224</t>
  </si>
  <si>
    <t>C1608C0G1H221J080AA</t>
  </si>
  <si>
    <t>CGA3E2X7R2A223K080AA</t>
  </si>
  <si>
    <t>GRM32ER71H106KA12L</t>
  </si>
  <si>
    <t>CC1206KKX7RBBB471</t>
  </si>
  <si>
    <t>C3216X7R2E104KT0L0U</t>
  </si>
  <si>
    <t>CL10C102JB8NNNC</t>
  </si>
  <si>
    <t>C1608C0G1H222J080AA</t>
  </si>
  <si>
    <t>EMK212B7225KGHT</t>
  </si>
  <si>
    <t>VJ0805Y474KXJTW1BC</t>
  </si>
  <si>
    <t>CC0603JRNPO9BN331</t>
  </si>
  <si>
    <t>25SVPF100M</t>
  </si>
  <si>
    <t>1N5406-E3/73</t>
  </si>
  <si>
    <t>IDH10SG60C</t>
  </si>
  <si>
    <t>BAS21HE3-TP</t>
  </si>
  <si>
    <t>RS1MB-13-F</t>
  </si>
  <si>
    <t>MBRS2H100T3G</t>
  </si>
  <si>
    <t>MURA160T3G</t>
  </si>
  <si>
    <t>SMD110PL-TP</t>
  </si>
  <si>
    <t>MMSZ5243BS-7-F</t>
  </si>
  <si>
    <t>BAT54SLT1G</t>
  </si>
  <si>
    <t>MURS360T3G</t>
  </si>
  <si>
    <t>MURB1620CTT4G</t>
  </si>
  <si>
    <t>BAT42WS-7-F</t>
  </si>
  <si>
    <t>1N5819HW-7-F</t>
  </si>
  <si>
    <t>X6511WV-02H-C60D30</t>
  </si>
  <si>
    <t>IPP65R125C7</t>
  </si>
  <si>
    <t>SI2319DS-T1-E3</t>
  </si>
  <si>
    <t>SI2309CDS-T1-E3</t>
  </si>
  <si>
    <t>BSS138</t>
  </si>
  <si>
    <t>MMBT3906</t>
  </si>
  <si>
    <t>BSP135H6327XTSA1</t>
  </si>
  <si>
    <t>FCD4N60TM-VB</t>
  </si>
  <si>
    <t>MMBT3904</t>
  </si>
  <si>
    <t>IPP65R190CFDXKSA1</t>
  </si>
  <si>
    <t>MMBT3906-7-F</t>
  </si>
  <si>
    <t>IPP120N20NFD</t>
  </si>
  <si>
    <t>CRCW08052R21FKEA</t>
  </si>
  <si>
    <t>PA2512FKE7W0R03E</t>
  </si>
  <si>
    <t>CRCW060347K5FKEA</t>
  </si>
  <si>
    <t>CRCW06038K25FKEA</t>
  </si>
  <si>
    <t>RC0603FR-0747K5L</t>
  </si>
  <si>
    <t>RC0805FR-071ML</t>
  </si>
  <si>
    <t>CRCW1206715KFKEA</t>
  </si>
  <si>
    <t>CRCW0603909KFKEA</t>
  </si>
  <si>
    <t>CRCW1206698KFKEA</t>
  </si>
  <si>
    <t>CRCW06036K81FKEA</t>
  </si>
  <si>
    <t>CRCW251210K0FKEGHP</t>
  </si>
  <si>
    <t>CRCW2010150KFKEF</t>
  </si>
  <si>
    <t>CRCW1206100RFKEA</t>
  </si>
  <si>
    <t>CRCW1206332KFKEA</t>
  </si>
  <si>
    <t>CRCW0603221RFKEA</t>
  </si>
  <si>
    <t>RC0603FR-0749R9L</t>
  </si>
  <si>
    <t>CRCW060323K2FKEA</t>
  </si>
  <si>
    <t>CRCW120610M0JNEA</t>
  </si>
  <si>
    <t>RC0603FR-0733K2L</t>
  </si>
  <si>
    <t>CRCW060316K2FKEA</t>
  </si>
  <si>
    <t>0603WAF1302T5E</t>
  </si>
  <si>
    <t>CRCW060386K6FKEA</t>
  </si>
  <si>
    <t>CRCW06037K50FKEA</t>
  </si>
  <si>
    <t>RT0603BRD077K5L</t>
  </si>
  <si>
    <t>RT0603BRD076K34L</t>
  </si>
  <si>
    <t>CRCW12061R00FKEA</t>
  </si>
  <si>
    <t>RC0805FR-07100KL</t>
  </si>
  <si>
    <t>RC2010FK-0710RL</t>
  </si>
  <si>
    <t>CRCW0603100RFKEA</t>
  </si>
  <si>
    <t>RC1206FR-0710RL</t>
  </si>
  <si>
    <t>FRC1206F2R21TS</t>
  </si>
  <si>
    <t>RTO020F10000JTE3</t>
  </si>
  <si>
    <t>RT0603BRD07165KL</t>
  </si>
  <si>
    <t>CRCW06031K00FKEA</t>
  </si>
  <si>
    <t>0603WAF6812T5E</t>
  </si>
  <si>
    <t>RC0603FR-0715K4L</t>
  </si>
  <si>
    <t>RC0603FR-072K49L</t>
  </si>
  <si>
    <t>RC0603FR-0749K9L</t>
  </si>
  <si>
    <t>CRCW06032K37FKEA</t>
  </si>
  <si>
    <t>RT0603FRE0713KL</t>
  </si>
  <si>
    <t>CRCW06034K64FKEA</t>
  </si>
  <si>
    <t>RT0603BRD07348RL</t>
  </si>
  <si>
    <t>CRCW0603562RFKEA</t>
  </si>
  <si>
    <t>CRCW251216R2FKEG</t>
  </si>
  <si>
    <t>RC1206JR-070RL</t>
  </si>
  <si>
    <t>CRCW060360K4FKEA</t>
  </si>
  <si>
    <t>RC0603FR-0790K9L</t>
  </si>
  <si>
    <t>RC0603FR-07140KL</t>
  </si>
  <si>
    <t>RT0603BRE07102KL</t>
  </si>
  <si>
    <t>CRCW0603150KFKEA</t>
  </si>
  <si>
    <t>RT0603BRD0728KL</t>
  </si>
  <si>
    <t>RT0603BRD0727K4L</t>
  </si>
  <si>
    <t>CRCW06034K75FKEA</t>
  </si>
  <si>
    <t>56P3362</t>
  </si>
  <si>
    <t>UCC27517DBVR</t>
  </si>
  <si>
    <t>TL431AIDBZR</t>
  </si>
  <si>
    <t>LMV431AIMFX/NOPB</t>
  </si>
  <si>
    <t>LM5023MM-2/NOPB</t>
  </si>
  <si>
    <t>UCC28180DR</t>
  </si>
  <si>
    <t>UCC27524DGN</t>
  </si>
  <si>
    <t>OPA378AIDBVR</t>
  </si>
  <si>
    <t>UCC28951PWR</t>
  </si>
  <si>
    <t>TLC272CDR</t>
  </si>
  <si>
    <t>TPS715345DCKR</t>
  </si>
  <si>
    <t>Manufacturer</t>
  </si>
  <si>
    <t>Vishay Semiconductors</t>
  </si>
  <si>
    <t>KEMET</t>
  </si>
  <si>
    <t>Cornell Dubilier</t>
  </si>
  <si>
    <t>TDK EPCOS</t>
  </si>
  <si>
    <t>TDK</t>
  </si>
  <si>
    <t>Panasonic</t>
  </si>
  <si>
    <t>TDK Corporation</t>
  </si>
  <si>
    <t>Kyocera AVX</t>
  </si>
  <si>
    <t>Yageo</t>
  </si>
  <si>
    <t>Samsung</t>
  </si>
  <si>
    <t>Murata</t>
  </si>
  <si>
    <t>United Chemi-Con</t>
  </si>
  <si>
    <t>Taiyo Yuden</t>
  </si>
  <si>
    <t>Vishay Vitramon</t>
  </si>
  <si>
    <t>KNSCHA</t>
  </si>
  <si>
    <t>Infineon</t>
  </si>
  <si>
    <t>MCC</t>
  </si>
  <si>
    <t>ON Semiconductor</t>
  </si>
  <si>
    <t>Diodes Zetex</t>
  </si>
  <si>
    <t>FUXINSEMI</t>
  </si>
  <si>
    <t>Keystone Electronics</t>
  </si>
  <si>
    <t>DORABO</t>
  </si>
  <si>
    <t>Littelfuse</t>
  </si>
  <si>
    <t>XKB</t>
  </si>
  <si>
    <t>Cixi Kefa Elec</t>
  </si>
  <si>
    <t>Phoenix Contact</t>
  </si>
  <si>
    <t>Wurth Electronics</t>
  </si>
  <si>
    <t>Coilcraft</t>
  </si>
  <si>
    <t>Codaca</t>
  </si>
  <si>
    <t>Vishay Siliconix</t>
  </si>
  <si>
    <t>Slkor(SLKORMICRO Elec.)</t>
  </si>
  <si>
    <t>YONGYUTAI</t>
  </si>
  <si>
    <t>VBsemi Elec</t>
  </si>
  <si>
    <t>ElecSuper</t>
  </si>
  <si>
    <t>Vishay Dale</t>
  </si>
  <si>
    <t>Vishay</t>
  </si>
  <si>
    <t>TT Welwyn</t>
  </si>
  <si>
    <t>UNI-ROYAL</t>
  </si>
  <si>
    <t>FOJAN</t>
  </si>
  <si>
    <t>Vishay Sfernice</t>
  </si>
  <si>
    <t>Isabellenhütte</t>
  </si>
  <si>
    <t>Uniroyal</t>
  </si>
  <si>
    <t>Vitec</t>
  </si>
  <si>
    <t>Texas Instruments</t>
  </si>
  <si>
    <t>ON Semiconductor / Fairchild</t>
  </si>
  <si>
    <t>TI National Semiconductor</t>
  </si>
  <si>
    <t>4.7nF</t>
  </si>
  <si>
    <t>330uF</t>
  </si>
  <si>
    <t>0.47uF</t>
  </si>
  <si>
    <t>1uF</t>
  </si>
  <si>
    <t>0.1uF</t>
  </si>
  <si>
    <t>4.7uF</t>
  </si>
  <si>
    <t>2700pF</t>
  </si>
  <si>
    <t>1nF</t>
  </si>
  <si>
    <t>1000uF</t>
  </si>
  <si>
    <t>10uF</t>
  </si>
  <si>
    <t>22uF</t>
  </si>
  <si>
    <t>560pF</t>
  </si>
  <si>
    <t>820pF</t>
  </si>
  <si>
    <t>3.3uF</t>
  </si>
  <si>
    <t>68pF</t>
  </si>
  <si>
    <t>0.22uF</t>
  </si>
  <si>
    <t>220pF</t>
  </si>
  <si>
    <t>22nF</t>
  </si>
  <si>
    <t>2.2nF</t>
  </si>
  <si>
    <t>470uF</t>
  </si>
  <si>
    <t>470pF</t>
  </si>
  <si>
    <t>100nF</t>
  </si>
  <si>
    <t>1000pF</t>
  </si>
  <si>
    <t>2.2uF</t>
  </si>
  <si>
    <t>330pF</t>
  </si>
  <si>
    <t>100uF</t>
  </si>
  <si>
    <t>118uH</t>
  </si>
  <si>
    <t>2.2uH</t>
  </si>
  <si>
    <t>10uH</t>
  </si>
  <si>
    <t>8.2uH</t>
  </si>
  <si>
    <t>2.21R</t>
  </si>
  <si>
    <t>10K</t>
  </si>
  <si>
    <t>30mR</t>
  </si>
  <si>
    <t>47.5K</t>
  </si>
  <si>
    <t>8.25K</t>
  </si>
  <si>
    <t>100K</t>
  </si>
  <si>
    <t>1M</t>
  </si>
  <si>
    <t>715K</t>
  </si>
  <si>
    <t>909K</t>
  </si>
  <si>
    <t>698K</t>
  </si>
  <si>
    <t>6.18K</t>
  </si>
  <si>
    <t>22R Fusible</t>
  </si>
  <si>
    <t>150K</t>
  </si>
  <si>
    <t>100R</t>
  </si>
  <si>
    <t>332K</t>
  </si>
  <si>
    <t>221R</t>
  </si>
  <si>
    <t>49.9R</t>
  </si>
  <si>
    <t>23.2K</t>
  </si>
  <si>
    <t>10M</t>
  </si>
  <si>
    <t>33.2K</t>
  </si>
  <si>
    <t>16.2K</t>
  </si>
  <si>
    <t>13K</t>
  </si>
  <si>
    <t>86.6k</t>
  </si>
  <si>
    <t>7.5K</t>
  </si>
  <si>
    <t>6.34k</t>
  </si>
  <si>
    <t>1R</t>
  </si>
  <si>
    <t>10R</t>
  </si>
  <si>
    <t>1K</t>
  </si>
  <si>
    <t>165K</t>
  </si>
  <si>
    <t>0.2mR</t>
  </si>
  <si>
    <t>68.1K</t>
  </si>
  <si>
    <t>15.4K</t>
  </si>
  <si>
    <t>2.49K</t>
  </si>
  <si>
    <t>49K9</t>
  </si>
  <si>
    <t>2.37K</t>
  </si>
  <si>
    <t>4.64K</t>
  </si>
  <si>
    <t>348R</t>
  </si>
  <si>
    <t>562R</t>
  </si>
  <si>
    <t>16.2R</t>
  </si>
  <si>
    <t>0R</t>
  </si>
  <si>
    <t>60.4K</t>
  </si>
  <si>
    <t>90.9K</t>
  </si>
  <si>
    <t>140K</t>
  </si>
  <si>
    <t>102K</t>
  </si>
  <si>
    <t>28K</t>
  </si>
  <si>
    <t>27.4K</t>
  </si>
  <si>
    <t>4.75K</t>
  </si>
  <si>
    <t>Quantity</t>
  </si>
  <si>
    <t>Value</t>
  </si>
  <si>
    <t>Remarks</t>
  </si>
  <si>
    <t>Custom</t>
  </si>
  <si>
    <t>CL10B104KB8WPNC</t>
  </si>
  <si>
    <t>-</t>
  </si>
  <si>
    <t>RK73G1JTTD1002F</t>
  </si>
  <si>
    <t>CRCW0603100KFKEA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</si>
</sst>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150"/>
  <sheetViews>
    <sheetView tabSelected="1" topLeftCell="A130" workbookViewId="0">
      <selection activeCell="O12" sqref="O12"/>
    </sheetView>
  </sheetViews>
  <sheetFormatPr defaultRowHeight="15" x14ac:dyDescent="0.25"/>
  <cols>
    <col min="2" max="2" width="4" style="4" bestFit="1" customWidth="1"/>
    <col min="3" max="3" width="18.7109375" style="4" bestFit="1" customWidth="1"/>
    <col min="4" max="4" width="36" bestFit="1" customWidth="1"/>
    <col min="5" max="5" width="30" customWidth="1"/>
    <col min="6" max="6" width="23.85546875" bestFit="1" customWidth="1"/>
    <col min="7" max="7" width="25.28515625" bestFit="1" customWidth="1"/>
    <col min="8" max="8" width="21.42578125" bestFit="1" customWidth="1"/>
    <col min="9" max="9" width="10" bestFit="1" customWidth="1"/>
    <col min="10" max="10" width="8.7109375" bestFit="1" customWidth="1"/>
    <col min="11" max="11" width="8.5703125" bestFit="1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4"/>
      <c r="J1" s="14"/>
      <c r="K1" s="14"/>
    </row>
    <row r="2" spans="1:11" ht="15.75" thickBot="1" x14ac:dyDescent="0.3">
      <c r="A2" s="1"/>
      <c r="B2" s="5" t="s">
        <v>0</v>
      </c>
      <c r="C2" s="5" t="s">
        <v>1</v>
      </c>
      <c r="D2" s="5" t="s">
        <v>29</v>
      </c>
      <c r="E2" s="6" t="s">
        <v>178</v>
      </c>
      <c r="F2" s="5" t="s">
        <v>325</v>
      </c>
      <c r="G2" s="6" t="s">
        <v>381</v>
      </c>
      <c r="H2" s="5" t="s">
        <v>495</v>
      </c>
      <c r="I2" s="6" t="s">
        <v>620</v>
      </c>
      <c r="J2" s="5" t="s">
        <v>619</v>
      </c>
      <c r="K2" s="5" t="s">
        <v>621</v>
      </c>
    </row>
    <row r="3" spans="1:11" ht="15.75" thickBot="1" x14ac:dyDescent="0.3">
      <c r="A3" s="1"/>
      <c r="B3" s="11">
        <f>ROW(B3) - ROW($B$2)</f>
        <v>1</v>
      </c>
      <c r="C3" s="12" t="s">
        <v>2</v>
      </c>
      <c r="D3" s="7" t="s">
        <v>30</v>
      </c>
      <c r="E3" s="8" t="s">
        <v>179</v>
      </c>
      <c r="F3" s="7" t="s">
        <v>326</v>
      </c>
      <c r="G3" s="8" t="s">
        <v>382</v>
      </c>
      <c r="H3" s="7" t="s">
        <v>496</v>
      </c>
      <c r="I3" s="8" t="s">
        <v>624</v>
      </c>
      <c r="J3" s="7">
        <v>1</v>
      </c>
      <c r="K3" s="7"/>
    </row>
    <row r="4" spans="1:11" ht="15.75" thickBot="1" x14ac:dyDescent="0.3">
      <c r="A4" s="1"/>
      <c r="B4" s="11">
        <f t="shared" ref="B4:B150" si="0">ROW(B4) - ROW($B$2)</f>
        <v>2</v>
      </c>
      <c r="C4" s="13" t="s">
        <v>3</v>
      </c>
      <c r="D4" s="9" t="s">
        <v>31</v>
      </c>
      <c r="E4" s="10" t="s">
        <v>180</v>
      </c>
      <c r="F4" s="9" t="s">
        <v>622</v>
      </c>
      <c r="G4" s="10" t="s">
        <v>327</v>
      </c>
      <c r="H4" s="9" t="s">
        <v>497</v>
      </c>
      <c r="I4" s="10" t="s">
        <v>542</v>
      </c>
      <c r="J4" s="9">
        <v>4</v>
      </c>
      <c r="K4" s="9"/>
    </row>
    <row r="5" spans="1:11" ht="26.25" thickBot="1" x14ac:dyDescent="0.3">
      <c r="A5" s="1"/>
      <c r="B5" s="11">
        <f>ROW(B5) - ROW($B$2)</f>
        <v>3</v>
      </c>
      <c r="C5" s="12" t="s">
        <v>4</v>
      </c>
      <c r="D5" s="7" t="s">
        <v>32</v>
      </c>
      <c r="E5" s="8" t="s">
        <v>181</v>
      </c>
      <c r="F5" s="9" t="s">
        <v>622</v>
      </c>
      <c r="G5" s="8" t="s">
        <v>328</v>
      </c>
      <c r="H5" s="7" t="s">
        <v>498</v>
      </c>
      <c r="I5" s="8" t="s">
        <v>543</v>
      </c>
      <c r="J5" s="7">
        <v>4</v>
      </c>
      <c r="K5" s="7"/>
    </row>
    <row r="6" spans="1:11" ht="15.75" thickBot="1" x14ac:dyDescent="0.3">
      <c r="A6" s="1"/>
      <c r="B6" s="11">
        <f t="shared" si="0"/>
        <v>4</v>
      </c>
      <c r="C6" s="13" t="s">
        <v>3</v>
      </c>
      <c r="D6" s="9" t="s">
        <v>33</v>
      </c>
      <c r="E6" s="10" t="s">
        <v>182</v>
      </c>
      <c r="F6" s="9" t="s">
        <v>622</v>
      </c>
      <c r="G6" s="10" t="s">
        <v>329</v>
      </c>
      <c r="H6" s="9" t="s">
        <v>499</v>
      </c>
      <c r="I6" s="10" t="s">
        <v>544</v>
      </c>
      <c r="J6" s="9">
        <v>2</v>
      </c>
      <c r="K6" s="9"/>
    </row>
    <row r="7" spans="1:11" ht="36.75" thickBot="1" x14ac:dyDescent="0.3">
      <c r="A7" s="1"/>
      <c r="B7" s="11">
        <f>ROW(B7) - ROW($B$2)</f>
        <v>5</v>
      </c>
      <c r="C7" s="12" t="s">
        <v>3</v>
      </c>
      <c r="D7" s="7" t="s">
        <v>34</v>
      </c>
      <c r="E7" s="8" t="s">
        <v>183</v>
      </c>
      <c r="F7" s="9" t="s">
        <v>622</v>
      </c>
      <c r="G7" s="8" t="s">
        <v>330</v>
      </c>
      <c r="H7" s="7" t="s">
        <v>497</v>
      </c>
      <c r="I7" s="8" t="s">
        <v>545</v>
      </c>
      <c r="J7" s="7">
        <v>1</v>
      </c>
      <c r="K7" s="7"/>
    </row>
    <row r="8" spans="1:11" ht="24.75" thickBot="1" x14ac:dyDescent="0.3">
      <c r="A8" s="1"/>
      <c r="B8" s="11">
        <f t="shared" si="0"/>
        <v>6</v>
      </c>
      <c r="C8" s="13" t="s">
        <v>3</v>
      </c>
      <c r="D8" s="9" t="s">
        <v>35</v>
      </c>
      <c r="E8" s="10" t="s">
        <v>184</v>
      </c>
      <c r="F8" s="9" t="s">
        <v>331</v>
      </c>
      <c r="G8" s="10" t="s">
        <v>383</v>
      </c>
      <c r="H8" s="9" t="s">
        <v>500</v>
      </c>
      <c r="I8" s="10" t="s">
        <v>545</v>
      </c>
      <c r="J8" s="9">
        <v>16</v>
      </c>
      <c r="K8" s="9"/>
    </row>
    <row r="9" spans="1:11" ht="24.75" thickBot="1" x14ac:dyDescent="0.3">
      <c r="A9" s="1"/>
      <c r="B9" s="11">
        <f>ROW(B9) - ROW($B$2)</f>
        <v>7</v>
      </c>
      <c r="C9" s="12" t="s">
        <v>5</v>
      </c>
      <c r="D9" s="7" t="s">
        <v>36</v>
      </c>
      <c r="E9" s="8" t="s">
        <v>185</v>
      </c>
      <c r="F9" s="7" t="s">
        <v>331</v>
      </c>
      <c r="G9" s="10" t="s">
        <v>623</v>
      </c>
      <c r="H9" s="7" t="s">
        <v>505</v>
      </c>
      <c r="I9" s="8" t="s">
        <v>546</v>
      </c>
      <c r="J9" s="7">
        <v>18</v>
      </c>
      <c r="K9" s="7"/>
    </row>
    <row r="10" spans="1:11" ht="15.75" thickBot="1" x14ac:dyDescent="0.3">
      <c r="A10" s="1"/>
      <c r="B10" s="11">
        <f t="shared" si="0"/>
        <v>8</v>
      </c>
      <c r="C10" s="13" t="s">
        <v>5</v>
      </c>
      <c r="D10" s="9" t="s">
        <v>37</v>
      </c>
      <c r="E10" s="10" t="s">
        <v>186</v>
      </c>
      <c r="F10" s="9" t="s">
        <v>331</v>
      </c>
      <c r="G10" s="10" t="s">
        <v>384</v>
      </c>
      <c r="H10" s="9" t="s">
        <v>500</v>
      </c>
      <c r="I10" s="10" t="s">
        <v>547</v>
      </c>
      <c r="J10" s="9">
        <v>1</v>
      </c>
      <c r="K10" s="9"/>
    </row>
    <row r="11" spans="1:11" ht="15.75" thickBot="1" x14ac:dyDescent="0.3">
      <c r="A11" s="1"/>
      <c r="B11" s="11">
        <f>ROW(B11) - ROW($B$2)</f>
        <v>9</v>
      </c>
      <c r="C11" s="12" t="s">
        <v>3</v>
      </c>
      <c r="D11" s="7" t="s">
        <v>38</v>
      </c>
      <c r="E11" s="8" t="s">
        <v>187</v>
      </c>
      <c r="F11" s="7" t="s">
        <v>331</v>
      </c>
      <c r="G11" s="8" t="s">
        <v>385</v>
      </c>
      <c r="H11" s="7" t="s">
        <v>500</v>
      </c>
      <c r="I11" s="8" t="s">
        <v>548</v>
      </c>
      <c r="J11" s="7">
        <v>2</v>
      </c>
      <c r="K11" s="7"/>
    </row>
    <row r="12" spans="1:11" ht="15.75" thickBot="1" x14ac:dyDescent="0.3">
      <c r="A12" s="1"/>
      <c r="B12" s="11">
        <f t="shared" si="0"/>
        <v>10</v>
      </c>
      <c r="C12" s="13" t="s">
        <v>5</v>
      </c>
      <c r="D12" s="9" t="s">
        <v>39</v>
      </c>
      <c r="E12" s="10" t="s">
        <v>188</v>
      </c>
      <c r="F12" s="9" t="s">
        <v>332</v>
      </c>
      <c r="G12" s="10" t="s">
        <v>386</v>
      </c>
      <c r="H12" s="9" t="s">
        <v>500</v>
      </c>
      <c r="I12" s="10" t="s">
        <v>549</v>
      </c>
      <c r="J12" s="9">
        <v>2</v>
      </c>
      <c r="K12" s="9"/>
    </row>
    <row r="13" spans="1:11" ht="15.75" thickBot="1" x14ac:dyDescent="0.3">
      <c r="A13" s="1"/>
      <c r="B13" s="11">
        <f>ROW(B13) - ROW($B$2)</f>
        <v>11</v>
      </c>
      <c r="C13" s="12" t="s">
        <v>3</v>
      </c>
      <c r="D13" s="7" t="s">
        <v>40</v>
      </c>
      <c r="E13" s="8" t="s">
        <v>189</v>
      </c>
      <c r="F13" s="9" t="s">
        <v>622</v>
      </c>
      <c r="G13" s="8" t="s">
        <v>333</v>
      </c>
      <c r="H13" s="7" t="s">
        <v>501</v>
      </c>
      <c r="I13" s="8" t="s">
        <v>550</v>
      </c>
      <c r="J13" s="7">
        <v>1</v>
      </c>
      <c r="K13" s="7"/>
    </row>
    <row r="14" spans="1:11" ht="15.75" thickBot="1" x14ac:dyDescent="0.3">
      <c r="A14" s="1"/>
      <c r="B14" s="11">
        <f t="shared" si="0"/>
        <v>12</v>
      </c>
      <c r="C14" s="13" t="s">
        <v>3</v>
      </c>
      <c r="D14" s="9" t="s">
        <v>41</v>
      </c>
      <c r="E14" s="10" t="s">
        <v>190</v>
      </c>
      <c r="F14" s="9" t="s">
        <v>334</v>
      </c>
      <c r="G14" s="10" t="s">
        <v>387</v>
      </c>
      <c r="H14" s="9" t="s">
        <v>502</v>
      </c>
      <c r="I14" s="10" t="s">
        <v>551</v>
      </c>
      <c r="J14" s="9">
        <v>2</v>
      </c>
      <c r="K14" s="9"/>
    </row>
    <row r="15" spans="1:11" ht="15.75" thickBot="1" x14ac:dyDescent="0.3">
      <c r="A15" s="1"/>
      <c r="B15" s="11">
        <f>ROW(B15) - ROW($B$2)</f>
        <v>13</v>
      </c>
      <c r="C15" s="12" t="s">
        <v>3</v>
      </c>
      <c r="D15" s="7" t="s">
        <v>42</v>
      </c>
      <c r="E15" s="8" t="s">
        <v>191</v>
      </c>
      <c r="F15" s="9" t="s">
        <v>622</v>
      </c>
      <c r="G15" s="8" t="s">
        <v>388</v>
      </c>
      <c r="H15" s="7" t="s">
        <v>501</v>
      </c>
      <c r="I15" s="8" t="s">
        <v>552</v>
      </c>
      <c r="J15" s="7">
        <v>1</v>
      </c>
      <c r="K15" s="7"/>
    </row>
    <row r="16" spans="1:11" ht="15.75" thickBot="1" x14ac:dyDescent="0.3">
      <c r="A16" s="1"/>
      <c r="B16" s="11">
        <f t="shared" si="0"/>
        <v>14</v>
      </c>
      <c r="C16" s="13" t="s">
        <v>5</v>
      </c>
      <c r="D16" s="9" t="s">
        <v>43</v>
      </c>
      <c r="E16" s="10" t="s">
        <v>192</v>
      </c>
      <c r="F16" s="9" t="s">
        <v>331</v>
      </c>
      <c r="G16" s="10" t="s">
        <v>389</v>
      </c>
      <c r="H16" s="9" t="s">
        <v>503</v>
      </c>
      <c r="I16" s="10" t="s">
        <v>553</v>
      </c>
      <c r="J16" s="9">
        <v>3</v>
      </c>
      <c r="K16" s="9"/>
    </row>
    <row r="17" spans="1:11" ht="15.75" thickBot="1" x14ac:dyDescent="0.3">
      <c r="A17" s="1"/>
      <c r="B17" s="11">
        <f>ROW(B17) - ROW($B$2)</f>
        <v>15</v>
      </c>
      <c r="C17" s="12" t="s">
        <v>3</v>
      </c>
      <c r="D17" s="7" t="s">
        <v>44</v>
      </c>
      <c r="E17" s="8" t="s">
        <v>193</v>
      </c>
      <c r="F17" s="7" t="s">
        <v>331</v>
      </c>
      <c r="G17" s="8" t="s">
        <v>390</v>
      </c>
      <c r="H17" s="7" t="s">
        <v>504</v>
      </c>
      <c r="I17" s="8" t="s">
        <v>554</v>
      </c>
      <c r="J17" s="7">
        <v>1</v>
      </c>
      <c r="K17" s="7"/>
    </row>
    <row r="18" spans="1:11" ht="15.75" thickBot="1" x14ac:dyDescent="0.3">
      <c r="A18" s="1"/>
      <c r="B18" s="11">
        <f t="shared" si="0"/>
        <v>16</v>
      </c>
      <c r="C18" s="12" t="s">
        <v>3</v>
      </c>
      <c r="D18" s="9" t="s">
        <v>45</v>
      </c>
      <c r="E18" s="10" t="s">
        <v>194</v>
      </c>
      <c r="F18" s="9" t="s">
        <v>331</v>
      </c>
      <c r="G18" s="10" t="s">
        <v>391</v>
      </c>
      <c r="H18" s="9" t="s">
        <v>505</v>
      </c>
      <c r="I18" s="10" t="s">
        <v>544</v>
      </c>
      <c r="J18" s="9">
        <v>1</v>
      </c>
      <c r="K18" s="9"/>
    </row>
    <row r="19" spans="1:11" ht="15.75" thickBot="1" x14ac:dyDescent="0.3">
      <c r="A19" s="1"/>
      <c r="B19" s="11">
        <f>ROW(B19) - ROW($B$2)</f>
        <v>17</v>
      </c>
      <c r="C19" s="12" t="s">
        <v>3</v>
      </c>
      <c r="D19" s="7" t="s">
        <v>46</v>
      </c>
      <c r="E19" s="8" t="s">
        <v>195</v>
      </c>
      <c r="F19" s="7" t="s">
        <v>334</v>
      </c>
      <c r="G19" s="8" t="s">
        <v>392</v>
      </c>
      <c r="H19" s="7" t="s">
        <v>497</v>
      </c>
      <c r="I19" s="8" t="s">
        <v>555</v>
      </c>
      <c r="J19" s="7">
        <v>1</v>
      </c>
      <c r="K19" s="7"/>
    </row>
    <row r="20" spans="1:11" ht="15.75" thickBot="1" x14ac:dyDescent="0.3">
      <c r="A20" s="1"/>
      <c r="B20" s="11">
        <f t="shared" si="0"/>
        <v>18</v>
      </c>
      <c r="C20" s="12" t="s">
        <v>3</v>
      </c>
      <c r="D20" s="9" t="s">
        <v>47</v>
      </c>
      <c r="E20" s="10" t="s">
        <v>196</v>
      </c>
      <c r="F20" s="9" t="s">
        <v>331</v>
      </c>
      <c r="G20" s="10" t="s">
        <v>393</v>
      </c>
      <c r="H20" s="9" t="s">
        <v>500</v>
      </c>
      <c r="I20" s="10" t="s">
        <v>556</v>
      </c>
      <c r="J20" s="9">
        <v>1</v>
      </c>
      <c r="K20" s="9"/>
    </row>
    <row r="21" spans="1:11" ht="15.75" thickBot="1" x14ac:dyDescent="0.3">
      <c r="A21" s="1"/>
      <c r="B21" s="11">
        <f>ROW(B21) - ROW($B$2)</f>
        <v>19</v>
      </c>
      <c r="C21" s="12" t="s">
        <v>3</v>
      </c>
      <c r="D21" s="7" t="s">
        <v>48</v>
      </c>
      <c r="E21" s="8" t="s">
        <v>197</v>
      </c>
      <c r="F21" s="7" t="s">
        <v>331</v>
      </c>
      <c r="G21" s="8" t="s">
        <v>394</v>
      </c>
      <c r="H21" s="7" t="s">
        <v>504</v>
      </c>
      <c r="I21" s="8" t="s">
        <v>557</v>
      </c>
      <c r="J21" s="7">
        <v>3</v>
      </c>
      <c r="K21" s="7"/>
    </row>
    <row r="22" spans="1:11" ht="15.75" thickBot="1" x14ac:dyDescent="0.3">
      <c r="A22" s="1"/>
      <c r="B22" s="11">
        <f t="shared" si="0"/>
        <v>20</v>
      </c>
      <c r="C22" s="12" t="s">
        <v>3</v>
      </c>
      <c r="D22" s="9" t="s">
        <v>49</v>
      </c>
      <c r="E22" s="10" t="s">
        <v>198</v>
      </c>
      <c r="F22" s="9" t="s">
        <v>331</v>
      </c>
      <c r="G22" s="10" t="s">
        <v>395</v>
      </c>
      <c r="H22" s="9" t="s">
        <v>502</v>
      </c>
      <c r="I22" s="10" t="s">
        <v>558</v>
      </c>
      <c r="J22" s="9">
        <v>3</v>
      </c>
      <c r="K22" s="9"/>
    </row>
    <row r="23" spans="1:11" ht="24.75" thickBot="1" x14ac:dyDescent="0.3">
      <c r="A23" s="1"/>
      <c r="B23" s="11">
        <f>ROW(B23) - ROW($B$2)</f>
        <v>21</v>
      </c>
      <c r="C23" s="12" t="s">
        <v>3</v>
      </c>
      <c r="D23" s="7" t="s">
        <v>50</v>
      </c>
      <c r="E23" s="8" t="s">
        <v>199</v>
      </c>
      <c r="F23" s="7" t="s">
        <v>331</v>
      </c>
      <c r="G23" s="8" t="s">
        <v>396</v>
      </c>
      <c r="H23" s="7" t="s">
        <v>500</v>
      </c>
      <c r="I23" s="8" t="s">
        <v>559</v>
      </c>
      <c r="J23" s="7">
        <v>12</v>
      </c>
      <c r="K23" s="7"/>
    </row>
    <row r="24" spans="1:11" ht="15.75" thickBot="1" x14ac:dyDescent="0.3">
      <c r="A24" s="1"/>
      <c r="B24" s="11">
        <f t="shared" si="0"/>
        <v>22</v>
      </c>
      <c r="C24" s="12" t="s">
        <v>3</v>
      </c>
      <c r="D24" s="9" t="s">
        <v>51</v>
      </c>
      <c r="E24" s="10" t="s">
        <v>200</v>
      </c>
      <c r="F24" s="9" t="s">
        <v>622</v>
      </c>
      <c r="G24" s="10" t="s">
        <v>335</v>
      </c>
      <c r="H24" s="9" t="s">
        <v>506</v>
      </c>
      <c r="I24" s="10" t="s">
        <v>560</v>
      </c>
      <c r="J24" s="9">
        <v>2</v>
      </c>
      <c r="K24" s="9"/>
    </row>
    <row r="25" spans="1:11" ht="15.75" thickBot="1" x14ac:dyDescent="0.3">
      <c r="A25" s="1"/>
      <c r="B25" s="11">
        <f>ROW(B25) - ROW($B$2)</f>
        <v>23</v>
      </c>
      <c r="C25" s="12" t="s">
        <v>3</v>
      </c>
      <c r="D25" s="7" t="s">
        <v>52</v>
      </c>
      <c r="E25" s="8" t="s">
        <v>201</v>
      </c>
      <c r="F25" s="9" t="s">
        <v>622</v>
      </c>
      <c r="G25" s="8" t="s">
        <v>336</v>
      </c>
      <c r="H25" s="7" t="s">
        <v>500</v>
      </c>
      <c r="I25" s="8" t="s">
        <v>551</v>
      </c>
      <c r="J25" s="7">
        <v>1</v>
      </c>
      <c r="K25" s="7"/>
    </row>
    <row r="26" spans="1:11" ht="15.75" thickBot="1" x14ac:dyDescent="0.3">
      <c r="A26" s="1"/>
      <c r="B26" s="11">
        <f t="shared" si="0"/>
        <v>24</v>
      </c>
      <c r="C26" s="12" t="s">
        <v>3</v>
      </c>
      <c r="D26" s="9" t="s">
        <v>53</v>
      </c>
      <c r="E26" s="10" t="s">
        <v>202</v>
      </c>
      <c r="F26" s="9" t="s">
        <v>334</v>
      </c>
      <c r="G26" s="10" t="s">
        <v>397</v>
      </c>
      <c r="H26" s="9" t="s">
        <v>506</v>
      </c>
      <c r="I26" s="10" t="s">
        <v>551</v>
      </c>
      <c r="J26" s="9">
        <v>3</v>
      </c>
      <c r="K26" s="9"/>
    </row>
    <row r="27" spans="1:11" ht="15.75" thickBot="1" x14ac:dyDescent="0.3">
      <c r="A27" s="1"/>
      <c r="B27" s="11">
        <f>ROW(B27) - ROW($B$2)</f>
        <v>25</v>
      </c>
      <c r="C27" s="12" t="s">
        <v>3</v>
      </c>
      <c r="D27" s="7" t="s">
        <v>54</v>
      </c>
      <c r="E27" s="8" t="s">
        <v>203</v>
      </c>
      <c r="F27" s="9" t="s">
        <v>622</v>
      </c>
      <c r="G27" s="8" t="s">
        <v>337</v>
      </c>
      <c r="H27" s="7" t="s">
        <v>507</v>
      </c>
      <c r="I27" s="8" t="s">
        <v>561</v>
      </c>
      <c r="J27" s="7">
        <v>6</v>
      </c>
      <c r="K27" s="7"/>
    </row>
    <row r="28" spans="1:11" ht="15.75" thickBot="1" x14ac:dyDescent="0.3">
      <c r="A28" s="1"/>
      <c r="B28" s="11">
        <f t="shared" si="0"/>
        <v>26</v>
      </c>
      <c r="C28" s="12" t="s">
        <v>3</v>
      </c>
      <c r="D28" s="9" t="s">
        <v>55</v>
      </c>
      <c r="E28" s="10" t="s">
        <v>204</v>
      </c>
      <c r="F28" s="9" t="s">
        <v>338</v>
      </c>
      <c r="G28" s="10" t="s">
        <v>398</v>
      </c>
      <c r="H28" s="9" t="s">
        <v>504</v>
      </c>
      <c r="I28" s="10" t="s">
        <v>562</v>
      </c>
      <c r="J28" s="9">
        <v>4</v>
      </c>
      <c r="K28" s="9"/>
    </row>
    <row r="29" spans="1:11" ht="36.75" thickBot="1" x14ac:dyDescent="0.3">
      <c r="A29" s="1"/>
      <c r="B29" s="11">
        <f>ROW(B29) - ROW($B$2)</f>
        <v>27</v>
      </c>
      <c r="C29" s="12" t="s">
        <v>5</v>
      </c>
      <c r="D29" s="7" t="s">
        <v>56</v>
      </c>
      <c r="E29" s="8" t="s">
        <v>205</v>
      </c>
      <c r="F29" s="7" t="s">
        <v>338</v>
      </c>
      <c r="G29" s="8" t="s">
        <v>399</v>
      </c>
      <c r="H29" s="7" t="s">
        <v>500</v>
      </c>
      <c r="I29" s="8" t="s">
        <v>563</v>
      </c>
      <c r="J29" s="7">
        <v>4</v>
      </c>
      <c r="K29" s="7"/>
    </row>
    <row r="30" spans="1:11" ht="15.75" thickBot="1" x14ac:dyDescent="0.3">
      <c r="A30" s="1"/>
      <c r="B30" s="11">
        <f t="shared" si="0"/>
        <v>28</v>
      </c>
      <c r="C30" s="13" t="s">
        <v>5</v>
      </c>
      <c r="D30" s="9" t="s">
        <v>57</v>
      </c>
      <c r="E30" s="10" t="s">
        <v>206</v>
      </c>
      <c r="F30" s="9" t="s">
        <v>331</v>
      </c>
      <c r="G30" s="10" t="s">
        <v>400</v>
      </c>
      <c r="H30" s="9" t="s">
        <v>505</v>
      </c>
      <c r="I30" s="10" t="s">
        <v>564</v>
      </c>
      <c r="J30" s="9">
        <v>1</v>
      </c>
      <c r="K30" s="9"/>
    </row>
    <row r="31" spans="1:11" ht="15.75" thickBot="1" x14ac:dyDescent="0.3">
      <c r="A31" s="1"/>
      <c r="B31" s="11">
        <f>ROW(B31) - ROW($B$2)</f>
        <v>29</v>
      </c>
      <c r="C31" s="12" t="s">
        <v>5</v>
      </c>
      <c r="D31" s="7" t="s">
        <v>58</v>
      </c>
      <c r="E31" s="8" t="s">
        <v>207</v>
      </c>
      <c r="F31" s="7" t="s">
        <v>331</v>
      </c>
      <c r="G31" s="8" t="s">
        <v>401</v>
      </c>
      <c r="H31" s="7" t="s">
        <v>502</v>
      </c>
      <c r="I31" s="8" t="s">
        <v>560</v>
      </c>
      <c r="J31" s="7">
        <v>1</v>
      </c>
      <c r="K31" s="7"/>
    </row>
    <row r="32" spans="1:11" ht="15.75" thickBot="1" x14ac:dyDescent="0.3">
      <c r="A32" s="1"/>
      <c r="B32" s="11">
        <f t="shared" si="0"/>
        <v>30</v>
      </c>
      <c r="C32" s="13" t="s">
        <v>3</v>
      </c>
      <c r="D32" s="9" t="s">
        <v>59</v>
      </c>
      <c r="E32" s="10" t="s">
        <v>208</v>
      </c>
      <c r="F32" s="9" t="s">
        <v>332</v>
      </c>
      <c r="G32" s="10" t="s">
        <v>402</v>
      </c>
      <c r="H32" s="9" t="s">
        <v>508</v>
      </c>
      <c r="I32" s="10" t="s">
        <v>565</v>
      </c>
      <c r="J32" s="9">
        <v>1</v>
      </c>
      <c r="K32" s="9"/>
    </row>
    <row r="33" spans="1:11" ht="15.75" thickBot="1" x14ac:dyDescent="0.3">
      <c r="A33" s="1"/>
      <c r="B33" s="11">
        <f>ROW(B33) - ROW($B$2)</f>
        <v>31</v>
      </c>
      <c r="C33" s="12" t="s">
        <v>3</v>
      </c>
      <c r="D33" s="7" t="s">
        <v>60</v>
      </c>
      <c r="E33" s="8" t="s">
        <v>209</v>
      </c>
      <c r="F33" s="7" t="s">
        <v>332</v>
      </c>
      <c r="G33" s="8" t="s">
        <v>403</v>
      </c>
      <c r="H33" s="7" t="s">
        <v>509</v>
      </c>
      <c r="I33" s="8" t="s">
        <v>544</v>
      </c>
      <c r="J33" s="7">
        <v>1</v>
      </c>
      <c r="K33" s="7"/>
    </row>
    <row r="34" spans="1:11" ht="15.75" thickBot="1" x14ac:dyDescent="0.3">
      <c r="A34" s="1"/>
      <c r="B34" s="11">
        <f t="shared" si="0"/>
        <v>32</v>
      </c>
      <c r="C34" s="13" t="s">
        <v>5</v>
      </c>
      <c r="D34" s="9" t="s">
        <v>61</v>
      </c>
      <c r="E34" s="10" t="s">
        <v>210</v>
      </c>
      <c r="F34" s="9" t="s">
        <v>331</v>
      </c>
      <c r="G34" s="10" t="s">
        <v>404</v>
      </c>
      <c r="H34" s="9" t="s">
        <v>504</v>
      </c>
      <c r="I34" s="10" t="s">
        <v>566</v>
      </c>
      <c r="J34" s="9">
        <v>2</v>
      </c>
      <c r="K34" s="9"/>
    </row>
    <row r="35" spans="1:11" ht="15.75" thickBot="1" x14ac:dyDescent="0.3">
      <c r="A35" s="1"/>
      <c r="B35" s="11">
        <f>ROW(B35) - ROW($B$2)</f>
        <v>33</v>
      </c>
      <c r="C35" s="12" t="s">
        <v>5</v>
      </c>
      <c r="D35" s="7" t="s">
        <v>62</v>
      </c>
      <c r="E35" s="8" t="s">
        <v>211</v>
      </c>
      <c r="F35" s="9" t="s">
        <v>622</v>
      </c>
      <c r="G35" s="8" t="s">
        <v>405</v>
      </c>
      <c r="H35" s="7" t="s">
        <v>501</v>
      </c>
      <c r="I35" s="8" t="s">
        <v>567</v>
      </c>
      <c r="J35" s="7">
        <v>1</v>
      </c>
      <c r="K35" s="7"/>
    </row>
    <row r="36" spans="1:11" ht="15.75" thickBot="1" x14ac:dyDescent="0.3">
      <c r="A36" s="1"/>
      <c r="B36" s="11">
        <f t="shared" si="0"/>
        <v>34</v>
      </c>
      <c r="C36" s="13" t="s">
        <v>3</v>
      </c>
      <c r="D36" s="9" t="s">
        <v>63</v>
      </c>
      <c r="E36" s="10" t="s">
        <v>212</v>
      </c>
      <c r="F36" s="9" t="s">
        <v>622</v>
      </c>
      <c r="G36" s="10" t="s">
        <v>339</v>
      </c>
      <c r="H36" s="9" t="s">
        <v>501</v>
      </c>
      <c r="I36" s="10" t="s">
        <v>565</v>
      </c>
      <c r="J36" s="9">
        <v>1</v>
      </c>
      <c r="K36" s="9"/>
    </row>
    <row r="37" spans="1:11" ht="48.75" thickBot="1" x14ac:dyDescent="0.3">
      <c r="A37" s="1"/>
      <c r="B37" s="11">
        <f>ROW(B37) - ROW($B$2)</f>
        <v>35</v>
      </c>
      <c r="C37" s="12" t="s">
        <v>5</v>
      </c>
      <c r="D37" s="7" t="s">
        <v>64</v>
      </c>
      <c r="E37" s="8" t="s">
        <v>213</v>
      </c>
      <c r="F37" s="9" t="s">
        <v>622</v>
      </c>
      <c r="G37" s="8" t="s">
        <v>340</v>
      </c>
      <c r="H37" s="7" t="s">
        <v>510</v>
      </c>
      <c r="I37" s="8" t="s">
        <v>552</v>
      </c>
      <c r="J37" s="7">
        <v>1</v>
      </c>
      <c r="K37" s="7"/>
    </row>
    <row r="38" spans="1:11" ht="15.75" thickBot="1" x14ac:dyDescent="0.3">
      <c r="A38" s="1"/>
      <c r="B38" s="11">
        <f t="shared" si="0"/>
        <v>36</v>
      </c>
      <c r="C38" s="13" t="s">
        <v>6</v>
      </c>
      <c r="D38" s="9" t="s">
        <v>65</v>
      </c>
      <c r="E38" s="10" t="s">
        <v>214</v>
      </c>
      <c r="F38" s="9" t="s">
        <v>341</v>
      </c>
      <c r="G38" s="10" t="s">
        <v>406</v>
      </c>
      <c r="H38" s="9" t="s">
        <v>496</v>
      </c>
      <c r="I38" s="10" t="s">
        <v>624</v>
      </c>
      <c r="J38" s="9">
        <v>1</v>
      </c>
      <c r="K38" s="9"/>
    </row>
    <row r="39" spans="1:11" ht="24.75" thickBot="1" x14ac:dyDescent="0.3">
      <c r="A39" s="1"/>
      <c r="B39" s="11">
        <f>ROW(B39) - ROW($B$2)</f>
        <v>37</v>
      </c>
      <c r="C39" s="12" t="s">
        <v>7</v>
      </c>
      <c r="D39" s="7" t="s">
        <v>66</v>
      </c>
      <c r="E39" s="8" t="s">
        <v>215</v>
      </c>
      <c r="F39" s="7" t="s">
        <v>342</v>
      </c>
      <c r="G39" s="8" t="s">
        <v>407</v>
      </c>
      <c r="H39" s="7" t="s">
        <v>511</v>
      </c>
      <c r="I39" s="10" t="s">
        <v>624</v>
      </c>
      <c r="J39" s="7">
        <v>1</v>
      </c>
      <c r="K39" s="7"/>
    </row>
    <row r="40" spans="1:11" ht="36.75" thickBot="1" x14ac:dyDescent="0.3">
      <c r="A40" s="1"/>
      <c r="B40" s="11">
        <f t="shared" si="0"/>
        <v>38</v>
      </c>
      <c r="C40" s="13" t="s">
        <v>6</v>
      </c>
      <c r="D40" s="9" t="s">
        <v>67</v>
      </c>
      <c r="E40" s="10" t="s">
        <v>216</v>
      </c>
      <c r="F40" s="9" t="s">
        <v>343</v>
      </c>
      <c r="G40" s="10" t="s">
        <v>408</v>
      </c>
      <c r="H40" s="9" t="s">
        <v>512</v>
      </c>
      <c r="I40" s="10" t="s">
        <v>624</v>
      </c>
      <c r="J40" s="9">
        <v>4</v>
      </c>
      <c r="K40" s="9"/>
    </row>
    <row r="41" spans="1:11" ht="15.75" thickBot="1" x14ac:dyDescent="0.3">
      <c r="A41" s="1"/>
      <c r="B41" s="11">
        <f>ROW(B41) - ROW($B$2)</f>
        <v>39</v>
      </c>
      <c r="C41" s="12" t="s">
        <v>7</v>
      </c>
      <c r="D41" s="7" t="s">
        <v>68</v>
      </c>
      <c r="E41" s="8" t="s">
        <v>217</v>
      </c>
      <c r="F41" s="7" t="s">
        <v>344</v>
      </c>
      <c r="G41" s="8" t="s">
        <v>409</v>
      </c>
      <c r="H41" s="7" t="s">
        <v>7</v>
      </c>
      <c r="I41" s="10" t="s">
        <v>624</v>
      </c>
      <c r="J41" s="7">
        <v>1</v>
      </c>
      <c r="K41" s="7"/>
    </row>
    <row r="42" spans="1:11" ht="15.75" thickBot="1" x14ac:dyDescent="0.3">
      <c r="A42" s="1"/>
      <c r="B42" s="11">
        <f t="shared" si="0"/>
        <v>40</v>
      </c>
      <c r="C42" s="13" t="s">
        <v>6</v>
      </c>
      <c r="D42" s="9" t="s">
        <v>69</v>
      </c>
      <c r="E42" s="10" t="s">
        <v>218</v>
      </c>
      <c r="F42" s="9" t="s">
        <v>344</v>
      </c>
      <c r="G42" s="10" t="s">
        <v>410</v>
      </c>
      <c r="H42" s="9" t="s">
        <v>513</v>
      </c>
      <c r="I42" s="10" t="s">
        <v>624</v>
      </c>
      <c r="J42" s="9">
        <v>1</v>
      </c>
      <c r="K42" s="9"/>
    </row>
    <row r="43" spans="1:11" ht="15.75" thickBot="1" x14ac:dyDescent="0.3">
      <c r="A43" s="1"/>
      <c r="B43" s="11">
        <f>ROW(B43) - ROW($B$2)</f>
        <v>41</v>
      </c>
      <c r="C43" s="12" t="s">
        <v>6</v>
      </c>
      <c r="D43" s="7" t="s">
        <v>70</v>
      </c>
      <c r="E43" s="8" t="s">
        <v>219</v>
      </c>
      <c r="F43" s="7" t="s">
        <v>345</v>
      </c>
      <c r="G43" s="8" t="s">
        <v>411</v>
      </c>
      <c r="H43" s="7" t="s">
        <v>513</v>
      </c>
      <c r="I43" s="10" t="s">
        <v>624</v>
      </c>
      <c r="J43" s="7">
        <v>1</v>
      </c>
      <c r="K43" s="7"/>
    </row>
    <row r="44" spans="1:11" ht="24.75" thickBot="1" x14ac:dyDescent="0.3">
      <c r="A44" s="1"/>
      <c r="B44" s="11">
        <f t="shared" si="0"/>
        <v>42</v>
      </c>
      <c r="C44" s="13" t="s">
        <v>7</v>
      </c>
      <c r="D44" s="9" t="s">
        <v>71</v>
      </c>
      <c r="E44" s="10" t="s">
        <v>220</v>
      </c>
      <c r="F44" s="9" t="s">
        <v>346</v>
      </c>
      <c r="G44" s="10" t="s">
        <v>412</v>
      </c>
      <c r="H44" s="9" t="s">
        <v>512</v>
      </c>
      <c r="I44" s="10" t="s">
        <v>624</v>
      </c>
      <c r="J44" s="9">
        <v>1</v>
      </c>
      <c r="K44" s="9"/>
    </row>
    <row r="45" spans="1:11" ht="15.75" thickBot="1" x14ac:dyDescent="0.3">
      <c r="A45" s="1"/>
      <c r="B45" s="11">
        <f>ROW(B45) - ROW($B$2)</f>
        <v>43</v>
      </c>
      <c r="C45" s="12" t="s">
        <v>7</v>
      </c>
      <c r="D45" s="7" t="s">
        <v>72</v>
      </c>
      <c r="E45" s="8" t="s">
        <v>221</v>
      </c>
      <c r="F45" s="7" t="s">
        <v>347</v>
      </c>
      <c r="G45" s="8" t="s">
        <v>413</v>
      </c>
      <c r="H45" s="7" t="s">
        <v>514</v>
      </c>
      <c r="I45" s="10" t="s">
        <v>624</v>
      </c>
      <c r="J45" s="7">
        <v>1</v>
      </c>
      <c r="K45" s="7"/>
    </row>
    <row r="46" spans="1:11" ht="15.75" thickBot="1" x14ac:dyDescent="0.3">
      <c r="A46" s="1"/>
      <c r="B46" s="11">
        <f t="shared" si="0"/>
        <v>44</v>
      </c>
      <c r="C46" s="13" t="s">
        <v>6</v>
      </c>
      <c r="D46" s="9" t="s">
        <v>73</v>
      </c>
      <c r="E46" s="10" t="s">
        <v>222</v>
      </c>
      <c r="F46" s="9" t="s">
        <v>343</v>
      </c>
      <c r="G46" s="10" t="s">
        <v>414</v>
      </c>
      <c r="H46" s="9" t="s">
        <v>513</v>
      </c>
      <c r="I46" s="10" t="s">
        <v>624</v>
      </c>
      <c r="J46" s="9">
        <v>8</v>
      </c>
      <c r="K46" s="9"/>
    </row>
    <row r="47" spans="1:11" ht="24.75" thickBot="1" x14ac:dyDescent="0.3">
      <c r="A47" s="1"/>
      <c r="B47" s="11">
        <f>ROW(B47) - ROW($B$2)</f>
        <v>45</v>
      </c>
      <c r="C47" s="12" t="s">
        <v>7</v>
      </c>
      <c r="D47" s="7" t="s">
        <v>74</v>
      </c>
      <c r="E47" s="8" t="s">
        <v>223</v>
      </c>
      <c r="F47" s="7" t="s">
        <v>348</v>
      </c>
      <c r="G47" s="8" t="s">
        <v>415</v>
      </c>
      <c r="H47" s="7" t="s">
        <v>515</v>
      </c>
      <c r="I47" s="10" t="s">
        <v>624</v>
      </c>
      <c r="J47" s="7">
        <v>2</v>
      </c>
      <c r="K47" s="7"/>
    </row>
    <row r="48" spans="1:11" ht="15.75" thickBot="1" x14ac:dyDescent="0.3">
      <c r="A48" s="1"/>
      <c r="B48" s="11">
        <f t="shared" si="0"/>
        <v>46</v>
      </c>
      <c r="C48" s="13" t="s">
        <v>6</v>
      </c>
      <c r="D48" s="9" t="s">
        <v>75</v>
      </c>
      <c r="E48" s="10" t="s">
        <v>224</v>
      </c>
      <c r="F48" s="9" t="s">
        <v>349</v>
      </c>
      <c r="G48" s="10" t="s">
        <v>416</v>
      </c>
      <c r="H48" s="9" t="s">
        <v>513</v>
      </c>
      <c r="I48" s="10" t="s">
        <v>624</v>
      </c>
      <c r="J48" s="9">
        <v>1</v>
      </c>
      <c r="K48" s="9"/>
    </row>
    <row r="49" spans="1:11" ht="15.75" thickBot="1" x14ac:dyDescent="0.3">
      <c r="A49" s="1"/>
      <c r="B49" s="11">
        <f>ROW(B49) - ROW($B$2)</f>
        <v>47</v>
      </c>
      <c r="C49" s="12" t="s">
        <v>6</v>
      </c>
      <c r="D49" s="7" t="s">
        <v>76</v>
      </c>
      <c r="E49" s="8" t="s">
        <v>225</v>
      </c>
      <c r="F49" s="7" t="s">
        <v>347</v>
      </c>
      <c r="G49" s="8" t="s">
        <v>417</v>
      </c>
      <c r="H49" s="7" t="s">
        <v>7</v>
      </c>
      <c r="I49" s="10" t="s">
        <v>624</v>
      </c>
      <c r="J49" s="7">
        <v>2</v>
      </c>
      <c r="K49" s="7"/>
    </row>
    <row r="50" spans="1:11" ht="15.75" thickBot="1" x14ac:dyDescent="0.3">
      <c r="A50" s="1"/>
      <c r="B50" s="11">
        <f t="shared" si="0"/>
        <v>48</v>
      </c>
      <c r="C50" s="13" t="s">
        <v>6</v>
      </c>
      <c r="D50" s="9" t="s">
        <v>77</v>
      </c>
      <c r="E50" s="10" t="s">
        <v>226</v>
      </c>
      <c r="F50" s="9" t="s">
        <v>350</v>
      </c>
      <c r="G50" s="10" t="s">
        <v>418</v>
      </c>
      <c r="H50" s="9" t="s">
        <v>7</v>
      </c>
      <c r="I50" s="10" t="s">
        <v>624</v>
      </c>
      <c r="J50" s="9">
        <v>1</v>
      </c>
      <c r="K50" s="9"/>
    </row>
    <row r="51" spans="1:11" ht="15.75" thickBot="1" x14ac:dyDescent="0.3">
      <c r="A51" s="1"/>
      <c r="B51" s="11">
        <f>ROW(B51) - ROW($B$2)</f>
        <v>49</v>
      </c>
      <c r="C51" s="12" t="s">
        <v>8</v>
      </c>
      <c r="D51" s="7" t="s">
        <v>78</v>
      </c>
      <c r="E51" s="8" t="s">
        <v>227</v>
      </c>
      <c r="F51" s="9" t="s">
        <v>622</v>
      </c>
      <c r="G51" s="8">
        <v>5010</v>
      </c>
      <c r="H51" s="7" t="s">
        <v>516</v>
      </c>
      <c r="I51" s="10" t="s">
        <v>624</v>
      </c>
      <c r="J51" s="7">
        <v>4</v>
      </c>
      <c r="K51" s="7"/>
    </row>
    <row r="52" spans="1:11" ht="48.75" thickBot="1" x14ac:dyDescent="0.3">
      <c r="A52" s="1"/>
      <c r="B52" s="11">
        <f t="shared" si="0"/>
        <v>50</v>
      </c>
      <c r="C52" s="13" t="s">
        <v>9</v>
      </c>
      <c r="D52" s="9" t="s">
        <v>79</v>
      </c>
      <c r="E52" s="10" t="s">
        <v>228</v>
      </c>
      <c r="F52" s="9" t="s">
        <v>622</v>
      </c>
      <c r="G52" s="10" t="s">
        <v>351</v>
      </c>
      <c r="H52" s="9" t="s">
        <v>517</v>
      </c>
      <c r="I52" s="10" t="s">
        <v>624</v>
      </c>
      <c r="J52" s="9">
        <v>1</v>
      </c>
      <c r="K52" s="9"/>
    </row>
    <row r="53" spans="1:11" ht="15.75" thickBot="1" x14ac:dyDescent="0.3">
      <c r="A53" s="1"/>
      <c r="B53" s="11">
        <f>ROW(B53) - ROW($B$2)</f>
        <v>51</v>
      </c>
      <c r="C53" s="12" t="s">
        <v>10</v>
      </c>
      <c r="D53" s="7" t="s">
        <v>80</v>
      </c>
      <c r="E53" s="8" t="s">
        <v>229</v>
      </c>
      <c r="F53" s="7" t="s">
        <v>352</v>
      </c>
      <c r="G53" s="8" t="s">
        <v>352</v>
      </c>
      <c r="H53" s="7" t="s">
        <v>518</v>
      </c>
      <c r="I53" s="10" t="s">
        <v>624</v>
      </c>
      <c r="J53" s="7">
        <v>2</v>
      </c>
      <c r="K53" s="7"/>
    </row>
    <row r="54" spans="1:11" ht="15.75" thickBot="1" x14ac:dyDescent="0.3">
      <c r="A54" s="1"/>
      <c r="B54" s="11">
        <f t="shared" si="0"/>
        <v>52</v>
      </c>
      <c r="C54" s="13" t="s">
        <v>8</v>
      </c>
      <c r="D54" s="9" t="s">
        <v>81</v>
      </c>
      <c r="E54" s="10" t="s">
        <v>230</v>
      </c>
      <c r="F54" s="9" t="s">
        <v>622</v>
      </c>
      <c r="G54" s="10">
        <v>5011</v>
      </c>
      <c r="H54" s="9" t="s">
        <v>516</v>
      </c>
      <c r="I54" s="10" t="s">
        <v>624</v>
      </c>
      <c r="J54" s="9">
        <v>2</v>
      </c>
      <c r="K54" s="9"/>
    </row>
    <row r="55" spans="1:11" ht="48.75" thickBot="1" x14ac:dyDescent="0.3">
      <c r="A55" s="1"/>
      <c r="B55" s="11">
        <f>ROW(B55) - ROW($B$2)</f>
        <v>53</v>
      </c>
      <c r="C55" s="12" t="s">
        <v>11</v>
      </c>
      <c r="D55" s="7" t="s">
        <v>82</v>
      </c>
      <c r="E55" s="8" t="s">
        <v>231</v>
      </c>
      <c r="F55" s="7" t="s">
        <v>353</v>
      </c>
      <c r="G55" s="8" t="s">
        <v>419</v>
      </c>
      <c r="H55" s="7" t="s">
        <v>519</v>
      </c>
      <c r="I55" s="10" t="s">
        <v>624</v>
      </c>
      <c r="J55" s="7">
        <v>3</v>
      </c>
      <c r="K55" s="7"/>
    </row>
    <row r="56" spans="1:11" ht="15.75" thickBot="1" x14ac:dyDescent="0.3">
      <c r="A56" s="1"/>
      <c r="B56" s="11">
        <f t="shared" si="0"/>
        <v>54</v>
      </c>
      <c r="C56" s="13" t="s">
        <v>8</v>
      </c>
      <c r="D56" s="9" t="s">
        <v>83</v>
      </c>
      <c r="E56" s="10" t="s">
        <v>232</v>
      </c>
      <c r="F56" s="9" t="s">
        <v>622</v>
      </c>
      <c r="G56" s="10">
        <v>5012</v>
      </c>
      <c r="H56" s="9" t="s">
        <v>516</v>
      </c>
      <c r="I56" s="10" t="s">
        <v>624</v>
      </c>
      <c r="J56" s="9">
        <v>1</v>
      </c>
      <c r="K56" s="9"/>
    </row>
    <row r="57" spans="1:11" ht="48.75" thickBot="1" x14ac:dyDescent="0.3">
      <c r="A57" s="1"/>
      <c r="B57" s="11">
        <f>ROW(B57) - ROW($B$2)</f>
        <v>55</v>
      </c>
      <c r="C57" s="12" t="s">
        <v>9</v>
      </c>
      <c r="D57" s="7" t="s">
        <v>84</v>
      </c>
      <c r="E57" s="8" t="s">
        <v>233</v>
      </c>
      <c r="F57" s="9" t="s">
        <v>622</v>
      </c>
      <c r="G57" s="8" t="s">
        <v>354</v>
      </c>
      <c r="H57" s="7" t="s">
        <v>520</v>
      </c>
      <c r="I57" s="10" t="s">
        <v>624</v>
      </c>
      <c r="J57" s="7">
        <v>1</v>
      </c>
      <c r="K57" s="7"/>
    </row>
    <row r="58" spans="1:11" ht="24.75" thickBot="1" x14ac:dyDescent="0.3">
      <c r="A58" s="1"/>
      <c r="B58" s="11">
        <f t="shared" si="0"/>
        <v>56</v>
      </c>
      <c r="C58" s="13" t="s">
        <v>12</v>
      </c>
      <c r="D58" s="9" t="s">
        <v>85</v>
      </c>
      <c r="E58" s="10" t="s">
        <v>234</v>
      </c>
      <c r="F58" s="9" t="s">
        <v>622</v>
      </c>
      <c r="G58" s="10">
        <v>1757268</v>
      </c>
      <c r="H58" s="9" t="s">
        <v>521</v>
      </c>
      <c r="I58" s="10" t="s">
        <v>624</v>
      </c>
      <c r="J58" s="9">
        <v>1</v>
      </c>
      <c r="K58" s="9"/>
    </row>
    <row r="59" spans="1:11" ht="15.75" thickBot="1" x14ac:dyDescent="0.3">
      <c r="A59" s="1"/>
      <c r="B59" s="11">
        <f>ROW(B59) - ROW($B$2)</f>
        <v>57</v>
      </c>
      <c r="C59" s="12" t="s">
        <v>13</v>
      </c>
      <c r="D59" s="7" t="s">
        <v>86</v>
      </c>
      <c r="E59" s="8" t="s">
        <v>235</v>
      </c>
      <c r="F59" s="9" t="s">
        <v>622</v>
      </c>
      <c r="G59" s="8" t="s">
        <v>355</v>
      </c>
      <c r="H59" s="7" t="s">
        <v>501</v>
      </c>
      <c r="I59" s="10" t="s">
        <v>624</v>
      </c>
      <c r="J59" s="7">
        <v>1</v>
      </c>
      <c r="K59" s="7"/>
    </row>
    <row r="60" spans="1:11" ht="15.75" thickBot="1" x14ac:dyDescent="0.3">
      <c r="A60" s="1"/>
      <c r="B60" s="11">
        <f t="shared" si="0"/>
        <v>58</v>
      </c>
      <c r="C60" s="13" t="s">
        <v>14</v>
      </c>
      <c r="D60" s="9" t="s">
        <v>87</v>
      </c>
      <c r="E60" s="10" t="s">
        <v>236</v>
      </c>
      <c r="F60" s="9" t="s">
        <v>622</v>
      </c>
      <c r="G60" s="10">
        <v>760801401</v>
      </c>
      <c r="H60" s="9" t="s">
        <v>522</v>
      </c>
      <c r="I60" s="10" t="s">
        <v>568</v>
      </c>
      <c r="J60" s="9">
        <v>2</v>
      </c>
      <c r="K60" s="9"/>
    </row>
    <row r="61" spans="1:11" ht="15.75" thickBot="1" x14ac:dyDescent="0.3">
      <c r="A61" s="1"/>
      <c r="B61" s="11">
        <f>ROW(B61) - ROW($B$2)</f>
        <v>59</v>
      </c>
      <c r="C61" s="12" t="s">
        <v>14</v>
      </c>
      <c r="D61" s="7" t="s">
        <v>88</v>
      </c>
      <c r="E61" s="8" t="s">
        <v>237</v>
      </c>
      <c r="F61" s="9" t="s">
        <v>622</v>
      </c>
      <c r="G61" s="8">
        <v>7448251201</v>
      </c>
      <c r="H61" s="7" t="s">
        <v>522</v>
      </c>
      <c r="I61" s="8" t="s">
        <v>624</v>
      </c>
      <c r="J61" s="7">
        <v>2</v>
      </c>
      <c r="K61" s="7"/>
    </row>
    <row r="62" spans="1:11" ht="15.75" thickBot="1" x14ac:dyDescent="0.3">
      <c r="A62" s="1"/>
      <c r="B62" s="11">
        <f t="shared" si="0"/>
        <v>60</v>
      </c>
      <c r="C62" s="13" t="s">
        <v>14</v>
      </c>
      <c r="D62" s="9" t="s">
        <v>89</v>
      </c>
      <c r="E62" s="10" t="s">
        <v>238</v>
      </c>
      <c r="F62" s="9" t="s">
        <v>622</v>
      </c>
      <c r="G62" s="10">
        <v>7447745022</v>
      </c>
      <c r="H62" s="9" t="s">
        <v>522</v>
      </c>
      <c r="I62" s="10" t="s">
        <v>569</v>
      </c>
      <c r="J62" s="9">
        <v>1</v>
      </c>
      <c r="K62" s="9"/>
    </row>
    <row r="63" spans="1:11" ht="15.75" thickBot="1" x14ac:dyDescent="0.3">
      <c r="A63" s="1"/>
      <c r="B63" s="11">
        <f>ROW(B63) - ROW($B$2)</f>
        <v>61</v>
      </c>
      <c r="C63" s="12" t="s">
        <v>14</v>
      </c>
      <c r="D63" s="7" t="s">
        <v>90</v>
      </c>
      <c r="E63" s="8" t="s">
        <v>239</v>
      </c>
      <c r="F63" s="9" t="s">
        <v>622</v>
      </c>
      <c r="G63" s="8">
        <v>7443550230</v>
      </c>
      <c r="H63" s="7" t="s">
        <v>522</v>
      </c>
      <c r="I63" s="8" t="s">
        <v>624</v>
      </c>
      <c r="J63" s="7">
        <v>1</v>
      </c>
      <c r="K63" s="7"/>
    </row>
    <row r="64" spans="1:11" ht="24.75" thickBot="1" x14ac:dyDescent="0.3">
      <c r="A64" s="1"/>
      <c r="B64" s="11">
        <f t="shared" si="0"/>
        <v>62</v>
      </c>
      <c r="C64" s="13" t="s">
        <v>14</v>
      </c>
      <c r="D64" s="9" t="s">
        <v>91</v>
      </c>
      <c r="E64" s="10" t="s">
        <v>240</v>
      </c>
      <c r="F64" s="9" t="s">
        <v>622</v>
      </c>
      <c r="G64" s="10" t="s">
        <v>356</v>
      </c>
      <c r="H64" s="9" t="s">
        <v>523</v>
      </c>
      <c r="I64" s="8" t="s">
        <v>624</v>
      </c>
      <c r="J64" s="9">
        <v>1</v>
      </c>
      <c r="K64" s="9"/>
    </row>
    <row r="65" spans="1:11" ht="24.75" thickBot="1" x14ac:dyDescent="0.3">
      <c r="A65" s="1"/>
      <c r="B65" s="11">
        <f>ROW(B65) - ROW($B$2)</f>
        <v>63</v>
      </c>
      <c r="C65" s="13" t="s">
        <v>14</v>
      </c>
      <c r="D65" s="7" t="s">
        <v>92</v>
      </c>
      <c r="E65" s="8" t="s">
        <v>241</v>
      </c>
      <c r="F65" s="9" t="s">
        <v>622</v>
      </c>
      <c r="G65" s="8" t="s">
        <v>357</v>
      </c>
      <c r="H65" s="7" t="s">
        <v>524</v>
      </c>
      <c r="I65" s="8" t="s">
        <v>570</v>
      </c>
      <c r="J65" s="7">
        <v>1</v>
      </c>
      <c r="K65" s="7"/>
    </row>
    <row r="66" spans="1:11" ht="24.75" thickBot="1" x14ac:dyDescent="0.3">
      <c r="A66" s="1"/>
      <c r="B66" s="11">
        <f t="shared" si="0"/>
        <v>64</v>
      </c>
      <c r="C66" s="13" t="s">
        <v>15</v>
      </c>
      <c r="D66" s="9" t="s">
        <v>93</v>
      </c>
      <c r="E66" s="10" t="s">
        <v>242</v>
      </c>
      <c r="F66" s="9" t="s">
        <v>622</v>
      </c>
      <c r="G66" s="10" t="s">
        <v>358</v>
      </c>
      <c r="H66" s="9" t="s">
        <v>524</v>
      </c>
      <c r="I66" s="10" t="s">
        <v>571</v>
      </c>
      <c r="J66" s="9">
        <v>1</v>
      </c>
      <c r="K66" s="9"/>
    </row>
    <row r="67" spans="1:11" ht="15.75" thickBot="1" x14ac:dyDescent="0.3">
      <c r="A67" s="1"/>
      <c r="B67" s="11">
        <f>ROW(B67) - ROW($B$2)</f>
        <v>65</v>
      </c>
      <c r="C67" s="12" t="s">
        <v>16</v>
      </c>
      <c r="D67" s="7" t="s">
        <v>94</v>
      </c>
      <c r="E67" s="8" t="s">
        <v>243</v>
      </c>
      <c r="F67" s="7" t="s">
        <v>359</v>
      </c>
      <c r="G67" s="8" t="s">
        <v>420</v>
      </c>
      <c r="H67" s="7" t="s">
        <v>511</v>
      </c>
      <c r="I67" s="8" t="s">
        <v>624</v>
      </c>
      <c r="J67" s="7">
        <v>2</v>
      </c>
      <c r="K67" s="7"/>
    </row>
    <row r="68" spans="1:11" ht="15.75" thickBot="1" x14ac:dyDescent="0.3">
      <c r="A68" s="1"/>
      <c r="B68" s="11">
        <f t="shared" si="0"/>
        <v>66</v>
      </c>
      <c r="C68" s="13" t="s">
        <v>17</v>
      </c>
      <c r="D68" s="9" t="s">
        <v>95</v>
      </c>
      <c r="E68" s="10" t="s">
        <v>244</v>
      </c>
      <c r="F68" s="9" t="s">
        <v>343</v>
      </c>
      <c r="G68" s="10" t="s">
        <v>421</v>
      </c>
      <c r="H68" s="9" t="s">
        <v>525</v>
      </c>
      <c r="I68" s="8" t="s">
        <v>624</v>
      </c>
      <c r="J68" s="9">
        <v>1</v>
      </c>
      <c r="K68" s="9"/>
    </row>
    <row r="69" spans="1:11" ht="15.75" thickBot="1" x14ac:dyDescent="0.3">
      <c r="A69" s="1"/>
      <c r="B69" s="11">
        <f>ROW(B69) - ROW($B$2)</f>
        <v>67</v>
      </c>
      <c r="C69" s="12" t="s">
        <v>17</v>
      </c>
      <c r="D69" s="7" t="s">
        <v>96</v>
      </c>
      <c r="E69" s="8" t="s">
        <v>245</v>
      </c>
      <c r="F69" s="7" t="s">
        <v>343</v>
      </c>
      <c r="G69" s="8" t="s">
        <v>422</v>
      </c>
      <c r="H69" s="7" t="s">
        <v>525</v>
      </c>
      <c r="I69" s="8" t="s">
        <v>624</v>
      </c>
      <c r="J69" s="7">
        <v>1</v>
      </c>
      <c r="K69" s="7"/>
    </row>
    <row r="70" spans="1:11" ht="36.75" thickBot="1" x14ac:dyDescent="0.3">
      <c r="A70" s="1"/>
      <c r="B70" s="11">
        <f t="shared" si="0"/>
        <v>68</v>
      </c>
      <c r="C70" s="13" t="s">
        <v>16</v>
      </c>
      <c r="D70" s="9" t="s">
        <v>97</v>
      </c>
      <c r="E70" s="10" t="s">
        <v>246</v>
      </c>
      <c r="F70" s="9" t="s">
        <v>360</v>
      </c>
      <c r="G70" s="10" t="s">
        <v>423</v>
      </c>
      <c r="H70" s="9" t="s">
        <v>526</v>
      </c>
      <c r="I70" s="8" t="s">
        <v>624</v>
      </c>
      <c r="J70" s="9">
        <v>2</v>
      </c>
      <c r="K70" s="9"/>
    </row>
    <row r="71" spans="1:11" ht="24.75" thickBot="1" x14ac:dyDescent="0.3">
      <c r="A71" s="1"/>
      <c r="B71" s="11">
        <f>ROW(B71) - ROW($B$2)</f>
        <v>69</v>
      </c>
      <c r="C71" s="12" t="s">
        <v>18</v>
      </c>
      <c r="D71" s="7" t="s">
        <v>98</v>
      </c>
      <c r="E71" s="8" t="s">
        <v>247</v>
      </c>
      <c r="F71" s="7" t="s">
        <v>343</v>
      </c>
      <c r="G71" s="8" t="s">
        <v>424</v>
      </c>
      <c r="H71" s="7" t="s">
        <v>527</v>
      </c>
      <c r="I71" s="8" t="s">
        <v>624</v>
      </c>
      <c r="J71" s="7">
        <v>1</v>
      </c>
      <c r="K71" s="7"/>
    </row>
    <row r="72" spans="1:11" ht="24.75" thickBot="1" x14ac:dyDescent="0.3">
      <c r="A72" s="1"/>
      <c r="B72" s="11">
        <f t="shared" si="0"/>
        <v>70</v>
      </c>
      <c r="C72" s="13" t="s">
        <v>17</v>
      </c>
      <c r="D72" s="9" t="s">
        <v>99</v>
      </c>
      <c r="E72" s="10" t="s">
        <v>248</v>
      </c>
      <c r="F72" s="9" t="s">
        <v>361</v>
      </c>
      <c r="G72" s="10" t="s">
        <v>425</v>
      </c>
      <c r="H72" s="9" t="s">
        <v>511</v>
      </c>
      <c r="I72" s="8" t="s">
        <v>624</v>
      </c>
      <c r="J72" s="9">
        <v>1</v>
      </c>
      <c r="K72" s="9"/>
    </row>
    <row r="73" spans="1:11" ht="24.75" thickBot="1" x14ac:dyDescent="0.3">
      <c r="A73" s="1"/>
      <c r="B73" s="11">
        <f>ROW(B73) - ROW($B$2)</f>
        <v>71</v>
      </c>
      <c r="C73" s="12" t="s">
        <v>17</v>
      </c>
      <c r="D73" s="7" t="s">
        <v>100</v>
      </c>
      <c r="E73" s="8" t="s">
        <v>249</v>
      </c>
      <c r="F73" s="7" t="s">
        <v>362</v>
      </c>
      <c r="G73" s="8" t="s">
        <v>426</v>
      </c>
      <c r="H73" s="7" t="s">
        <v>528</v>
      </c>
      <c r="I73" s="8" t="s">
        <v>624</v>
      </c>
      <c r="J73" s="7">
        <v>1</v>
      </c>
      <c r="K73" s="7"/>
    </row>
    <row r="74" spans="1:11" ht="24.75" thickBot="1" x14ac:dyDescent="0.3">
      <c r="A74" s="1"/>
      <c r="B74" s="11">
        <f t="shared" si="0"/>
        <v>72</v>
      </c>
      <c r="C74" s="13" t="s">
        <v>19</v>
      </c>
      <c r="D74" s="9" t="s">
        <v>101</v>
      </c>
      <c r="E74" s="10" t="s">
        <v>250</v>
      </c>
      <c r="F74" s="9" t="s">
        <v>343</v>
      </c>
      <c r="G74" s="10" t="s">
        <v>427</v>
      </c>
      <c r="H74" s="9" t="s">
        <v>529</v>
      </c>
      <c r="I74" s="8" t="s">
        <v>624</v>
      </c>
      <c r="J74" s="9">
        <v>4</v>
      </c>
      <c r="K74" s="9"/>
    </row>
    <row r="75" spans="1:11" ht="15.75" thickBot="1" x14ac:dyDescent="0.3">
      <c r="A75" s="1"/>
      <c r="B75" s="11">
        <f>ROW(B75) - ROW($B$2)</f>
        <v>73</v>
      </c>
      <c r="C75" s="12" t="s">
        <v>17</v>
      </c>
      <c r="D75" s="7" t="s">
        <v>102</v>
      </c>
      <c r="E75" s="8" t="s">
        <v>251</v>
      </c>
      <c r="F75" s="7" t="s">
        <v>359</v>
      </c>
      <c r="G75" s="8" t="s">
        <v>428</v>
      </c>
      <c r="H75" s="7" t="s">
        <v>511</v>
      </c>
      <c r="I75" s="8" t="s">
        <v>624</v>
      </c>
      <c r="J75" s="7">
        <v>4</v>
      </c>
      <c r="K75" s="7"/>
    </row>
    <row r="76" spans="1:11" ht="15.75" thickBot="1" x14ac:dyDescent="0.3">
      <c r="A76" s="1"/>
      <c r="B76" s="11">
        <f t="shared" si="0"/>
        <v>74</v>
      </c>
      <c r="C76" s="13" t="s">
        <v>20</v>
      </c>
      <c r="D76" s="9" t="s">
        <v>103</v>
      </c>
      <c r="E76" s="10" t="s">
        <v>252</v>
      </c>
      <c r="F76" s="9" t="s">
        <v>343</v>
      </c>
      <c r="G76" s="10" t="s">
        <v>429</v>
      </c>
      <c r="H76" s="9" t="s">
        <v>514</v>
      </c>
      <c r="I76" s="8" t="s">
        <v>624</v>
      </c>
      <c r="J76" s="9">
        <v>4</v>
      </c>
      <c r="K76" s="9"/>
    </row>
    <row r="77" spans="1:11" ht="15.75" thickBot="1" x14ac:dyDescent="0.3">
      <c r="A77" s="1"/>
      <c r="B77" s="11">
        <f>ROW(B77) - ROW($B$2)</f>
        <v>75</v>
      </c>
      <c r="C77" s="12" t="s">
        <v>17</v>
      </c>
      <c r="D77" s="7" t="s">
        <v>104</v>
      </c>
      <c r="E77" s="8" t="s">
        <v>253</v>
      </c>
      <c r="F77" s="7" t="s">
        <v>359</v>
      </c>
      <c r="G77" s="8" t="s">
        <v>430</v>
      </c>
      <c r="H77" s="7" t="s">
        <v>511</v>
      </c>
      <c r="I77" s="8" t="s">
        <v>624</v>
      </c>
      <c r="J77" s="7">
        <v>4</v>
      </c>
      <c r="K77" s="7"/>
    </row>
    <row r="78" spans="1:11" ht="15.75" thickBot="1" x14ac:dyDescent="0.3">
      <c r="A78" s="1"/>
      <c r="B78" s="11">
        <f t="shared" si="0"/>
        <v>76</v>
      </c>
      <c r="C78" s="13" t="s">
        <v>21</v>
      </c>
      <c r="D78" s="9" t="s">
        <v>105</v>
      </c>
      <c r="E78" s="10" t="s">
        <v>254</v>
      </c>
      <c r="F78" s="9" t="s">
        <v>363</v>
      </c>
      <c r="G78" s="10" t="s">
        <v>431</v>
      </c>
      <c r="H78" s="9" t="s">
        <v>530</v>
      </c>
      <c r="I78" s="10" t="s">
        <v>572</v>
      </c>
      <c r="J78" s="9">
        <v>4</v>
      </c>
      <c r="K78" s="9"/>
    </row>
    <row r="79" spans="1:11" ht="15.75" thickBot="1" x14ac:dyDescent="0.3">
      <c r="A79" s="1"/>
      <c r="B79" s="11">
        <f>ROW(B79) - ROW($B$2)</f>
        <v>77</v>
      </c>
      <c r="C79" s="12" t="s">
        <v>21</v>
      </c>
      <c r="D79" s="7" t="s">
        <v>106</v>
      </c>
      <c r="E79" s="8" t="s">
        <v>255</v>
      </c>
      <c r="F79" s="7" t="s">
        <v>364</v>
      </c>
      <c r="G79" s="8" t="s">
        <v>625</v>
      </c>
      <c r="H79" s="7" t="s">
        <v>504</v>
      </c>
      <c r="I79" s="8" t="s">
        <v>573</v>
      </c>
      <c r="J79" s="7">
        <v>10</v>
      </c>
      <c r="K79" s="7"/>
    </row>
    <row r="80" spans="1:11" ht="15.75" thickBot="1" x14ac:dyDescent="0.3">
      <c r="A80" s="1"/>
      <c r="B80" s="11">
        <f t="shared" si="0"/>
        <v>78</v>
      </c>
      <c r="C80" s="13" t="s">
        <v>21</v>
      </c>
      <c r="D80" s="9" t="s">
        <v>107</v>
      </c>
      <c r="E80" s="10" t="s">
        <v>256</v>
      </c>
      <c r="F80" s="9" t="s">
        <v>365</v>
      </c>
      <c r="G80" s="10" t="s">
        <v>432</v>
      </c>
      <c r="H80" s="9" t="s">
        <v>504</v>
      </c>
      <c r="I80" s="10" t="s">
        <v>574</v>
      </c>
      <c r="J80" s="9">
        <v>3</v>
      </c>
      <c r="K80" s="9"/>
    </row>
    <row r="81" spans="1:11" ht="15.75" thickBot="1" x14ac:dyDescent="0.3">
      <c r="A81" s="1"/>
      <c r="B81" s="11">
        <f>ROW(B81) - ROW($B$2)</f>
        <v>79</v>
      </c>
      <c r="C81" s="12" t="s">
        <v>22</v>
      </c>
      <c r="D81" s="7" t="s">
        <v>108</v>
      </c>
      <c r="E81" s="8" t="s">
        <v>257</v>
      </c>
      <c r="F81" s="7" t="s">
        <v>364</v>
      </c>
      <c r="G81" s="8" t="s">
        <v>433</v>
      </c>
      <c r="H81" s="7" t="s">
        <v>531</v>
      </c>
      <c r="I81" s="8" t="s">
        <v>575</v>
      </c>
      <c r="J81" s="7">
        <v>2</v>
      </c>
      <c r="K81" s="7"/>
    </row>
    <row r="82" spans="1:11" ht="15.75" thickBot="1" x14ac:dyDescent="0.3">
      <c r="A82" s="1"/>
      <c r="B82" s="11">
        <f t="shared" si="0"/>
        <v>80</v>
      </c>
      <c r="C82" s="13" t="s">
        <v>22</v>
      </c>
      <c r="D82" s="9" t="s">
        <v>109</v>
      </c>
      <c r="E82" s="10" t="s">
        <v>258</v>
      </c>
      <c r="F82" s="9" t="s">
        <v>364</v>
      </c>
      <c r="G82" s="10" t="s">
        <v>434</v>
      </c>
      <c r="H82" s="9" t="s">
        <v>531</v>
      </c>
      <c r="I82" s="10" t="s">
        <v>576</v>
      </c>
      <c r="J82" s="9">
        <v>3</v>
      </c>
      <c r="K82" s="9"/>
    </row>
    <row r="83" spans="1:11" ht="15.75" thickBot="1" x14ac:dyDescent="0.3">
      <c r="A83" s="1"/>
      <c r="B83" s="11">
        <f>ROW(B83) - ROW($B$2)</f>
        <v>81</v>
      </c>
      <c r="C83" s="12" t="s">
        <v>21</v>
      </c>
      <c r="D83" s="7" t="s">
        <v>110</v>
      </c>
      <c r="E83" s="8" t="s">
        <v>259</v>
      </c>
      <c r="F83" s="7" t="s">
        <v>364</v>
      </c>
      <c r="G83" s="8" t="s">
        <v>435</v>
      </c>
      <c r="H83" s="7" t="s">
        <v>504</v>
      </c>
      <c r="I83" s="8" t="s">
        <v>575</v>
      </c>
      <c r="J83" s="7">
        <v>1</v>
      </c>
      <c r="K83" s="7"/>
    </row>
    <row r="84" spans="1:11" ht="15.75" thickBot="1" x14ac:dyDescent="0.3">
      <c r="A84" s="1"/>
      <c r="B84" s="11">
        <f t="shared" si="0"/>
        <v>82</v>
      </c>
      <c r="C84" s="13" t="s">
        <v>21</v>
      </c>
      <c r="D84" s="9" t="s">
        <v>111</v>
      </c>
      <c r="E84" s="10" t="s">
        <v>260</v>
      </c>
      <c r="F84" s="9" t="s">
        <v>364</v>
      </c>
      <c r="G84" s="10" t="s">
        <v>626</v>
      </c>
      <c r="H84" s="9" t="s">
        <v>531</v>
      </c>
      <c r="I84" s="10" t="s">
        <v>577</v>
      </c>
      <c r="J84" s="9">
        <v>8</v>
      </c>
      <c r="K84" s="9"/>
    </row>
    <row r="85" spans="1:11" ht="15.75" thickBot="1" x14ac:dyDescent="0.3">
      <c r="A85" s="1"/>
      <c r="B85" s="11">
        <f>ROW(B85) - ROW($B$2)</f>
        <v>83</v>
      </c>
      <c r="C85" s="12" t="s">
        <v>21</v>
      </c>
      <c r="D85" s="7" t="s">
        <v>112</v>
      </c>
      <c r="E85" s="8" t="s">
        <v>261</v>
      </c>
      <c r="F85" s="7" t="s">
        <v>363</v>
      </c>
      <c r="G85" s="8" t="s">
        <v>436</v>
      </c>
      <c r="H85" s="7" t="s">
        <v>504</v>
      </c>
      <c r="I85" s="8" t="s">
        <v>578</v>
      </c>
      <c r="J85" s="7">
        <v>1</v>
      </c>
      <c r="K85" s="7"/>
    </row>
    <row r="86" spans="1:11" ht="15.75" thickBot="1" x14ac:dyDescent="0.3">
      <c r="A86" s="1"/>
      <c r="B86" s="11">
        <f t="shared" si="0"/>
        <v>84</v>
      </c>
      <c r="C86" s="13" t="s">
        <v>21</v>
      </c>
      <c r="D86" s="9" t="s">
        <v>113</v>
      </c>
      <c r="E86" s="10" t="s">
        <v>262</v>
      </c>
      <c r="F86" s="9" t="s">
        <v>366</v>
      </c>
      <c r="G86" s="10" t="s">
        <v>437</v>
      </c>
      <c r="H86" s="9" t="s">
        <v>531</v>
      </c>
      <c r="I86" s="10" t="s">
        <v>579</v>
      </c>
      <c r="J86" s="9">
        <v>2</v>
      </c>
      <c r="K86" s="9"/>
    </row>
    <row r="87" spans="1:11" ht="15.75" thickBot="1" x14ac:dyDescent="0.3">
      <c r="A87" s="1"/>
      <c r="B87" s="11">
        <f>ROW(B87) - ROW($B$2)</f>
        <v>85</v>
      </c>
      <c r="C87" s="12" t="s">
        <v>22</v>
      </c>
      <c r="D87" s="7" t="s">
        <v>114</v>
      </c>
      <c r="E87" s="8" t="s">
        <v>263</v>
      </c>
      <c r="F87" s="7" t="s">
        <v>364</v>
      </c>
      <c r="G87" s="8" t="s">
        <v>438</v>
      </c>
      <c r="H87" s="7" t="s">
        <v>531</v>
      </c>
      <c r="I87" s="8" t="s">
        <v>580</v>
      </c>
      <c r="J87" s="7">
        <v>1</v>
      </c>
      <c r="K87" s="7"/>
    </row>
    <row r="88" spans="1:11" ht="15.75" thickBot="1" x14ac:dyDescent="0.3">
      <c r="A88" s="1"/>
      <c r="B88" s="11">
        <f t="shared" si="0"/>
        <v>86</v>
      </c>
      <c r="C88" s="13" t="s">
        <v>22</v>
      </c>
      <c r="D88" s="9" t="s">
        <v>115</v>
      </c>
      <c r="E88" s="10" t="s">
        <v>264</v>
      </c>
      <c r="F88" s="9" t="s">
        <v>366</v>
      </c>
      <c r="G88" s="10" t="s">
        <v>439</v>
      </c>
      <c r="H88" s="9" t="s">
        <v>531</v>
      </c>
      <c r="I88" s="10" t="s">
        <v>581</v>
      </c>
      <c r="J88" s="9">
        <v>1</v>
      </c>
      <c r="K88" s="9"/>
    </row>
    <row r="89" spans="1:11" ht="15.75" thickBot="1" x14ac:dyDescent="0.3">
      <c r="A89" s="1"/>
      <c r="B89" s="11">
        <f>ROW(B89) - ROW($B$2)</f>
        <v>87</v>
      </c>
      <c r="C89" s="12" t="s">
        <v>21</v>
      </c>
      <c r="D89" s="7" t="s">
        <v>116</v>
      </c>
      <c r="E89" s="8" t="s">
        <v>265</v>
      </c>
      <c r="F89" s="7" t="s">
        <v>364</v>
      </c>
      <c r="G89" s="8" t="s">
        <v>440</v>
      </c>
      <c r="H89" s="7" t="s">
        <v>531</v>
      </c>
      <c r="I89" s="8" t="s">
        <v>582</v>
      </c>
      <c r="J89" s="7">
        <v>1</v>
      </c>
      <c r="K89" s="7"/>
    </row>
    <row r="90" spans="1:11" ht="36.75" thickBot="1" x14ac:dyDescent="0.3">
      <c r="A90" s="1"/>
      <c r="B90" s="11">
        <f t="shared" si="0"/>
        <v>88</v>
      </c>
      <c r="C90" s="13" t="s">
        <v>21</v>
      </c>
      <c r="D90" s="9" t="s">
        <v>117</v>
      </c>
      <c r="E90" s="10" t="s">
        <v>266</v>
      </c>
      <c r="F90" s="9" t="s">
        <v>622</v>
      </c>
      <c r="G90" s="10" t="s">
        <v>367</v>
      </c>
      <c r="H90" s="9" t="s">
        <v>532</v>
      </c>
      <c r="I90" s="10" t="s">
        <v>583</v>
      </c>
      <c r="J90" s="9">
        <v>1</v>
      </c>
      <c r="K90" s="9"/>
    </row>
    <row r="91" spans="1:11" ht="15.75" thickBot="1" x14ac:dyDescent="0.3">
      <c r="A91" s="1"/>
      <c r="B91" s="11">
        <f>ROW(B91) - ROW($B$2)</f>
        <v>89</v>
      </c>
      <c r="C91" s="12" t="s">
        <v>22</v>
      </c>
      <c r="D91" s="7" t="s">
        <v>118</v>
      </c>
      <c r="E91" s="8" t="s">
        <v>267</v>
      </c>
      <c r="F91" s="7" t="s">
        <v>365</v>
      </c>
      <c r="G91" s="8" t="s">
        <v>441</v>
      </c>
      <c r="H91" s="7" t="s">
        <v>530</v>
      </c>
      <c r="I91" s="8" t="s">
        <v>573</v>
      </c>
      <c r="J91" s="7">
        <v>1</v>
      </c>
      <c r="K91" s="7"/>
    </row>
    <row r="92" spans="1:11" ht="15.75" thickBot="1" x14ac:dyDescent="0.3">
      <c r="A92" s="1"/>
      <c r="B92" s="11">
        <f t="shared" si="0"/>
        <v>90</v>
      </c>
      <c r="C92" s="13" t="s">
        <v>22</v>
      </c>
      <c r="D92" s="9" t="s">
        <v>119</v>
      </c>
      <c r="E92" s="10" t="s">
        <v>268</v>
      </c>
      <c r="F92" s="9" t="s">
        <v>368</v>
      </c>
      <c r="G92" s="10" t="s">
        <v>442</v>
      </c>
      <c r="H92" s="9" t="s">
        <v>530</v>
      </c>
      <c r="I92" s="10" t="s">
        <v>584</v>
      </c>
      <c r="J92" s="9">
        <v>1</v>
      </c>
      <c r="K92" s="9"/>
    </row>
    <row r="93" spans="1:11" ht="15.75" thickBot="1" x14ac:dyDescent="0.3">
      <c r="A93" s="1"/>
      <c r="B93" s="11">
        <f>ROW(B93) - ROW($B$2)</f>
        <v>91</v>
      </c>
      <c r="C93" s="12" t="s">
        <v>22</v>
      </c>
      <c r="D93" s="7" t="s">
        <v>120</v>
      </c>
      <c r="E93" s="8" t="s">
        <v>269</v>
      </c>
      <c r="F93" s="7" t="s">
        <v>366</v>
      </c>
      <c r="G93" s="8" t="s">
        <v>443</v>
      </c>
      <c r="H93" s="7" t="s">
        <v>530</v>
      </c>
      <c r="I93" s="8" t="s">
        <v>585</v>
      </c>
      <c r="J93" s="7">
        <v>2</v>
      </c>
      <c r="K93" s="7"/>
    </row>
    <row r="94" spans="1:11" ht="15.75" thickBot="1" x14ac:dyDescent="0.3">
      <c r="A94" s="1"/>
      <c r="B94" s="11">
        <f t="shared" si="0"/>
        <v>92</v>
      </c>
      <c r="C94" s="13" t="s">
        <v>21</v>
      </c>
      <c r="D94" s="9" t="s">
        <v>121</v>
      </c>
      <c r="E94" s="10" t="s">
        <v>270</v>
      </c>
      <c r="F94" s="9" t="s">
        <v>366</v>
      </c>
      <c r="G94" s="10" t="s">
        <v>444</v>
      </c>
      <c r="H94" s="9" t="s">
        <v>531</v>
      </c>
      <c r="I94" s="10" t="s">
        <v>586</v>
      </c>
      <c r="J94" s="9">
        <v>3</v>
      </c>
      <c r="K94" s="9"/>
    </row>
    <row r="95" spans="1:11" ht="15.75" thickBot="1" x14ac:dyDescent="0.3">
      <c r="A95" s="1"/>
      <c r="B95" s="11">
        <f>ROW(B95) - ROW($B$2)</f>
        <v>93</v>
      </c>
      <c r="C95" s="12" t="s">
        <v>22</v>
      </c>
      <c r="D95" s="7" t="s">
        <v>122</v>
      </c>
      <c r="E95" s="8" t="s">
        <v>271</v>
      </c>
      <c r="F95" s="7" t="s">
        <v>364</v>
      </c>
      <c r="G95" s="8" t="s">
        <v>445</v>
      </c>
      <c r="H95" s="7" t="s">
        <v>531</v>
      </c>
      <c r="I95" s="8" t="s">
        <v>587</v>
      </c>
      <c r="J95" s="7">
        <v>1</v>
      </c>
      <c r="K95" s="7"/>
    </row>
    <row r="96" spans="1:11" ht="15.75" thickBot="1" x14ac:dyDescent="0.3">
      <c r="A96" s="1"/>
      <c r="B96" s="11">
        <f t="shared" si="0"/>
        <v>94</v>
      </c>
      <c r="C96" s="13" t="s">
        <v>21</v>
      </c>
      <c r="D96" s="9" t="s">
        <v>123</v>
      </c>
      <c r="E96" s="10" t="s">
        <v>272</v>
      </c>
      <c r="F96" s="9" t="s">
        <v>364</v>
      </c>
      <c r="G96" s="10" t="s">
        <v>446</v>
      </c>
      <c r="H96" s="9" t="s">
        <v>504</v>
      </c>
      <c r="I96" s="10" t="s">
        <v>588</v>
      </c>
      <c r="J96" s="9">
        <v>3</v>
      </c>
      <c r="K96" s="9"/>
    </row>
    <row r="97" spans="1:11" ht="15.75" thickBot="1" x14ac:dyDescent="0.3">
      <c r="A97" s="1"/>
      <c r="B97" s="11">
        <f>ROW(B97) - ROW($B$2)</f>
        <v>95</v>
      </c>
      <c r="C97" s="12" t="s">
        <v>22</v>
      </c>
      <c r="D97" s="7" t="s">
        <v>124</v>
      </c>
      <c r="E97" s="8" t="s">
        <v>273</v>
      </c>
      <c r="F97" s="7" t="s">
        <v>364</v>
      </c>
      <c r="G97" s="8" t="s">
        <v>447</v>
      </c>
      <c r="H97" s="7" t="s">
        <v>531</v>
      </c>
      <c r="I97" s="8" t="s">
        <v>589</v>
      </c>
      <c r="J97" s="7">
        <v>1</v>
      </c>
      <c r="K97" s="7"/>
    </row>
    <row r="98" spans="1:11" ht="15.75" thickBot="1" x14ac:dyDescent="0.3">
      <c r="A98" s="1"/>
      <c r="B98" s="11">
        <f t="shared" si="0"/>
        <v>96</v>
      </c>
      <c r="C98" s="13" t="s">
        <v>22</v>
      </c>
      <c r="D98" s="9" t="s">
        <v>125</v>
      </c>
      <c r="E98" s="10" t="s">
        <v>274</v>
      </c>
      <c r="F98" s="9" t="s">
        <v>366</v>
      </c>
      <c r="G98" s="10" t="s">
        <v>448</v>
      </c>
      <c r="H98" s="9" t="s">
        <v>530</v>
      </c>
      <c r="I98" s="10" t="s">
        <v>590</v>
      </c>
      <c r="J98" s="9">
        <v>1</v>
      </c>
      <c r="K98" s="9"/>
    </row>
    <row r="99" spans="1:11" ht="15.75" thickBot="1" x14ac:dyDescent="0.3">
      <c r="A99" s="1"/>
      <c r="B99" s="11">
        <f>ROW(B99) - ROW($B$2)</f>
        <v>97</v>
      </c>
      <c r="C99" s="13" t="s">
        <v>22</v>
      </c>
      <c r="D99" s="7" t="s">
        <v>126</v>
      </c>
      <c r="E99" s="8" t="s">
        <v>275</v>
      </c>
      <c r="F99" s="7" t="s">
        <v>364</v>
      </c>
      <c r="G99" s="8" t="s">
        <v>449</v>
      </c>
      <c r="H99" s="7" t="s">
        <v>504</v>
      </c>
      <c r="I99" s="8" t="s">
        <v>591</v>
      </c>
      <c r="J99" s="7">
        <v>2</v>
      </c>
      <c r="K99" s="7"/>
    </row>
    <row r="100" spans="1:11" ht="15.75" thickBot="1" x14ac:dyDescent="0.3">
      <c r="A100" s="1"/>
      <c r="B100" s="11">
        <f t="shared" si="0"/>
        <v>98</v>
      </c>
      <c r="C100" s="13" t="s">
        <v>22</v>
      </c>
      <c r="D100" s="9" t="s">
        <v>127</v>
      </c>
      <c r="E100" s="10" t="s">
        <v>276</v>
      </c>
      <c r="F100" s="9" t="s">
        <v>364</v>
      </c>
      <c r="G100" s="10" t="s">
        <v>450</v>
      </c>
      <c r="H100" s="9" t="s">
        <v>531</v>
      </c>
      <c r="I100" s="10" t="s">
        <v>592</v>
      </c>
      <c r="J100" s="9">
        <v>2</v>
      </c>
      <c r="K100" s="9"/>
    </row>
    <row r="101" spans="1:11" ht="36.75" thickBot="1" x14ac:dyDescent="0.3">
      <c r="A101" s="1"/>
      <c r="B101" s="11">
        <f>ROW(B101) - ROW($B$2)</f>
        <v>99</v>
      </c>
      <c r="C101" s="12" t="s">
        <v>21</v>
      </c>
      <c r="D101" s="7" t="s">
        <v>128</v>
      </c>
      <c r="E101" s="8" t="s">
        <v>277</v>
      </c>
      <c r="F101" s="7" t="s">
        <v>364</v>
      </c>
      <c r="G101" s="8" t="s">
        <v>451</v>
      </c>
      <c r="H101" s="7" t="s">
        <v>533</v>
      </c>
      <c r="I101" s="8" t="s">
        <v>593</v>
      </c>
      <c r="J101" s="7">
        <v>1</v>
      </c>
      <c r="K101" s="7"/>
    </row>
    <row r="102" spans="1:11" ht="15.75" thickBot="1" x14ac:dyDescent="0.3">
      <c r="A102" s="1"/>
      <c r="B102" s="11">
        <f t="shared" si="0"/>
        <v>100</v>
      </c>
      <c r="C102" s="13" t="s">
        <v>22</v>
      </c>
      <c r="D102" s="9" t="s">
        <v>129</v>
      </c>
      <c r="E102" s="10" t="s">
        <v>278</v>
      </c>
      <c r="F102" s="9" t="s">
        <v>364</v>
      </c>
      <c r="G102" s="10" t="s">
        <v>452</v>
      </c>
      <c r="H102" s="9" t="s">
        <v>531</v>
      </c>
      <c r="I102" s="10" t="s">
        <v>594</v>
      </c>
      <c r="J102" s="9">
        <v>1</v>
      </c>
      <c r="K102" s="9"/>
    </row>
    <row r="103" spans="1:11" ht="15.75" thickBot="1" x14ac:dyDescent="0.3">
      <c r="A103" s="1"/>
      <c r="B103" s="11">
        <f>ROW(B103) - ROW($B$2)</f>
        <v>101</v>
      </c>
      <c r="C103" s="12" t="s">
        <v>21</v>
      </c>
      <c r="D103" s="7" t="s">
        <v>130</v>
      </c>
      <c r="E103" s="8" t="s">
        <v>279</v>
      </c>
      <c r="F103" s="7" t="s">
        <v>364</v>
      </c>
      <c r="G103" s="8" t="s">
        <v>453</v>
      </c>
      <c r="H103" s="7" t="s">
        <v>531</v>
      </c>
      <c r="I103" s="8" t="s">
        <v>595</v>
      </c>
      <c r="J103" s="7">
        <v>1</v>
      </c>
      <c r="K103" s="7"/>
    </row>
    <row r="104" spans="1:11" ht="15.75" thickBot="1" x14ac:dyDescent="0.3">
      <c r="A104" s="1"/>
      <c r="B104" s="11">
        <f t="shared" si="0"/>
        <v>102</v>
      </c>
      <c r="C104" s="13" t="s">
        <v>21</v>
      </c>
      <c r="D104" s="9" t="s">
        <v>131</v>
      </c>
      <c r="E104" s="10" t="s">
        <v>280</v>
      </c>
      <c r="F104" s="9" t="s">
        <v>364</v>
      </c>
      <c r="G104" s="10" t="s">
        <v>454</v>
      </c>
      <c r="H104" s="9" t="s">
        <v>504</v>
      </c>
      <c r="I104" s="10" t="s">
        <v>595</v>
      </c>
      <c r="J104" s="9">
        <v>1</v>
      </c>
      <c r="K104" s="9"/>
    </row>
    <row r="105" spans="1:11" ht="15.75" thickBot="1" x14ac:dyDescent="0.3">
      <c r="A105" s="1"/>
      <c r="B105" s="11">
        <f>ROW(B105) - ROW($B$2)</f>
        <v>103</v>
      </c>
      <c r="C105" s="12" t="s">
        <v>21</v>
      </c>
      <c r="D105" s="7" t="s">
        <v>132</v>
      </c>
      <c r="E105" s="8" t="s">
        <v>281</v>
      </c>
      <c r="F105" s="7" t="s">
        <v>364</v>
      </c>
      <c r="G105" s="8" t="s">
        <v>455</v>
      </c>
      <c r="H105" s="7" t="s">
        <v>504</v>
      </c>
      <c r="I105" s="8" t="s">
        <v>596</v>
      </c>
      <c r="J105" s="7">
        <v>1</v>
      </c>
      <c r="K105" s="7"/>
    </row>
    <row r="106" spans="1:11" ht="15.75" thickBot="1" x14ac:dyDescent="0.3">
      <c r="A106" s="1"/>
      <c r="B106" s="11">
        <f t="shared" si="0"/>
        <v>104</v>
      </c>
      <c r="C106" s="13" t="s">
        <v>21</v>
      </c>
      <c r="D106" s="9" t="s">
        <v>133</v>
      </c>
      <c r="E106" s="10" t="s">
        <v>282</v>
      </c>
      <c r="F106" s="9" t="s">
        <v>366</v>
      </c>
      <c r="G106" s="10" t="s">
        <v>456</v>
      </c>
      <c r="H106" s="9" t="s">
        <v>531</v>
      </c>
      <c r="I106" s="10" t="s">
        <v>597</v>
      </c>
      <c r="J106" s="9">
        <v>1</v>
      </c>
      <c r="K106" s="9"/>
    </row>
    <row r="107" spans="1:11" ht="15.75" thickBot="1" x14ac:dyDescent="0.3">
      <c r="A107" s="1"/>
      <c r="B107" s="11">
        <f>ROW(B107) - ROW($B$2)</f>
        <v>105</v>
      </c>
      <c r="C107" s="12" t="s">
        <v>21</v>
      </c>
      <c r="D107" s="7" t="s">
        <v>134</v>
      </c>
      <c r="E107" s="8" t="s">
        <v>283</v>
      </c>
      <c r="F107" s="7" t="s">
        <v>363</v>
      </c>
      <c r="G107" s="8" t="s">
        <v>457</v>
      </c>
      <c r="H107" s="7" t="s">
        <v>504</v>
      </c>
      <c r="I107" s="8" t="s">
        <v>577</v>
      </c>
      <c r="J107" s="7">
        <v>1</v>
      </c>
      <c r="K107" s="7"/>
    </row>
    <row r="108" spans="1:11" ht="15.75" thickBot="1" x14ac:dyDescent="0.3">
      <c r="A108" s="1"/>
      <c r="B108" s="11">
        <f t="shared" si="0"/>
        <v>106</v>
      </c>
      <c r="C108" s="13" t="s">
        <v>22</v>
      </c>
      <c r="D108" s="9" t="s">
        <v>135</v>
      </c>
      <c r="E108" s="10" t="s">
        <v>284</v>
      </c>
      <c r="F108" s="9" t="s">
        <v>368</v>
      </c>
      <c r="G108" s="10" t="s">
        <v>458</v>
      </c>
      <c r="H108" s="9" t="s">
        <v>504</v>
      </c>
      <c r="I108" s="10" t="s">
        <v>598</v>
      </c>
      <c r="J108" s="9">
        <v>5</v>
      </c>
      <c r="K108" s="9"/>
    </row>
    <row r="109" spans="1:11" ht="24.75" thickBot="1" x14ac:dyDescent="0.3">
      <c r="A109" s="1"/>
      <c r="B109" s="11">
        <f>ROW(B109) - ROW($B$2)</f>
        <v>107</v>
      </c>
      <c r="C109" s="12" t="s">
        <v>22</v>
      </c>
      <c r="D109" s="7" t="s">
        <v>136</v>
      </c>
      <c r="E109" s="8" t="s">
        <v>285</v>
      </c>
      <c r="F109" s="7" t="s">
        <v>364</v>
      </c>
      <c r="G109" s="8" t="s">
        <v>459</v>
      </c>
      <c r="H109" s="7" t="s">
        <v>530</v>
      </c>
      <c r="I109" s="8" t="s">
        <v>585</v>
      </c>
      <c r="J109" s="7">
        <v>13</v>
      </c>
      <c r="K109" s="7"/>
    </row>
    <row r="110" spans="1:11" ht="15.75" thickBot="1" x14ac:dyDescent="0.3">
      <c r="A110" s="1"/>
      <c r="B110" s="11">
        <f t="shared" si="0"/>
        <v>108</v>
      </c>
      <c r="C110" s="13" t="s">
        <v>21</v>
      </c>
      <c r="D110" s="9" t="s">
        <v>137</v>
      </c>
      <c r="E110" s="10" t="s">
        <v>286</v>
      </c>
      <c r="F110" s="9" t="s">
        <v>366</v>
      </c>
      <c r="G110" s="10" t="s">
        <v>460</v>
      </c>
      <c r="H110" s="9" t="s">
        <v>504</v>
      </c>
      <c r="I110" s="10" t="s">
        <v>598</v>
      </c>
      <c r="J110" s="9">
        <v>4</v>
      </c>
      <c r="K110" s="9"/>
    </row>
    <row r="111" spans="1:11" ht="36.75" thickBot="1" x14ac:dyDescent="0.3">
      <c r="A111" s="1"/>
      <c r="B111" s="11">
        <f>ROW(B111) - ROW($B$2)</f>
        <v>109</v>
      </c>
      <c r="C111" s="12" t="s">
        <v>21</v>
      </c>
      <c r="D111" s="7" t="s">
        <v>138</v>
      </c>
      <c r="E111" s="8" t="s">
        <v>287</v>
      </c>
      <c r="F111" s="7" t="s">
        <v>366</v>
      </c>
      <c r="G111" s="8" t="s">
        <v>461</v>
      </c>
      <c r="H111" s="7" t="s">
        <v>534</v>
      </c>
      <c r="I111" s="8" t="s">
        <v>572</v>
      </c>
      <c r="J111" s="7">
        <v>6</v>
      </c>
      <c r="K111" s="7"/>
    </row>
    <row r="112" spans="1:11" ht="15.75" thickBot="1" x14ac:dyDescent="0.3">
      <c r="A112" s="1"/>
      <c r="B112" s="11">
        <f t="shared" si="0"/>
        <v>110</v>
      </c>
      <c r="C112" s="13" t="s">
        <v>22</v>
      </c>
      <c r="D112" s="9" t="s">
        <v>139</v>
      </c>
      <c r="E112" s="10" t="s">
        <v>288</v>
      </c>
      <c r="F112" s="9" t="s">
        <v>342</v>
      </c>
      <c r="G112" s="10" t="s">
        <v>462</v>
      </c>
      <c r="H112" s="9" t="s">
        <v>535</v>
      </c>
      <c r="I112" s="10" t="s">
        <v>599</v>
      </c>
      <c r="J112" s="9">
        <v>1</v>
      </c>
      <c r="K112" s="9"/>
    </row>
    <row r="113" spans="1:11" ht="15.75" thickBot="1" x14ac:dyDescent="0.3">
      <c r="A113" s="1"/>
      <c r="B113" s="11">
        <f>ROW(B113) - ROW($B$2)</f>
        <v>111</v>
      </c>
      <c r="C113" s="12" t="s">
        <v>21</v>
      </c>
      <c r="D113" s="7" t="s">
        <v>140</v>
      </c>
      <c r="E113" s="8" t="s">
        <v>289</v>
      </c>
      <c r="F113" s="7" t="s">
        <v>364</v>
      </c>
      <c r="G113" s="8" t="s">
        <v>463</v>
      </c>
      <c r="H113" s="7" t="s">
        <v>504</v>
      </c>
      <c r="I113" s="8" t="s">
        <v>600</v>
      </c>
      <c r="J113" s="7">
        <v>2</v>
      </c>
      <c r="K113" s="7"/>
    </row>
    <row r="114" spans="1:11" ht="15.75" thickBot="1" x14ac:dyDescent="0.3">
      <c r="A114" s="1"/>
      <c r="B114" s="11">
        <f t="shared" si="0"/>
        <v>112</v>
      </c>
      <c r="C114" s="13" t="s">
        <v>21</v>
      </c>
      <c r="D114" s="9" t="s">
        <v>141</v>
      </c>
      <c r="E114" s="10" t="s">
        <v>290</v>
      </c>
      <c r="F114" s="9" t="s">
        <v>364</v>
      </c>
      <c r="G114" s="10" t="s">
        <v>464</v>
      </c>
      <c r="H114" s="9" t="s">
        <v>530</v>
      </c>
      <c r="I114" s="10" t="s">
        <v>599</v>
      </c>
      <c r="J114" s="9">
        <v>4</v>
      </c>
      <c r="K114" s="9"/>
    </row>
    <row r="115" spans="1:11" ht="15.75" thickBot="1" x14ac:dyDescent="0.3">
      <c r="A115" s="1"/>
      <c r="B115" s="11">
        <f>ROW(B115) - ROW($B$2)</f>
        <v>113</v>
      </c>
      <c r="C115" s="12" t="s">
        <v>23</v>
      </c>
      <c r="D115" s="7" t="s">
        <v>142</v>
      </c>
      <c r="E115" s="8" t="s">
        <v>291</v>
      </c>
      <c r="F115" s="9" t="s">
        <v>622</v>
      </c>
      <c r="G115" s="8" t="s">
        <v>369</v>
      </c>
      <c r="H115" s="7" t="s">
        <v>536</v>
      </c>
      <c r="I115" s="8" t="s">
        <v>601</v>
      </c>
      <c r="J115" s="7">
        <v>1</v>
      </c>
      <c r="K115" s="7"/>
    </row>
    <row r="116" spans="1:11" ht="36.75" thickBot="1" x14ac:dyDescent="0.3">
      <c r="A116" s="1"/>
      <c r="B116" s="11">
        <f t="shared" si="0"/>
        <v>114</v>
      </c>
      <c r="C116" s="13" t="s">
        <v>21</v>
      </c>
      <c r="D116" s="9" t="s">
        <v>143</v>
      </c>
      <c r="E116" s="10" t="s">
        <v>292</v>
      </c>
      <c r="F116" s="9" t="s">
        <v>364</v>
      </c>
      <c r="G116" s="10" t="s">
        <v>465</v>
      </c>
      <c r="H116" s="9" t="s">
        <v>537</v>
      </c>
      <c r="I116" s="10" t="s">
        <v>602</v>
      </c>
      <c r="J116" s="9">
        <v>1</v>
      </c>
      <c r="K116" s="9"/>
    </row>
    <row r="117" spans="1:11" ht="15.75" thickBot="1" x14ac:dyDescent="0.3">
      <c r="A117" s="1"/>
      <c r="B117" s="11">
        <f>ROW(B117) - ROW($B$2)</f>
        <v>115</v>
      </c>
      <c r="C117" s="12" t="s">
        <v>22</v>
      </c>
      <c r="D117" s="7" t="s">
        <v>144</v>
      </c>
      <c r="E117" s="8" t="s">
        <v>293</v>
      </c>
      <c r="F117" s="7" t="s">
        <v>364</v>
      </c>
      <c r="G117" s="8" t="s">
        <v>466</v>
      </c>
      <c r="H117" s="7" t="s">
        <v>504</v>
      </c>
      <c r="I117" s="8" t="s">
        <v>603</v>
      </c>
      <c r="J117" s="7">
        <v>1</v>
      </c>
      <c r="K117" s="7"/>
    </row>
    <row r="118" spans="1:11" ht="15.75" thickBot="1" x14ac:dyDescent="0.3">
      <c r="A118" s="1"/>
      <c r="B118" s="11">
        <f t="shared" si="0"/>
        <v>116</v>
      </c>
      <c r="C118" s="13" t="s">
        <v>21</v>
      </c>
      <c r="D118" s="9" t="s">
        <v>145</v>
      </c>
      <c r="E118" s="10" t="s">
        <v>294</v>
      </c>
      <c r="F118" s="9" t="s">
        <v>364</v>
      </c>
      <c r="G118" s="10" t="s">
        <v>467</v>
      </c>
      <c r="H118" s="9" t="s">
        <v>504</v>
      </c>
      <c r="I118" s="10" t="s">
        <v>604</v>
      </c>
      <c r="J118" s="9">
        <v>1</v>
      </c>
      <c r="K118" s="9"/>
    </row>
    <row r="119" spans="1:11" ht="15.75" thickBot="1" x14ac:dyDescent="0.3">
      <c r="A119" s="1"/>
      <c r="B119" s="11">
        <f>ROW(B119) - ROW($B$2)</f>
        <v>117</v>
      </c>
      <c r="C119" s="12" t="s">
        <v>21</v>
      </c>
      <c r="D119" s="7" t="s">
        <v>146</v>
      </c>
      <c r="E119" s="8" t="s">
        <v>295</v>
      </c>
      <c r="F119" s="7" t="s">
        <v>364</v>
      </c>
      <c r="G119" s="8" t="s">
        <v>468</v>
      </c>
      <c r="H119" s="7" t="s">
        <v>504</v>
      </c>
      <c r="I119" s="8" t="s">
        <v>605</v>
      </c>
      <c r="J119" s="7">
        <v>3</v>
      </c>
      <c r="K119" s="7"/>
    </row>
    <row r="120" spans="1:11" ht="15.75" thickBot="1" x14ac:dyDescent="0.3">
      <c r="A120" s="1"/>
      <c r="B120" s="11">
        <f t="shared" si="0"/>
        <v>118</v>
      </c>
      <c r="C120" s="13" t="s">
        <v>22</v>
      </c>
      <c r="D120" s="9" t="s">
        <v>147</v>
      </c>
      <c r="E120" s="10" t="s">
        <v>296</v>
      </c>
      <c r="F120" s="9" t="s">
        <v>364</v>
      </c>
      <c r="G120" s="10" t="s">
        <v>469</v>
      </c>
      <c r="H120" s="9" t="s">
        <v>531</v>
      </c>
      <c r="I120" s="10" t="s">
        <v>606</v>
      </c>
      <c r="J120" s="9">
        <v>1</v>
      </c>
      <c r="K120" s="9"/>
    </row>
    <row r="121" spans="1:11" ht="15.75" thickBot="1" x14ac:dyDescent="0.3">
      <c r="A121" s="1"/>
      <c r="B121" s="11">
        <f>ROW(B121) - ROW($B$2)</f>
        <v>119</v>
      </c>
      <c r="C121" s="12" t="s">
        <v>22</v>
      </c>
      <c r="D121" s="7" t="s">
        <v>148</v>
      </c>
      <c r="E121" s="8" t="s">
        <v>297</v>
      </c>
      <c r="F121" s="7" t="s">
        <v>364</v>
      </c>
      <c r="G121" s="8" t="s">
        <v>470</v>
      </c>
      <c r="H121" s="7" t="s">
        <v>504</v>
      </c>
      <c r="I121" s="8" t="s">
        <v>593</v>
      </c>
      <c r="J121" s="7">
        <v>1</v>
      </c>
      <c r="K121" s="7"/>
    </row>
    <row r="122" spans="1:11" ht="15.75" thickBot="1" x14ac:dyDescent="0.3">
      <c r="A122" s="1"/>
      <c r="B122" s="11">
        <f t="shared" si="0"/>
        <v>120</v>
      </c>
      <c r="C122" s="13" t="s">
        <v>22</v>
      </c>
      <c r="D122" s="9" t="s">
        <v>149</v>
      </c>
      <c r="E122" s="10" t="s">
        <v>298</v>
      </c>
      <c r="F122" s="9" t="s">
        <v>364</v>
      </c>
      <c r="G122" s="10" t="s">
        <v>471</v>
      </c>
      <c r="H122" s="9" t="s">
        <v>531</v>
      </c>
      <c r="I122" s="10" t="s">
        <v>607</v>
      </c>
      <c r="J122" s="9">
        <v>1</v>
      </c>
      <c r="K122" s="9"/>
    </row>
    <row r="123" spans="1:11" ht="15.75" thickBot="1" x14ac:dyDescent="0.3">
      <c r="A123" s="1"/>
      <c r="B123" s="11">
        <f>ROW(B123) - ROW($B$2)</f>
        <v>121</v>
      </c>
      <c r="C123" s="12" t="s">
        <v>22</v>
      </c>
      <c r="D123" s="7" t="s">
        <v>150</v>
      </c>
      <c r="E123" s="8" t="s">
        <v>299</v>
      </c>
      <c r="F123" s="7" t="s">
        <v>364</v>
      </c>
      <c r="G123" s="8" t="s">
        <v>472</v>
      </c>
      <c r="H123" s="7" t="s">
        <v>504</v>
      </c>
      <c r="I123" s="8" t="s">
        <v>608</v>
      </c>
      <c r="J123" s="7">
        <v>1</v>
      </c>
      <c r="K123" s="7"/>
    </row>
    <row r="124" spans="1:11" ht="15.75" thickBot="1" x14ac:dyDescent="0.3">
      <c r="A124" s="1"/>
      <c r="B124" s="11">
        <f t="shared" si="0"/>
        <v>122</v>
      </c>
      <c r="C124" s="13" t="s">
        <v>22</v>
      </c>
      <c r="D124" s="9" t="s">
        <v>151</v>
      </c>
      <c r="E124" s="10" t="s">
        <v>300</v>
      </c>
      <c r="F124" s="9" t="s">
        <v>364</v>
      </c>
      <c r="G124" s="10" t="s">
        <v>473</v>
      </c>
      <c r="H124" s="9" t="s">
        <v>531</v>
      </c>
      <c r="I124" s="10" t="s">
        <v>609</v>
      </c>
      <c r="J124" s="9">
        <v>1</v>
      </c>
      <c r="K124" s="9"/>
    </row>
    <row r="125" spans="1:11" ht="15.75" thickBot="1" x14ac:dyDescent="0.3">
      <c r="A125" s="1"/>
      <c r="B125" s="11">
        <f>ROW(B125) - ROW($B$2)</f>
        <v>123</v>
      </c>
      <c r="C125" s="12" t="s">
        <v>21</v>
      </c>
      <c r="D125" s="7" t="s">
        <v>152</v>
      </c>
      <c r="E125" s="8" t="s">
        <v>301</v>
      </c>
      <c r="F125" s="7" t="s">
        <v>365</v>
      </c>
      <c r="G125" s="8" t="s">
        <v>474</v>
      </c>
      <c r="H125" s="7" t="s">
        <v>530</v>
      </c>
      <c r="I125" s="8" t="s">
        <v>610</v>
      </c>
      <c r="J125" s="7">
        <v>1</v>
      </c>
      <c r="K125" s="7"/>
    </row>
    <row r="126" spans="1:11" ht="15.75" thickBot="1" x14ac:dyDescent="0.3">
      <c r="A126" s="1"/>
      <c r="B126" s="11">
        <f t="shared" si="0"/>
        <v>124</v>
      </c>
      <c r="C126" s="13" t="s">
        <v>22</v>
      </c>
      <c r="D126" s="9" t="s">
        <v>153</v>
      </c>
      <c r="E126" s="10" t="s">
        <v>302</v>
      </c>
      <c r="F126" s="9" t="s">
        <v>366</v>
      </c>
      <c r="G126" s="10" t="s">
        <v>475</v>
      </c>
      <c r="H126" s="9" t="s">
        <v>504</v>
      </c>
      <c r="I126" s="10" t="s">
        <v>611</v>
      </c>
      <c r="J126" s="9">
        <v>1</v>
      </c>
      <c r="K126" s="9"/>
    </row>
    <row r="127" spans="1:11" ht="15.75" thickBot="1" x14ac:dyDescent="0.3">
      <c r="A127" s="1"/>
      <c r="B127" s="11">
        <f>ROW(B127) - ROW($B$2)</f>
        <v>125</v>
      </c>
      <c r="C127" s="12" t="s">
        <v>22</v>
      </c>
      <c r="D127" s="7" t="s">
        <v>154</v>
      </c>
      <c r="E127" s="8" t="s">
        <v>303</v>
      </c>
      <c r="F127" s="7" t="s">
        <v>364</v>
      </c>
      <c r="G127" s="8" t="s">
        <v>476</v>
      </c>
      <c r="H127" s="7" t="s">
        <v>531</v>
      </c>
      <c r="I127" s="8" t="s">
        <v>612</v>
      </c>
      <c r="J127" s="7">
        <v>1</v>
      </c>
      <c r="K127" s="7"/>
    </row>
    <row r="128" spans="1:11" ht="15.75" thickBot="1" x14ac:dyDescent="0.3">
      <c r="A128" s="1"/>
      <c r="B128" s="11">
        <f t="shared" si="0"/>
        <v>126</v>
      </c>
      <c r="C128" s="13" t="s">
        <v>22</v>
      </c>
      <c r="D128" s="9" t="s">
        <v>155</v>
      </c>
      <c r="E128" s="10" t="s">
        <v>304</v>
      </c>
      <c r="F128" s="9" t="s">
        <v>364</v>
      </c>
      <c r="G128" s="10" t="s">
        <v>477</v>
      </c>
      <c r="H128" s="9" t="s">
        <v>504</v>
      </c>
      <c r="I128" s="10" t="s">
        <v>613</v>
      </c>
      <c r="J128" s="9">
        <v>1</v>
      </c>
      <c r="K128" s="9"/>
    </row>
    <row r="129" spans="1:11" ht="15.75" thickBot="1" x14ac:dyDescent="0.3">
      <c r="A129" s="1"/>
      <c r="B129" s="11">
        <f>ROW(B129) - ROW($B$2)</f>
        <v>127</v>
      </c>
      <c r="C129" s="12" t="s">
        <v>21</v>
      </c>
      <c r="D129" s="7" t="s">
        <v>156</v>
      </c>
      <c r="E129" s="8" t="s">
        <v>305</v>
      </c>
      <c r="F129" s="7" t="s">
        <v>364</v>
      </c>
      <c r="G129" s="8" t="s">
        <v>478</v>
      </c>
      <c r="H129" s="7" t="s">
        <v>504</v>
      </c>
      <c r="I129" s="8" t="s">
        <v>614</v>
      </c>
      <c r="J129" s="7">
        <v>1</v>
      </c>
      <c r="K129" s="7"/>
    </row>
    <row r="130" spans="1:11" ht="15.75" thickBot="1" x14ac:dyDescent="0.3">
      <c r="A130" s="1"/>
      <c r="B130" s="11">
        <f t="shared" si="0"/>
        <v>128</v>
      </c>
      <c r="C130" s="13" t="s">
        <v>21</v>
      </c>
      <c r="D130" s="9" t="s">
        <v>157</v>
      </c>
      <c r="E130" s="10" t="s">
        <v>306</v>
      </c>
      <c r="F130" s="9" t="s">
        <v>364</v>
      </c>
      <c r="G130" s="10" t="s">
        <v>479</v>
      </c>
      <c r="H130" s="9" t="s">
        <v>504</v>
      </c>
      <c r="I130" s="10" t="s">
        <v>615</v>
      </c>
      <c r="J130" s="9">
        <v>2</v>
      </c>
      <c r="K130" s="9"/>
    </row>
    <row r="131" spans="1:11" ht="15.75" thickBot="1" x14ac:dyDescent="0.3">
      <c r="A131" s="1"/>
      <c r="B131" s="11">
        <f>ROW(B131) - ROW($B$2)</f>
        <v>129</v>
      </c>
      <c r="C131" s="12" t="s">
        <v>21</v>
      </c>
      <c r="D131" s="7" t="s">
        <v>158</v>
      </c>
      <c r="E131" s="8" t="s">
        <v>307</v>
      </c>
      <c r="F131" s="7" t="s">
        <v>364</v>
      </c>
      <c r="G131" s="8" t="s">
        <v>480</v>
      </c>
      <c r="H131" s="7" t="s">
        <v>531</v>
      </c>
      <c r="I131" s="8" t="s">
        <v>584</v>
      </c>
      <c r="J131" s="7">
        <v>1</v>
      </c>
      <c r="K131" s="7"/>
    </row>
    <row r="132" spans="1:11" ht="15.75" thickBot="1" x14ac:dyDescent="0.3">
      <c r="A132" s="1"/>
      <c r="B132" s="11">
        <f t="shared" si="0"/>
        <v>130</v>
      </c>
      <c r="C132" s="13" t="s">
        <v>22</v>
      </c>
      <c r="D132" s="9" t="s">
        <v>159</v>
      </c>
      <c r="E132" s="10" t="s">
        <v>308</v>
      </c>
      <c r="F132" s="9" t="s">
        <v>364</v>
      </c>
      <c r="G132" s="10" t="s">
        <v>481</v>
      </c>
      <c r="H132" s="9" t="s">
        <v>504</v>
      </c>
      <c r="I132" s="10" t="s">
        <v>616</v>
      </c>
      <c r="J132" s="9">
        <v>1</v>
      </c>
      <c r="K132" s="9"/>
    </row>
    <row r="133" spans="1:11" ht="15.75" thickBot="1" x14ac:dyDescent="0.3">
      <c r="A133" s="1"/>
      <c r="B133" s="11">
        <f>ROW(B133) - ROW($B$2)</f>
        <v>131</v>
      </c>
      <c r="C133" s="12" t="s">
        <v>22</v>
      </c>
      <c r="D133" s="7" t="s">
        <v>160</v>
      </c>
      <c r="E133" s="8" t="s">
        <v>309</v>
      </c>
      <c r="F133" s="7" t="s">
        <v>364</v>
      </c>
      <c r="G133" s="8" t="s">
        <v>482</v>
      </c>
      <c r="H133" s="7" t="s">
        <v>504</v>
      </c>
      <c r="I133" s="8" t="s">
        <v>617</v>
      </c>
      <c r="J133" s="7">
        <v>1</v>
      </c>
      <c r="K133" s="7"/>
    </row>
    <row r="134" spans="1:11" ht="15.75" thickBot="1" x14ac:dyDescent="0.3">
      <c r="A134" s="1"/>
      <c r="B134" s="11">
        <f t="shared" si="0"/>
        <v>132</v>
      </c>
      <c r="C134" s="13" t="s">
        <v>22</v>
      </c>
      <c r="D134" s="9" t="s">
        <v>161</v>
      </c>
      <c r="E134" s="10" t="s">
        <v>310</v>
      </c>
      <c r="F134" s="9" t="s">
        <v>364</v>
      </c>
      <c r="G134" s="10" t="s">
        <v>483</v>
      </c>
      <c r="H134" s="9" t="s">
        <v>531</v>
      </c>
      <c r="I134" s="10" t="s">
        <v>618</v>
      </c>
      <c r="J134" s="9">
        <v>1</v>
      </c>
      <c r="K134" s="9"/>
    </row>
    <row r="135" spans="1:11" ht="15.75" thickBot="1" x14ac:dyDescent="0.3">
      <c r="A135" s="1"/>
      <c r="B135" s="11">
        <f>ROW(B135) - ROW($B$2)</f>
        <v>133</v>
      </c>
      <c r="C135" s="12" t="s">
        <v>24</v>
      </c>
      <c r="D135" s="7" t="s">
        <v>162</v>
      </c>
      <c r="E135" s="8" t="s">
        <v>311</v>
      </c>
      <c r="F135" s="9" t="s">
        <v>622</v>
      </c>
      <c r="G135" s="8" t="s">
        <v>370</v>
      </c>
      <c r="H135" s="7" t="s">
        <v>499</v>
      </c>
      <c r="I135" s="8" t="s">
        <v>624</v>
      </c>
      <c r="J135" s="7">
        <v>1</v>
      </c>
      <c r="K135" s="7"/>
    </row>
    <row r="136" spans="1:11" ht="15.75" thickBot="1" x14ac:dyDescent="0.3">
      <c r="A136" s="1"/>
      <c r="B136" s="11">
        <f t="shared" si="0"/>
        <v>134</v>
      </c>
      <c r="C136" s="13" t="s">
        <v>25</v>
      </c>
      <c r="D136" s="9" t="s">
        <v>163</v>
      </c>
      <c r="E136" s="10" t="s">
        <v>312</v>
      </c>
      <c r="F136" s="9" t="s">
        <v>622</v>
      </c>
      <c r="G136" s="10">
        <v>7508111323</v>
      </c>
      <c r="H136" s="9" t="s">
        <v>522</v>
      </c>
      <c r="I136" s="8" t="s">
        <v>624</v>
      </c>
      <c r="J136" s="9">
        <v>1</v>
      </c>
      <c r="K136" s="9"/>
    </row>
    <row r="137" spans="1:11" ht="15.75" thickBot="1" x14ac:dyDescent="0.3">
      <c r="A137" s="1"/>
      <c r="B137" s="11">
        <f>ROW(B137) - ROW($B$2)</f>
        <v>135</v>
      </c>
      <c r="C137" s="12" t="s">
        <v>25</v>
      </c>
      <c r="D137" s="7" t="s">
        <v>164</v>
      </c>
      <c r="E137" s="8" t="s">
        <v>313</v>
      </c>
      <c r="F137" s="9" t="s">
        <v>622</v>
      </c>
      <c r="G137" s="8" t="s">
        <v>484</v>
      </c>
      <c r="H137" s="7" t="s">
        <v>538</v>
      </c>
      <c r="I137" s="8" t="s">
        <v>624</v>
      </c>
      <c r="J137" s="7">
        <v>2</v>
      </c>
      <c r="K137" s="7"/>
    </row>
    <row r="138" spans="1:11" ht="15.75" thickBot="1" x14ac:dyDescent="0.3">
      <c r="A138" s="1"/>
      <c r="B138" s="11">
        <f t="shared" si="0"/>
        <v>136</v>
      </c>
      <c r="C138" s="13" t="s">
        <v>25</v>
      </c>
      <c r="D138" s="9" t="s">
        <v>165</v>
      </c>
      <c r="E138" s="10"/>
      <c r="F138" s="9" t="s">
        <v>622</v>
      </c>
      <c r="G138" s="10" t="s">
        <v>371</v>
      </c>
      <c r="H138" s="9" t="s">
        <v>539</v>
      </c>
      <c r="I138" s="8" t="s">
        <v>624</v>
      </c>
      <c r="J138" s="9">
        <v>1</v>
      </c>
      <c r="K138" s="9"/>
    </row>
    <row r="139" spans="1:11" ht="15.75" thickBot="1" x14ac:dyDescent="0.3">
      <c r="A139" s="1"/>
      <c r="B139" s="11">
        <f>ROW(B139) - ROW($B$2)</f>
        <v>137</v>
      </c>
      <c r="C139" s="12" t="s">
        <v>26</v>
      </c>
      <c r="D139" s="7" t="s">
        <v>166</v>
      </c>
      <c r="E139" s="8" t="s">
        <v>314</v>
      </c>
      <c r="F139" s="7" t="s">
        <v>372</v>
      </c>
      <c r="G139" s="8" t="s">
        <v>485</v>
      </c>
      <c r="H139" s="7" t="s">
        <v>539</v>
      </c>
      <c r="I139" s="8" t="s">
        <v>624</v>
      </c>
      <c r="J139" s="7">
        <v>2</v>
      </c>
      <c r="K139" s="7"/>
    </row>
    <row r="140" spans="1:11" ht="24.75" thickBot="1" x14ac:dyDescent="0.3">
      <c r="A140" s="1"/>
      <c r="B140" s="11">
        <f t="shared" si="0"/>
        <v>138</v>
      </c>
      <c r="C140" s="13" t="s">
        <v>27</v>
      </c>
      <c r="D140" s="9" t="s">
        <v>167</v>
      </c>
      <c r="E140" s="10" t="s">
        <v>315</v>
      </c>
      <c r="F140" s="9" t="s">
        <v>622</v>
      </c>
      <c r="G140" s="10" t="s">
        <v>373</v>
      </c>
      <c r="H140" s="9" t="s">
        <v>540</v>
      </c>
      <c r="I140" s="8" t="s">
        <v>624</v>
      </c>
      <c r="J140" s="9">
        <v>3</v>
      </c>
      <c r="K140" s="9"/>
    </row>
    <row r="141" spans="1:11" ht="15.75" thickBot="1" x14ac:dyDescent="0.3">
      <c r="A141" s="1"/>
      <c r="B141" s="11">
        <f>ROW(B141) - ROW($B$2)</f>
        <v>139</v>
      </c>
      <c r="C141" s="12" t="s">
        <v>26</v>
      </c>
      <c r="D141" s="7" t="s">
        <v>168</v>
      </c>
      <c r="E141" s="8" t="s">
        <v>316</v>
      </c>
      <c r="F141" s="7" t="s">
        <v>343</v>
      </c>
      <c r="G141" s="8" t="s">
        <v>486</v>
      </c>
      <c r="H141" s="7" t="s">
        <v>539</v>
      </c>
      <c r="I141" s="8" t="s">
        <v>624</v>
      </c>
      <c r="J141" s="7">
        <v>2</v>
      </c>
      <c r="K141" s="7"/>
    </row>
    <row r="142" spans="1:11" ht="24.75" thickBot="1" x14ac:dyDescent="0.3">
      <c r="A142" s="1"/>
      <c r="B142" s="11">
        <f t="shared" si="0"/>
        <v>140</v>
      </c>
      <c r="C142" s="13" t="s">
        <v>26</v>
      </c>
      <c r="D142" s="9" t="s">
        <v>169</v>
      </c>
      <c r="E142" s="10" t="s">
        <v>316</v>
      </c>
      <c r="F142" s="9" t="s">
        <v>343</v>
      </c>
      <c r="G142" s="10" t="s">
        <v>487</v>
      </c>
      <c r="H142" s="9" t="s">
        <v>541</v>
      </c>
      <c r="I142" s="8" t="s">
        <v>624</v>
      </c>
      <c r="J142" s="9">
        <v>2</v>
      </c>
      <c r="K142" s="9"/>
    </row>
    <row r="143" spans="1:11" ht="15.75" thickBot="1" x14ac:dyDescent="0.3">
      <c r="A143" s="1"/>
      <c r="B143" s="11">
        <f>ROW(B143) - ROW($B$2)</f>
        <v>141</v>
      </c>
      <c r="C143" s="12" t="s">
        <v>26</v>
      </c>
      <c r="D143" s="7" t="s">
        <v>170</v>
      </c>
      <c r="E143" s="8" t="s">
        <v>317</v>
      </c>
      <c r="F143" s="7" t="s">
        <v>374</v>
      </c>
      <c r="G143" s="8" t="s">
        <v>488</v>
      </c>
      <c r="H143" s="7" t="s">
        <v>539</v>
      </c>
      <c r="I143" s="8" t="s">
        <v>624</v>
      </c>
      <c r="J143" s="7">
        <v>1</v>
      </c>
      <c r="K143" s="7"/>
    </row>
    <row r="144" spans="1:11" ht="15.75" thickBot="1" x14ac:dyDescent="0.3">
      <c r="A144" s="1"/>
      <c r="B144" s="11">
        <f t="shared" si="0"/>
        <v>142</v>
      </c>
      <c r="C144" s="13" t="s">
        <v>26</v>
      </c>
      <c r="D144" s="9" t="s">
        <v>171</v>
      </c>
      <c r="E144" s="10" t="s">
        <v>318</v>
      </c>
      <c r="F144" s="9" t="s">
        <v>375</v>
      </c>
      <c r="G144" s="10" t="s">
        <v>489</v>
      </c>
      <c r="H144" s="9" t="s">
        <v>539</v>
      </c>
      <c r="I144" s="8" t="s">
        <v>624</v>
      </c>
      <c r="J144" s="9">
        <v>1</v>
      </c>
      <c r="K144" s="9"/>
    </row>
    <row r="145" spans="1:11" ht="15.75" thickBot="1" x14ac:dyDescent="0.3">
      <c r="A145" s="1"/>
      <c r="B145" s="11">
        <f>ROW(B145) - ROW($B$2)</f>
        <v>143</v>
      </c>
      <c r="C145" s="12" t="s">
        <v>26</v>
      </c>
      <c r="D145" s="7" t="s">
        <v>172</v>
      </c>
      <c r="E145" s="8" t="s">
        <v>319</v>
      </c>
      <c r="F145" s="7" t="s">
        <v>376</v>
      </c>
      <c r="G145" s="8" t="s">
        <v>490</v>
      </c>
      <c r="H145" s="7" t="s">
        <v>539</v>
      </c>
      <c r="I145" s="8" t="s">
        <v>624</v>
      </c>
      <c r="J145" s="7">
        <v>4</v>
      </c>
      <c r="K145" s="7"/>
    </row>
    <row r="146" spans="1:11" ht="15.75" thickBot="1" x14ac:dyDescent="0.3">
      <c r="A146" s="1"/>
      <c r="B146" s="11">
        <f t="shared" si="0"/>
        <v>144</v>
      </c>
      <c r="C146" s="13" t="s">
        <v>26</v>
      </c>
      <c r="D146" s="9" t="s">
        <v>173</v>
      </c>
      <c r="E146" s="10" t="s">
        <v>320</v>
      </c>
      <c r="F146" s="9" t="s">
        <v>372</v>
      </c>
      <c r="G146" s="10" t="s">
        <v>491</v>
      </c>
      <c r="H146" s="9" t="s">
        <v>539</v>
      </c>
      <c r="I146" s="8" t="s">
        <v>624</v>
      </c>
      <c r="J146" s="9">
        <v>1</v>
      </c>
      <c r="K146" s="9"/>
    </row>
    <row r="147" spans="1:11" ht="15.75" thickBot="1" x14ac:dyDescent="0.3">
      <c r="A147" s="1"/>
      <c r="B147" s="11">
        <f>ROW(B147) - ROW($B$2)</f>
        <v>145</v>
      </c>
      <c r="C147" s="12" t="s">
        <v>26</v>
      </c>
      <c r="D147" s="7" t="s">
        <v>174</v>
      </c>
      <c r="E147" s="8" t="s">
        <v>321</v>
      </c>
      <c r="F147" s="7" t="s">
        <v>377</v>
      </c>
      <c r="G147" s="8" t="s">
        <v>492</v>
      </c>
      <c r="H147" s="7" t="s">
        <v>539</v>
      </c>
      <c r="I147" s="8" t="s">
        <v>624</v>
      </c>
      <c r="J147" s="7">
        <v>1</v>
      </c>
      <c r="K147" s="7"/>
    </row>
    <row r="148" spans="1:11" ht="15.75" thickBot="1" x14ac:dyDescent="0.3">
      <c r="A148" s="1"/>
      <c r="B148" s="11">
        <f t="shared" si="0"/>
        <v>146</v>
      </c>
      <c r="C148" s="13" t="s">
        <v>26</v>
      </c>
      <c r="D148" s="9" t="s">
        <v>175</v>
      </c>
      <c r="E148" s="10" t="s">
        <v>322</v>
      </c>
      <c r="F148" s="9" t="s">
        <v>378</v>
      </c>
      <c r="G148" s="10" t="s">
        <v>493</v>
      </c>
      <c r="H148" s="9" t="s">
        <v>539</v>
      </c>
      <c r="I148" s="8" t="s">
        <v>624</v>
      </c>
      <c r="J148" s="9">
        <v>1</v>
      </c>
      <c r="K148" s="9"/>
    </row>
    <row r="149" spans="1:11" ht="15.75" thickBot="1" x14ac:dyDescent="0.3">
      <c r="A149" s="1"/>
      <c r="B149" s="11">
        <f>ROW(B149) - ROW($B$2)</f>
        <v>147</v>
      </c>
      <c r="C149" s="12" t="s">
        <v>26</v>
      </c>
      <c r="D149" s="7" t="s">
        <v>176</v>
      </c>
      <c r="E149" s="8" t="s">
        <v>323</v>
      </c>
      <c r="F149" s="7" t="s">
        <v>379</v>
      </c>
      <c r="G149" s="8" t="s">
        <v>494</v>
      </c>
      <c r="H149" s="7" t="s">
        <v>539</v>
      </c>
      <c r="I149" s="8" t="s">
        <v>624</v>
      </c>
      <c r="J149" s="7">
        <v>1</v>
      </c>
      <c r="K149" s="7"/>
    </row>
    <row r="150" spans="1:11" ht="15.75" thickBot="1" x14ac:dyDescent="0.3">
      <c r="A150" s="1"/>
      <c r="B150" s="11">
        <f t="shared" si="0"/>
        <v>148</v>
      </c>
      <c r="C150" s="13" t="s">
        <v>28</v>
      </c>
      <c r="D150" s="9" t="s">
        <v>177</v>
      </c>
      <c r="E150" s="10" t="s">
        <v>324</v>
      </c>
      <c r="F150" s="9" t="s">
        <v>622</v>
      </c>
      <c r="G150" s="10" t="s">
        <v>380</v>
      </c>
      <c r="H150" s="9" t="s">
        <v>499</v>
      </c>
      <c r="I150" s="8" t="s">
        <v>624</v>
      </c>
      <c r="J150" s="9">
        <v>1</v>
      </c>
      <c r="K150" s="9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2025-07-03T07:36:05Z</dcterms:modified>
</cp:coreProperties>
</file>