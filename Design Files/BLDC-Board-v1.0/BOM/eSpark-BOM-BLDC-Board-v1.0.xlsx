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06" i="1" l="1"/>
  <c r="Q103" i="1"/>
  <c r="Q104" i="1"/>
  <c r="Q105" i="1"/>
  <c r="M105" i="1"/>
  <c r="M104" i="1"/>
  <c r="M103" i="1"/>
  <c r="B103" i="1"/>
  <c r="B104" i="1"/>
  <c r="B102" i="1"/>
  <c r="Q99" i="1" l="1"/>
  <c r="M99" i="1"/>
  <c r="B99" i="1"/>
  <c r="Q36" i="1"/>
  <c r="M36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100" i="1"/>
  <c r="B101" i="1"/>
  <c r="B105" i="1"/>
  <c r="Q25" i="1"/>
  <c r="M25" i="1"/>
  <c r="Q8" i="1"/>
  <c r="Q102" i="1" l="1"/>
  <c r="M102" i="1"/>
  <c r="Q101" i="1"/>
  <c r="M101" i="1"/>
  <c r="M100" i="1"/>
  <c r="Q98" i="1"/>
  <c r="M98" i="1"/>
  <c r="Q97" i="1"/>
  <c r="M97" i="1"/>
  <c r="Q96" i="1"/>
  <c r="M96" i="1"/>
  <c r="Q95" i="1"/>
  <c r="M95" i="1"/>
  <c r="Q94" i="1"/>
  <c r="M94" i="1"/>
  <c r="Q93" i="1"/>
  <c r="M93" i="1"/>
  <c r="Q92" i="1"/>
  <c r="M92" i="1"/>
  <c r="Q91" i="1"/>
  <c r="M91" i="1"/>
  <c r="Q90" i="1"/>
  <c r="M90" i="1"/>
  <c r="Q89" i="1"/>
  <c r="M89" i="1"/>
  <c r="Q88" i="1"/>
  <c r="M88" i="1"/>
  <c r="Q87" i="1"/>
  <c r="M87" i="1"/>
  <c r="Q86" i="1"/>
  <c r="M86" i="1"/>
  <c r="Q85" i="1"/>
  <c r="M85" i="1"/>
  <c r="Q84" i="1"/>
  <c r="M84" i="1"/>
  <c r="Q83" i="1"/>
  <c r="M83" i="1"/>
  <c r="Q82" i="1"/>
  <c r="M82" i="1"/>
  <c r="Q81" i="1"/>
  <c r="M81" i="1"/>
  <c r="Q80" i="1"/>
  <c r="M80" i="1"/>
  <c r="M79" i="1"/>
  <c r="Q78" i="1"/>
  <c r="M78" i="1"/>
  <c r="Q77" i="1"/>
  <c r="M77" i="1"/>
  <c r="Q76" i="1"/>
  <c r="M76" i="1"/>
  <c r="Q75" i="1"/>
  <c r="M75" i="1"/>
  <c r="Q74" i="1"/>
  <c r="M74" i="1"/>
  <c r="Q73" i="1"/>
  <c r="M73" i="1"/>
  <c r="Q72" i="1"/>
  <c r="M72" i="1"/>
  <c r="Q71" i="1"/>
  <c r="M71" i="1"/>
  <c r="Q70" i="1"/>
  <c r="M70" i="1"/>
  <c r="Q69" i="1"/>
  <c r="M69" i="1"/>
  <c r="Q68" i="1"/>
  <c r="M68" i="1"/>
  <c r="Q67" i="1"/>
  <c r="M67" i="1"/>
  <c r="Q66" i="1"/>
  <c r="M66" i="1"/>
  <c r="Q65" i="1"/>
  <c r="M65" i="1"/>
  <c r="Q64" i="1"/>
  <c r="M64" i="1"/>
  <c r="Q63" i="1"/>
  <c r="M63" i="1"/>
  <c r="Q62" i="1"/>
  <c r="M62" i="1"/>
  <c r="Q61" i="1"/>
  <c r="M61" i="1"/>
  <c r="Q60" i="1"/>
  <c r="M60" i="1"/>
  <c r="Q59" i="1"/>
  <c r="M59" i="1"/>
  <c r="M58" i="1"/>
  <c r="Q57" i="1"/>
  <c r="M57" i="1"/>
  <c r="Q56" i="1"/>
  <c r="M56" i="1"/>
  <c r="Q55" i="1"/>
  <c r="M55" i="1"/>
  <c r="Q54" i="1"/>
  <c r="M54" i="1"/>
  <c r="Q53" i="1"/>
  <c r="M53" i="1"/>
  <c r="Q52" i="1"/>
  <c r="M52" i="1"/>
  <c r="Q51" i="1"/>
  <c r="M51" i="1"/>
  <c r="Q50" i="1"/>
  <c r="M50" i="1"/>
  <c r="Q49" i="1"/>
  <c r="M49" i="1"/>
  <c r="Q48" i="1"/>
  <c r="M48" i="1"/>
  <c r="Q47" i="1"/>
  <c r="M47" i="1"/>
  <c r="Q46" i="1"/>
  <c r="M46" i="1"/>
  <c r="Q45" i="1"/>
  <c r="M45" i="1"/>
  <c r="Q44" i="1"/>
  <c r="M44" i="1"/>
  <c r="Q43" i="1"/>
  <c r="M43" i="1"/>
  <c r="Q42" i="1"/>
  <c r="M42" i="1"/>
  <c r="Q41" i="1"/>
  <c r="M41" i="1"/>
  <c r="Q40" i="1"/>
  <c r="M40" i="1"/>
  <c r="Q39" i="1"/>
  <c r="M39" i="1"/>
  <c r="Q38" i="1"/>
  <c r="M38" i="1"/>
  <c r="Q37" i="1"/>
  <c r="M37" i="1"/>
  <c r="Q35" i="1"/>
  <c r="M35" i="1"/>
  <c r="Q34" i="1"/>
  <c r="M34" i="1"/>
  <c r="Q33" i="1"/>
  <c r="M33" i="1"/>
  <c r="Q32" i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4" i="1"/>
  <c r="M24" i="1"/>
  <c r="Q23" i="1"/>
  <c r="M23" i="1"/>
  <c r="M8" i="1"/>
  <c r="Q22" i="1"/>
  <c r="M22" i="1"/>
  <c r="Q21" i="1"/>
  <c r="M21" i="1"/>
  <c r="Q20" i="1"/>
  <c r="M20" i="1"/>
  <c r="Q19" i="1"/>
  <c r="M19" i="1"/>
  <c r="Q18" i="1"/>
  <c r="M18" i="1"/>
  <c r="Q17" i="1"/>
  <c r="M17" i="1"/>
  <c r="Q16" i="1"/>
  <c r="M16" i="1"/>
  <c r="Q15" i="1"/>
  <c r="M15" i="1"/>
  <c r="Q14" i="1"/>
  <c r="M14" i="1"/>
  <c r="Q13" i="1"/>
  <c r="M13" i="1"/>
  <c r="Q12" i="1"/>
  <c r="M12" i="1"/>
  <c r="Q11" i="1"/>
  <c r="M11" i="1"/>
  <c r="Q10" i="1"/>
  <c r="M10" i="1"/>
  <c r="Q107" i="1" l="1"/>
  <c r="M9" i="1"/>
  <c r="B8" i="1"/>
</calcChain>
</file>

<file path=xl/sharedStrings.xml><?xml version="1.0" encoding="utf-8"?>
<sst xmlns="http://schemas.openxmlformats.org/spreadsheetml/2006/main" count="1017" uniqueCount="567">
  <si>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</si>
  <si>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</si>
  <si>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</si>
  <si>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</si>
  <si>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</si>
  <si>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</si>
  <si>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</si>
  <si>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(TVS/ESD)</t>
  </si>
  <si>
    <t>Diode</t>
  </si>
  <si>
    <t>TVS Diodes</t>
  </si>
  <si>
    <t>Fuse</t>
  </si>
  <si>
    <t>Ferrite Bead</t>
  </si>
  <si>
    <t>Male Header</t>
  </si>
  <si>
    <t>USB Connector</t>
  </si>
  <si>
    <t>Terminal Blocks</t>
  </si>
  <si>
    <t>Fuse Holder</t>
  </si>
  <si>
    <t>Connectors (RJ45 RJ11)</t>
  </si>
  <si>
    <t>Terminal Block</t>
  </si>
  <si>
    <t>Screw terminal</t>
  </si>
  <si>
    <t>RJ45 Connector</t>
  </si>
  <si>
    <t>Relay</t>
  </si>
  <si>
    <t>Inductor</t>
  </si>
  <si>
    <t>LED</t>
  </si>
  <si>
    <t>Transistors</t>
  </si>
  <si>
    <t>Resistor</t>
  </si>
  <si>
    <t>Switch</t>
  </si>
  <si>
    <t>DIP Switches</t>
  </si>
  <si>
    <t>Microcontrollers</t>
  </si>
  <si>
    <t>IC</t>
  </si>
  <si>
    <t>Optocoupler</t>
  </si>
  <si>
    <t>Optoisolator</t>
  </si>
  <si>
    <t>Crystal</t>
  </si>
  <si>
    <t>Designator</t>
  </si>
  <si>
    <t>C3, C4</t>
  </si>
  <si>
    <t>C5, C7, C15, C34, C35, C36, C37, C38, C39, C42, C43, C47, C48, C50, C51, C52, C53, C54, C56, C58, C59, C60, C61, C62, C63, C64</t>
  </si>
  <si>
    <t>C6</t>
  </si>
  <si>
    <t>C8, C10, C22, C23, C24, C25</t>
  </si>
  <si>
    <t>C9</t>
  </si>
  <si>
    <t>C14</t>
  </si>
  <si>
    <t>C16</t>
  </si>
  <si>
    <t>C17</t>
  </si>
  <si>
    <t>C18, C19</t>
  </si>
  <si>
    <t>C20, C21</t>
  </si>
  <si>
    <t>C26, C27</t>
  </si>
  <si>
    <t>C28, C29, C30, C31, C32, C33</t>
  </si>
  <si>
    <t>C40, C41, C44, C45</t>
  </si>
  <si>
    <t>C55</t>
  </si>
  <si>
    <t>C57</t>
  </si>
  <si>
    <t>C73, C74</t>
  </si>
  <si>
    <t>D1, D2</t>
  </si>
  <si>
    <t>D3, D4, D5, D6, D7, D8, D9, D11, D21, D22, D23, D24</t>
  </si>
  <si>
    <t>D10, D12</t>
  </si>
  <si>
    <t>D13</t>
  </si>
  <si>
    <t>D14, D15</t>
  </si>
  <si>
    <t>D16, D17</t>
  </si>
  <si>
    <t>D18</t>
  </si>
  <si>
    <t>D19, D20</t>
  </si>
  <si>
    <t>D25, D26, D27, D28</t>
  </si>
  <si>
    <t>F1, F2, F3, F4</t>
  </si>
  <si>
    <t>FB1, FB2, FB3, FB4</t>
  </si>
  <si>
    <t>J1, J2</t>
  </si>
  <si>
    <t>J3</t>
  </si>
  <si>
    <t>J4</t>
  </si>
  <si>
    <t>J5</t>
  </si>
  <si>
    <t>J6</t>
  </si>
  <si>
    <t>J7</t>
  </si>
  <si>
    <t>J8, J9, J10, J11, J14</t>
  </si>
  <si>
    <t>J12, J13</t>
  </si>
  <si>
    <t>J15, J16</t>
  </si>
  <si>
    <t>J17, J18, J19, J20</t>
  </si>
  <si>
    <t>J21</t>
  </si>
  <si>
    <t>J22, J23</t>
  </si>
  <si>
    <t>K1, K2, K3, K4</t>
  </si>
  <si>
    <t>L1</t>
  </si>
  <si>
    <t>L2</t>
  </si>
  <si>
    <t>LED1, LED2, LED3, LED5</t>
  </si>
  <si>
    <t>LED4</t>
  </si>
  <si>
    <t>Q1, Q2, Q3, Q4</t>
  </si>
  <si>
    <t>R1, R8, R12, R21, R22, R23, R78, R79, R80, R81, R88, R89, R90, R91, R101, R102, R116, R118, R119, R120</t>
  </si>
  <si>
    <t>R2, R3</t>
  </si>
  <si>
    <t>R4, R5</t>
  </si>
  <si>
    <t>R6, R7, R47, R48, R49, R50, R51, R52, R96, R97, R99</t>
  </si>
  <si>
    <t>R9</t>
  </si>
  <si>
    <t>R10, R11</t>
  </si>
  <si>
    <t>R13, R14, R15, R16, R17, R18, R19, R20</t>
  </si>
  <si>
    <t>R24</t>
  </si>
  <si>
    <t>R25</t>
  </si>
  <si>
    <t>R26</t>
  </si>
  <si>
    <t>R27, R82, R83, R92, R93</t>
  </si>
  <si>
    <t>R28</t>
  </si>
  <si>
    <t>R31, R32</t>
  </si>
  <si>
    <t>R33, R34, R35, R36, R41, R42, R43, R44, R45, R46, R58, R59</t>
  </si>
  <si>
    <t>R37, R38, R39, R40</t>
  </si>
  <si>
    <t>R53</t>
  </si>
  <si>
    <t>R54, R55, R56, R57</t>
  </si>
  <si>
    <t>R60, R61, R62, R63</t>
  </si>
  <si>
    <t>R64, R65, R66, R67, R72, R73, R74, R75</t>
  </si>
  <si>
    <t>R68, R69, R70, R71</t>
  </si>
  <si>
    <t>R76, R77, R84, R85, R86, R87, R94, R95</t>
  </si>
  <si>
    <t>R98</t>
  </si>
  <si>
    <t>R100</t>
  </si>
  <si>
    <t>R103, R104, R105, R106, R108, R109, R110, R111</t>
  </si>
  <si>
    <t>R107</t>
  </si>
  <si>
    <t>R112, R113</t>
  </si>
  <si>
    <t>R114, R115, R117, R121</t>
  </si>
  <si>
    <t>SW1, SW3</t>
  </si>
  <si>
    <t>SW2</t>
  </si>
  <si>
    <t>U1</t>
  </si>
  <si>
    <t>U2</t>
  </si>
  <si>
    <t>U3</t>
  </si>
  <si>
    <t>U4</t>
  </si>
  <si>
    <t>U5, U6</t>
  </si>
  <si>
    <t>U7</t>
  </si>
  <si>
    <t>U8</t>
  </si>
  <si>
    <t>U9, U10, U11, U12</t>
  </si>
  <si>
    <t>U13, U14, U15, U16, U19, U20, U21, U22</t>
  </si>
  <si>
    <t>U17, U18, U23, U24</t>
  </si>
  <si>
    <t>U25</t>
  </si>
  <si>
    <t>U26</t>
  </si>
  <si>
    <t>X1</t>
  </si>
  <si>
    <t>X2</t>
  </si>
  <si>
    <t>X3</t>
  </si>
  <si>
    <t>Description</t>
  </si>
  <si>
    <t>CAP CER 10PF 50V C0G/NP0 0402</t>
  </si>
  <si>
    <t>CAP CER 6.8PF 50V C0G/NPO 0402</t>
  </si>
  <si>
    <t>CAP CER 0.1UF 50V X7R 0402</t>
  </si>
  <si>
    <t>CAP CER 4.7UF 10V X5R 0402</t>
  </si>
  <si>
    <t>CAP CER 0.1UF 16V X7R 0402</t>
  </si>
  <si>
    <t>CAP CER 4700PF 50V C0G/NPO 0603</t>
  </si>
  <si>
    <t>CAP ALUM 220UF 20% 50V SMD</t>
  </si>
  <si>
    <t>CAP CER 10UF 50V X5R 1206</t>
  </si>
  <si>
    <t>CAP CER 0.1UF 50V X5R 0402</t>
  </si>
  <si>
    <t>CAP CER 47PF 50V C0G/NP0 0402</t>
  </si>
  <si>
    <t>CAP CER 22UF 25V X5R 0805</t>
  </si>
  <si>
    <t>CAP CER 4.7UF 16V X5R 0603</t>
  </si>
  <si>
    <t>CAP CER 4700PF 50V X7R 0402</t>
  </si>
  <si>
    <t>CAP CER 0.1UF 100V X5R 0402</t>
  </si>
  <si>
    <t>CAP ALUM 100UF 20% 25V SMD</t>
  </si>
  <si>
    <t>CAP CER 30PF 50V C0G/NPO 0402</t>
  </si>
  <si>
    <t>CAP CER 1UF 16V X5R 0402</t>
  </si>
  <si>
    <t>50V 470pF ±10% 0402 Multilayer Ceramic Capacitors MLCC - SMD/SMT ROHS</t>
  </si>
  <si>
    <t>CAP CER 0.022UF 16V X7R 0402</t>
  </si>
  <si>
    <t>20A 350W 16V 4V 3.3V SOD-323 ESD and Surge Protection (TVS/ESD) ROHS</t>
  </si>
  <si>
    <t>±5% Single 3.1V~3.5V 300mW 3.3V SOD-323 Zener Diodes ROHS</t>
  </si>
  <si>
    <t>TVS DIODE 5V 9.8V SOD923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</si>
  <si>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</si>
  <si>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</si>
  <si>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</si>
  <si>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</si>
  <si>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</si>
  <si>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DIODE GEN PURP 75V 150MA SOD323</t>
  </si>
  <si>
    <t>60V 100mA 40A 300mA 1812 Resettable Fuses ROHS</t>
  </si>
  <si>
    <t>FERRITE BEAD 220 OHM 0603 1LN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</si>
  <si>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</si>
  <si>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</si>
  <si>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</si>
  <si>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Gold 250V 3A Square Pins 2.5mm 8P 260℃ 6mm -40℃~+105℃ 3mm 2.54mm Plugin Black Brass 2.54mm 1x8P Plugin,P=2.54mm Pin Headers ROHS</t>
  </si>
  <si>
    <t>TERM BLK 2P SIDE ENT 5.08MM PCB</t>
  </si>
  <si>
    <t>FUSE HOLDER BLADE 80V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</si>
  <si>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</si>
  <si>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</si>
  <si>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1x3P 18A -40℃~+105℃ 250V Black 12~30 Straight pin 5.08mm 2.5 1 3 Plugin,P=5.08mm Screw terminal ROHS</t>
  </si>
  <si>
    <t>1x5P -40℃~+105℃ 15A 250V Green 14~26 Straight pin 5mm 1.5 1 5 Plugin,P=5mm Screw terminal ROHS</t>
  </si>
  <si>
    <t>M4 Plugin PCB Welding Terminal ROHS</t>
  </si>
  <si>
    <t>RJ45 RJReceptacle 1 WithLED Plugin Ethernet Connectors/Modular Connectors (RJ45 RJ11) ROHS</t>
  </si>
  <si>
    <t>24V 10A SPDT (1 Form C) Plugin,10.2x20.5mm Power Relays ROHS</t>
  </si>
  <si>
    <t>FERRITE BEAD 600 OHM 0402 1LN</t>
  </si>
  <si>
    <t>FIXED IND 6.8UH 5A 48 MOHM SMD</t>
  </si>
  <si>
    <t>RED LED 0603 Light Emitting Diodes</t>
  </si>
  <si>
    <t>Emerald 0603 Light Emitting Diodes (LED) ROHS</t>
  </si>
  <si>
    <t>TRANS NPN 65V 0.1A SOT23-3</t>
  </si>
  <si>
    <t>RES 10K OHM 1% 1/16W 0402</t>
  </si>
  <si>
    <t>RES 0 OHM JUMPER 1/10W 0603</t>
  </si>
  <si>
    <t>RES 4.7K OHM 1% 1/16W 0402</t>
  </si>
  <si>
    <t>RES SMD 1M OHM 5% 1/16W 0402</t>
  </si>
  <si>
    <t>RES 5.1K OHM 1% 1/16W 0402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</si>
  <si>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</si>
  <si>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</si>
  <si>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</si>
  <si>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</si>
  <si>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</si>
  <si>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</si>
  <si>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100K OHM 1% 1/16W 0402</t>
  </si>
  <si>
    <t>RES 33K OHM 1% 1/16W 0402</t>
  </si>
  <si>
    <t>RES 0 OHM JUMPER 1/16W 0402</t>
  </si>
  <si>
    <t>100mW Thick Film Resistors ±100ppm/℃ ±1% 60.4Ω 0603 Chip Resistor - Surface Mount ROHS</t>
  </si>
  <si>
    <t>RES 120 OHM 5% 1/10W 0603</t>
  </si>
  <si>
    <t>RES 22 OHM 1% 1/20W 0201</t>
  </si>
  <si>
    <t>1W 40mΩ Surface Mount Current Sensing Resistors ±50ppm/℃ ±1% 1206 Current Sense Resistors/Shunt Resistors ROHS</t>
  </si>
  <si>
    <t>RES SMD 1K OHM 1% 1/5W 0402</t>
  </si>
  <si>
    <t>RES 20K OHM 1% 1/16W 0402</t>
  </si>
  <si>
    <t>RES 240 OHM 1% 1/16W 0402</t>
  </si>
  <si>
    <t>RES SMD 12.1KOHM 0.1% 1/16W 0402</t>
  </si>
  <si>
    <t>RES 49.9 OHM 1% 1/10W 0603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</si>
  <si>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</si>
  <si>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</si>
  <si>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</si>
  <si>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</si>
  <si>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</si>
  <si>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MCU 32BIT 512KB FLASH 64LQFP</t>
  </si>
  <si>
    <t>IC XPNDR 100KHZ I2C 20TSSOP</t>
  </si>
  <si>
    <t>IC REG BUCK ADJ 3A TSOT26</t>
  </si>
  <si>
    <t>70dB@(100Hz) 1.5A Fixed 3.3V~3.3V Positive 6V SOT-223 Linear Voltage Regulators (LDO) ROHS</t>
  </si>
  <si>
    <t>IC TRANSCEIVER HALF 1/1 14VSON</t>
  </si>
  <si>
    <t>IC TRANSCEIVER HALF 1/1 8SON</t>
  </si>
  <si>
    <t>250Kbps transceiver 2/2 SOP-16 RS232 ICs ROHS</t>
  </si>
  <si>
    <t>IC CMOS 1 CIRCUIT SC70-5</t>
  </si>
  <si>
    <t>Optoisolator Transistor Output 3750Vrms 1 Channel</t>
  </si>
  <si>
    <t>15Mbit/s 80ns 2.7V~5.5V 20kV/us DC SO-5 Logic Output Optoisolators ROHS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</si>
  <si>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</si>
  <si>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</si>
  <si>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</si>
  <si>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</si>
  <si>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</si>
  <si>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</si>
  <si>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</si>
  <si>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cap-0402</t>
  </si>
  <si>
    <t>Cap-0603</t>
  </si>
  <si>
    <t>UCD-220uF-10mmDia</t>
  </si>
  <si>
    <t>Cap-1206</t>
  </si>
  <si>
    <t>Cap-0805</t>
  </si>
  <si>
    <t>SOD-323</t>
  </si>
  <si>
    <t>SOD-923.</t>
  </si>
  <si>
    <t>SMB_</t>
  </si>
  <si>
    <t>DSN0603-2</t>
  </si>
  <si>
    <t>SOT-23</t>
  </si>
  <si>
    <t>SMB Bi Directional</t>
  </si>
  <si>
    <t>Fuse-1812_</t>
  </si>
  <si>
    <t>IND-0603 (1608 Metric)</t>
  </si>
  <si>
    <t>HDR1X4_</t>
  </si>
  <si>
    <t>HDR1X3_</t>
  </si>
  <si>
    <t>HDR 1x8 TH male</t>
  </si>
  <si>
    <t>178.6165.0002</t>
  </si>
  <si>
    <t>HDR1X2_</t>
  </si>
  <si>
    <t>X12ADIWA3DY1027</t>
  </si>
  <si>
    <t>DB128L-5.08-3P-BK-S</t>
  </si>
  <si>
    <t>WJ127-5.0-5P</t>
  </si>
  <si>
    <t>T44001</t>
  </si>
  <si>
    <t>HR911105A</t>
  </si>
  <si>
    <t>HF33F/024-ZS3</t>
  </si>
  <si>
    <t>IND-0402</t>
  </si>
  <si>
    <t>LED-0603</t>
  </si>
  <si>
    <t>Res-0402</t>
  </si>
  <si>
    <t>Res-0603</t>
  </si>
  <si>
    <t>Res-0201</t>
  </si>
  <si>
    <t>Res-1206</t>
  </si>
  <si>
    <t>B3U-1000P</t>
  </si>
  <si>
    <t>DSIC03LSGET</t>
  </si>
  <si>
    <t>LQFP-64(10x10)</t>
  </si>
  <si>
    <t>TSSOP-20</t>
  </si>
  <si>
    <t>SOT-23-6</t>
  </si>
  <si>
    <t>SOT- 223</t>
  </si>
  <si>
    <t>VSON-14(3x4.5)</t>
  </si>
  <si>
    <t>SON-8-EP(3x3)</t>
  </si>
  <si>
    <t>SO-Narrow-16</t>
  </si>
  <si>
    <t>SC-70-5</t>
  </si>
  <si>
    <t>SOP-4_2.54</t>
  </si>
  <si>
    <t>SO-5</t>
  </si>
  <si>
    <t>QFN-64-EP(9x9)</t>
  </si>
  <si>
    <t>CAT24C256WI-GT3</t>
  </si>
  <si>
    <t>MC-306</t>
  </si>
  <si>
    <t>SMD3225-4P</t>
  </si>
  <si>
    <t>Manufacturer Part Number</t>
  </si>
  <si>
    <t>GRM1555C1H100JA01D</t>
  </si>
  <si>
    <t>CC0402CRNPO9BN6R8</t>
  </si>
  <si>
    <t>C1005X7R1H104KT000F</t>
  </si>
  <si>
    <t>CC0402KRX5R6BB475</t>
  </si>
  <si>
    <t>CC0402JRX7R7BB104</t>
  </si>
  <si>
    <t>CC0603JRNPO9BN472</t>
  </si>
  <si>
    <t>UCD1H221MNL1GS</t>
  </si>
  <si>
    <t>CC1206KKX5R9BB106</t>
  </si>
  <si>
    <t>C1005X5R1H104K050BB</t>
  </si>
  <si>
    <t>GCM1555C1H470FA16D</t>
  </si>
  <si>
    <t>CC0805MKX5R8BB226</t>
  </si>
  <si>
    <t>CC0603KRX5R7BB475</t>
  </si>
  <si>
    <t>CC0402KRX7R9BB472</t>
  </si>
  <si>
    <t>GRM155R62A104KE14D</t>
  </si>
  <si>
    <t>UWX1E101MCL1GB</t>
  </si>
  <si>
    <t>CC0402GRNPO9BN300</t>
  </si>
  <si>
    <t>CC0402KRX5R7BB105</t>
  </si>
  <si>
    <t>GRM155R11H471KA01D</t>
  </si>
  <si>
    <t>CC0402JRX7R7BB223</t>
  </si>
  <si>
    <t>SD03</t>
  </si>
  <si>
    <t>MM3Z3V3</t>
  </si>
  <si>
    <t>ESD9L5.0ST5G</t>
  </si>
  <si>
    <t>SMBJ28A-13-F</t>
  </si>
  <si>
    <t>PESD5V0H1BSFYL</t>
  </si>
  <si>
    <t>CDSOT23-T24CAN-Q</t>
  </si>
  <si>
    <t>SM712</t>
  </si>
  <si>
    <t>SMBJ8.0CA</t>
  </si>
  <si>
    <t>1N4148WS-7-F</t>
  </si>
  <si>
    <t>MF-MSMF010-2</t>
  </si>
  <si>
    <t>BLM18PG221SN1D</t>
  </si>
  <si>
    <t>X6511WV-04H-C60D30</t>
  </si>
  <si>
    <t>TYPE-C-31-M-12</t>
  </si>
  <si>
    <t>X6511WV-08H-C60D30</t>
  </si>
  <si>
    <t>X6511WV-02H-C60D30</t>
  </si>
  <si>
    <t>BLM15AG601SN1D</t>
  </si>
  <si>
    <t>0630CDMCCDS-6R8MC</t>
  </si>
  <si>
    <t>NCD0603R3</t>
  </si>
  <si>
    <t>NCD0603G2</t>
  </si>
  <si>
    <t>BC846B-7-F</t>
  </si>
  <si>
    <t>RC0402FR-0710KL</t>
  </si>
  <si>
    <t>RC0603JR-070RL</t>
  </si>
  <si>
    <t>RC0402FR-074K7L</t>
  </si>
  <si>
    <t>AF0402JR-071ML</t>
  </si>
  <si>
    <t>RC0402FR-075K1L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</si>
  <si>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</si>
  <si>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</si>
  <si>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</si>
  <si>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</si>
  <si>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</si>
  <si>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</si>
  <si>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RC0402FR-07100KL</t>
  </si>
  <si>
    <t>RC0402FR-0733KL</t>
  </si>
  <si>
    <t>RC0402FR-070RL</t>
  </si>
  <si>
    <t>RTT0360R4FTP</t>
  </si>
  <si>
    <t>RC0603JR-07120RL</t>
  </si>
  <si>
    <t>RC0201FR-0722RL</t>
  </si>
  <si>
    <t>LR1206-21R040F4</t>
  </si>
  <si>
    <t>CRCW04021K00FKEDHP</t>
  </si>
  <si>
    <t>RC0402FR-0720KL</t>
  </si>
  <si>
    <t>RC0402FR-07240RL</t>
  </si>
  <si>
    <t>RT0402BRD0712K1L</t>
  </si>
  <si>
    <t>RC0603FR-0749R9L</t>
  </si>
  <si>
    <t>RC0201FR-0710KL</t>
  </si>
  <si>
    <t>AC0402FR-070RL</t>
  </si>
  <si>
    <t>RC0603JR-07330RL</t>
  </si>
  <si>
    <t>STM32G0B1RET6</t>
  </si>
  <si>
    <t>PCF8574APWR</t>
  </si>
  <si>
    <t>AP63300WU-7</t>
  </si>
  <si>
    <t>BL8071CLATR33</t>
  </si>
  <si>
    <t>TCAN1463DMTRQ1</t>
  </si>
  <si>
    <t>THVD2450DRBR</t>
  </si>
  <si>
    <t>MAX3232ESE</t>
  </si>
  <si>
    <t>TLV9001IDCKR</t>
  </si>
  <si>
    <t>IS181GB</t>
  </si>
  <si>
    <t>TLP2361(TPL,E(T</t>
  </si>
  <si>
    <t>LAN9253-I/R4X</t>
  </si>
  <si>
    <t>MC-306 32.7680K-A0:ROHS</t>
  </si>
  <si>
    <t>5TJ480000XYLBC</t>
  </si>
  <si>
    <t>X322525MRB4SI</t>
  </si>
  <si>
    <t>Manufacturer</t>
  </si>
  <si>
    <t>Murata</t>
  </si>
  <si>
    <t>Yageo</t>
  </si>
  <si>
    <t>TDK</t>
  </si>
  <si>
    <t>Nichicon</t>
  </si>
  <si>
    <t>Murata Electronics</t>
  </si>
  <si>
    <t>MDD</t>
  </si>
  <si>
    <t>JSMSEMI</t>
  </si>
  <si>
    <t>ON Semiconductor</t>
  </si>
  <si>
    <t>Diodes</t>
  </si>
  <si>
    <t>Nexperia</t>
  </si>
  <si>
    <t>Bourns</t>
  </si>
  <si>
    <t>TECH PUBLIC</t>
  </si>
  <si>
    <t>Littelfuse</t>
  </si>
  <si>
    <t>XKB</t>
  </si>
  <si>
    <t>Korean Hroparts Elec</t>
  </si>
  <si>
    <t>Phoenix Contact</t>
  </si>
  <si>
    <t>Littelfuse Wickmann</t>
  </si>
  <si>
    <t>XKB Connection</t>
  </si>
  <si>
    <t>DIBO</t>
  </si>
  <si>
    <t>Ningbo Kangnex Elec</t>
  </si>
  <si>
    <t>XFCN</t>
  </si>
  <si>
    <t>HANRUN</t>
  </si>
  <si>
    <t>HF(Xiamen Hongfa Electroacoustic)</t>
  </si>
  <si>
    <t>Sumida</t>
  </si>
  <si>
    <t>Foshan NationStar Optoelectronics</t>
  </si>
  <si>
    <t>YAGEO</t>
  </si>
  <si>
    <t>RALEC</t>
  </si>
  <si>
    <t>Vishay Dale</t>
  </si>
  <si>
    <t>Omron</t>
  </si>
  <si>
    <t>DongGuan KINGTEK Industrial Co.,LTD</t>
  </si>
  <si>
    <t>STMicroelectronics</t>
  </si>
  <si>
    <t>Texas Instruments</t>
  </si>
  <si>
    <t>BL(Shanghai Belling)</t>
  </si>
  <si>
    <t>UMW</t>
  </si>
  <si>
    <t>Isocom</t>
  </si>
  <si>
    <t>Toshiba</t>
  </si>
  <si>
    <t>Microchip</t>
  </si>
  <si>
    <t>Seiko Epson</t>
  </si>
  <si>
    <t>JYJE</t>
  </si>
  <si>
    <t>YXC</t>
  </si>
  <si>
    <t>LCSC Part Number</t>
  </si>
  <si>
    <t>C76946</t>
  </si>
  <si>
    <t>C189470</t>
  </si>
  <si>
    <t>C361198</t>
  </si>
  <si>
    <t>C326586</t>
  </si>
  <si>
    <t>C541464</t>
  </si>
  <si>
    <t>C576818</t>
  </si>
  <si>
    <t>C116211</t>
  </si>
  <si>
    <t>C100122</t>
  </si>
  <si>
    <t>C2181865</t>
  </si>
  <si>
    <t>C393684</t>
  </si>
  <si>
    <t>C784585</t>
  </si>
  <si>
    <t>C277476</t>
  </si>
  <si>
    <t>C162178</t>
  </si>
  <si>
    <t>C125982</t>
  </si>
  <si>
    <t>C277479</t>
  </si>
  <si>
    <t>C325464</t>
  </si>
  <si>
    <t>C576458</t>
  </si>
  <si>
    <t>C541459</t>
  </si>
  <si>
    <t>C502526</t>
  </si>
  <si>
    <t>C123917</t>
  </si>
  <si>
    <t>C82326</t>
  </si>
  <si>
    <t>C477989</t>
  </si>
  <si>
    <t>C350941</t>
  </si>
  <si>
    <t>C521963</t>
  </si>
  <si>
    <t>C224029</t>
  </si>
  <si>
    <t>C60580</t>
  </si>
  <si>
    <t>C12430</t>
  </si>
  <si>
    <t>C80165</t>
  </si>
  <si>
    <t>C706876</t>
  </si>
  <si>
    <t>C165948</t>
  </si>
  <si>
    <t>C706880</t>
  </si>
  <si>
    <t>C207061</t>
  </si>
  <si>
    <t>C706874</t>
  </si>
  <si>
    <t>C2916460</t>
  </si>
  <si>
    <t>C430602</t>
  </si>
  <si>
    <t>C192780</t>
  </si>
  <si>
    <t>C12074</t>
  </si>
  <si>
    <t>C36391</t>
  </si>
  <si>
    <t>C76884</t>
  </si>
  <si>
    <t>C167295</t>
  </si>
  <si>
    <t>C3151730</t>
  </si>
  <si>
    <t>C87326</t>
  </si>
  <si>
    <t>C183643</t>
  </si>
  <si>
    <t>C60490</t>
  </si>
  <si>
    <t>C95177</t>
  </si>
  <si>
    <t>C105871</t>
  </si>
  <si>
    <t>C144054</t>
  </si>
  <si>
    <t>C105872</t>
  </si>
  <si>
    <t>C138002</t>
  </si>
  <si>
    <t>C853045</t>
  </si>
  <si>
    <t>C852714</t>
  </si>
  <si>
    <t>C131467</t>
  </si>
  <si>
    <t>C114877</t>
  </si>
  <si>
    <t>C114764</t>
  </si>
  <si>
    <t>C60491</t>
  </si>
  <si>
    <t>C138003</t>
  </si>
  <si>
    <t>C106231</t>
  </si>
  <si>
    <t>C103744</t>
  </si>
  <si>
    <t>C114681</t>
  </si>
  <si>
    <t>C155743</t>
  </si>
  <si>
    <t>C2681030</t>
  </si>
  <si>
    <t>C313354</t>
  </si>
  <si>
    <t>C93942</t>
  </si>
  <si>
    <t>C114755</t>
  </si>
  <si>
    <t>C281773</t>
  </si>
  <si>
    <t>C114625</t>
  </si>
  <si>
    <t>C106225</t>
  </si>
  <si>
    <t>C226739</t>
  </si>
  <si>
    <t>C105879</t>
  </si>
  <si>
    <t>C231329</t>
  </si>
  <si>
    <t>C57453</t>
  </si>
  <si>
    <t>C2829307</t>
  </si>
  <si>
    <t>C94361</t>
  </si>
  <si>
    <t>C2158012</t>
  </si>
  <si>
    <t>C401677</t>
  </si>
  <si>
    <t>C5215823</t>
  </si>
  <si>
    <t>C2878080</t>
  </si>
  <si>
    <t>C2904738</t>
  </si>
  <si>
    <t>C398362</t>
  </si>
  <si>
    <t>C84196</t>
  </si>
  <si>
    <t>C107626</t>
  </si>
  <si>
    <t>C2650464</t>
  </si>
  <si>
    <t>C2149247</t>
  </si>
  <si>
    <t>C70593</t>
  </si>
  <si>
    <t>10pF</t>
  </si>
  <si>
    <t>DNP</t>
  </si>
  <si>
    <t>100nF</t>
  </si>
  <si>
    <t>4.7uF</t>
  </si>
  <si>
    <t>0.1uF</t>
  </si>
  <si>
    <t>4.7nF</t>
  </si>
  <si>
    <t>220uF</t>
  </si>
  <si>
    <t>10uF</t>
  </si>
  <si>
    <t>47pF</t>
  </si>
  <si>
    <t>22uF</t>
  </si>
  <si>
    <t>0.1uf</t>
  </si>
  <si>
    <t>100uF</t>
  </si>
  <si>
    <t>30pF</t>
  </si>
  <si>
    <t>1uF</t>
  </si>
  <si>
    <t>470pF</t>
  </si>
  <si>
    <t>22nF</t>
  </si>
  <si>
    <t>68000-103HLF</t>
  </si>
  <si>
    <t>6.8uH</t>
  </si>
  <si>
    <t>10K</t>
  </si>
  <si>
    <t>0R</t>
  </si>
  <si>
    <t>4.7K</t>
  </si>
  <si>
    <t>1M</t>
  </si>
  <si>
    <t>5.1K</t>
  </si>
  <si>
    <t>33R</t>
  </si>
  <si>
    <t>158K</t>
  </si>
  <si>
    <t>30.1K</t>
  </si>
  <si>
    <t>3.9K</t>
  </si>
  <si>
    <t>470R</t>
  </si>
  <si>
    <t>200R</t>
  </si>
  <si>
    <t>100K</t>
  </si>
  <si>
    <t>33K</t>
  </si>
  <si>
    <t>60.4R</t>
  </si>
  <si>
    <t>120R</t>
  </si>
  <si>
    <t>22R</t>
  </si>
  <si>
    <t>40mR</t>
  </si>
  <si>
    <t>1K</t>
  </si>
  <si>
    <t>20K</t>
  </si>
  <si>
    <t>240R</t>
  </si>
  <si>
    <t>12.1k</t>
  </si>
  <si>
    <t>49.9R</t>
  </si>
  <si>
    <t>330R</t>
  </si>
  <si>
    <t>8MHz</t>
  </si>
  <si>
    <t>25MHz</t>
  </si>
  <si>
    <t>Quantity</t>
  </si>
  <si>
    <t>Bill of Materials for Project [BLDC-Board-v1.0]</t>
  </si>
  <si>
    <t>BLDC-Board-v1.0</t>
  </si>
  <si>
    <t>-</t>
  </si>
  <si>
    <t>Value</t>
  </si>
  <si>
    <t>Alternate Part Number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</si>
  <si>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</si>
  <si>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</si>
  <si>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</si>
  <si>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</si>
  <si>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</si>
  <si>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</si>
  <si>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LCSC</t>
  </si>
  <si>
    <t>DO NOT MOUNT</t>
  </si>
  <si>
    <t>C106208</t>
  </si>
  <si>
    <t>C91924</t>
  </si>
  <si>
    <t>Amphenol</t>
  </si>
  <si>
    <t>2.54-1*3P</t>
  </si>
  <si>
    <t>C49257</t>
  </si>
  <si>
    <t>C480516</t>
  </si>
  <si>
    <t>Custom</t>
  </si>
  <si>
    <t>C481447</t>
  </si>
  <si>
    <t>C5745149</t>
  </si>
  <si>
    <t>C79987</t>
  </si>
  <si>
    <t>----------</t>
  </si>
  <si>
    <t>C1, C2, C46, C49</t>
  </si>
  <si>
    <t>C11</t>
  </si>
  <si>
    <t>C65, C66, C67, C68, C69, C70, C71, C72</t>
  </si>
  <si>
    <t>D29</t>
  </si>
  <si>
    <t>±5% Single 15.3V~17.1V 500mW 16V SOD-123 Zener Diodes ROHS</t>
  </si>
  <si>
    <t>SOD-123</t>
  </si>
  <si>
    <t>BZT52C16</t>
  </si>
  <si>
    <t>Shikues</t>
  </si>
  <si>
    <t>R29, R30, R122</t>
  </si>
  <si>
    <t>U27</t>
  </si>
  <si>
    <t>MOSFET P-CH 30V 60A PPAK SO-8</t>
  </si>
  <si>
    <t>PowerPAK-SO-8</t>
  </si>
  <si>
    <t>SI7145DP-T1-GE3</t>
  </si>
  <si>
    <t>Vishay Siliconix</t>
  </si>
  <si>
    <t>Zener Diode</t>
  </si>
  <si>
    <t>C216724</t>
  </si>
  <si>
    <t>MOSFET</t>
  </si>
  <si>
    <t>C144873</t>
  </si>
  <si>
    <t>Peripheral</t>
  </si>
  <si>
    <t>32V Blade fuse 15A Automotive Fuses ROHS</t>
  </si>
  <si>
    <t>0287015.PXCN</t>
  </si>
  <si>
    <t>Jumper</t>
  </si>
  <si>
    <t>P=2.54mm Shunts, Jumpers ROHS</t>
  </si>
  <si>
    <t>X2541-A1NIB</t>
  </si>
  <si>
    <t>Ethernet Cable</t>
  </si>
  <si>
    <t>Cat6 Gigabit Ethernet Cable 1m Cable/ModularCable</t>
  </si>
  <si>
    <t xml:space="preserve">Littelfuse </t>
  </si>
  <si>
    <t xml:space="preserve">UGREEN </t>
  </si>
  <si>
    <t>C2938578</t>
  </si>
  <si>
    <t>C3015021</t>
  </si>
  <si>
    <t>C142684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</si>
</sst>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1" fillId="2" borderId="8" xfId="1" applyFill="1" applyBorder="1" applyAlignment="1">
      <alignment horizontal="center" vertical="center" wrapText="1"/>
    </xf>
    <xf numFmtId="0" fontId="21" fillId="2" borderId="7" xfId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166" fontId="15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6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7" xfId="0" quotePrefix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21" fillId="2" borderId="8" xfId="1" applyFill="1" applyBorder="1" applyAlignment="1">
      <alignment horizontal="center" vertical="center"/>
    </xf>
    <xf numFmtId="165" fontId="15" fillId="2" borderId="8" xfId="0" applyNumberFormat="1" applyFont="1" applyFill="1" applyBorder="1" applyAlignment="1">
      <alignment horizontal="center" vertical="center"/>
    </xf>
    <xf numFmtId="165" fontId="15" fillId="2" borderId="7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hip-Resistor-Surface-Mount_YAGEO-RC0402FR-074K7L_C105871.html" TargetMode="External"/><Relationship Id="rId21" Type="http://schemas.openxmlformats.org/officeDocument/2006/relationships/hyperlink" Target="https://www.lcsc.com/product-detail/Power-Inductors_Chilisin-Elec-LVC505040-6R8M-N_C285870.html" TargetMode="External"/><Relationship Id="rId42" Type="http://schemas.openxmlformats.org/officeDocument/2006/relationships/hyperlink" Target="https://www.lcsc.com/product-detail/Operational-Amplifier_Texas-Instruments-TLV9001IDCKR_C398362.html" TargetMode="External"/><Relationship Id="rId47" Type="http://schemas.openxmlformats.org/officeDocument/2006/relationships/hyperlink" Target="https://www.lcsc.com/product-detail/Multilayer-Ceramic-Capacitors-MLCC-SMD-SMT_YAGEO-CC0603KRX5R7BB475_C277476.html" TargetMode="External"/><Relationship Id="rId63" Type="http://schemas.openxmlformats.org/officeDocument/2006/relationships/hyperlink" Target="https://www.lcsc.com/product-detail/PCB-Welding-Terminal_XFCN-T44001_C481447.html" TargetMode="External"/><Relationship Id="rId68" Type="http://schemas.openxmlformats.org/officeDocument/2006/relationships/hyperlink" Target="https://www.lcsc.com/product-detail/Chip-Resistor-Surface-Mount_YAGEO-RC0402FR-0720KL_C93942.html" TargetMode="External"/><Relationship Id="rId84" Type="http://schemas.openxmlformats.org/officeDocument/2006/relationships/hyperlink" Target="https://www.lcsc.com/product-detail/Logic-Output-Optoisolators_TOSHIBA-TLP2361-TPL-E-T_C107626.html" TargetMode="External"/><Relationship Id="rId89" Type="http://schemas.openxmlformats.org/officeDocument/2006/relationships/hyperlink" Target="https://www.lcsc.com/product-detail/Multilayer-Ceramic-Capacitors-MLCC-SMD-SMT_Murata-Electronics-GRM1555C1H100JA01D_C76946.html" TargetMode="External"/><Relationship Id="rId16" Type="http://schemas.openxmlformats.org/officeDocument/2006/relationships/hyperlink" Target="https://www.lcsc.com/product-detail/USB-Connectors_Korean-Hroparts-Elec-TYPE-C-31-M-12_C165948.html" TargetMode="External"/><Relationship Id="rId11" Type="http://schemas.openxmlformats.org/officeDocument/2006/relationships/hyperlink" Target="https://www.lcsc.com/product-detail/ESD-and-Surge-Protection-TVS-ESD_onsemi-ESD5B5-0ST1G_C93623.html" TargetMode="External"/><Relationship Id="rId32" Type="http://schemas.openxmlformats.org/officeDocument/2006/relationships/hyperlink" Target="https://www.lcsc.com/product-detail/Chip-Resistor-Surface-Mount_YAGEO-RC0402FR-07470RL_C114877.html" TargetMode="External"/><Relationship Id="rId37" Type="http://schemas.openxmlformats.org/officeDocument/2006/relationships/hyperlink" Target="https://www.lcsc.com/product-detail/Chip-Resistor-Surface-Mount_YAGEO-RC0603JR-07120RL_C114681.html" TargetMode="External"/><Relationship Id="rId53" Type="http://schemas.openxmlformats.org/officeDocument/2006/relationships/hyperlink" Target="https://www.lcsc.com/product-detail/Multilayer-Ceramic-Capacitors-MLCC-SMD-SMT_YAGEO-CC0402JRX7R7BB223_C541459.html" TargetMode="External"/><Relationship Id="rId58" Type="http://schemas.openxmlformats.org/officeDocument/2006/relationships/hyperlink" Target="https://www.lcsc.com/product-detail/Ferrite-Beads_Murata-Electronics-BLM18PG221SN1D_C80165.html" TargetMode="External"/><Relationship Id="rId74" Type="http://schemas.openxmlformats.org/officeDocument/2006/relationships/hyperlink" Target="https://www.lcsc.com/product-detail/Chip-Resistor-Surface-Mount_YAGEO-RC0603JR-07330RL_C105879.html" TargetMode="External"/><Relationship Id="rId79" Type="http://schemas.openxmlformats.org/officeDocument/2006/relationships/hyperlink" Target="https://www.lcsc.com/product-detail/Voltage-Regulators-Linear-Low-Drop-Out-LDO-Regulators_BL-Shanghai-Belling-BL8071CLATR33_C401677.html" TargetMode="External"/><Relationship Id="rId5" Type="http://schemas.openxmlformats.org/officeDocument/2006/relationships/hyperlink" Target="https://www.lcsc.com/product-detail/Aluminum-Electrolytic-Capacitors-SMD_Nichicon-UCD1H221MNL1GS_C116211.html" TargetMode="External"/><Relationship Id="rId90" Type="http://schemas.openxmlformats.org/officeDocument/2006/relationships/hyperlink" Target="https://www.lcsc.com/product-detail/Zener-Diodes_Shikues-BZT52C16_C216724.html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www.lcsc.com/product-detail/LED-Indication-Discrete_Foshan-NationStar-Optoelectronics-NCD0603R3_C3151730.html" TargetMode="External"/><Relationship Id="rId27" Type="http://schemas.openxmlformats.org/officeDocument/2006/relationships/hyperlink" Target="https://www.lcsc.com/product-detail/Chip-Resistor-Surface-Mount_YAGEO-AF0402JR-071ML_C144054.html" TargetMode="External"/><Relationship Id="rId43" Type="http://schemas.openxmlformats.org/officeDocument/2006/relationships/hyperlink" Target="https://www.lcsc.com/product-detail/Multilayer-Ceramic-Capacitors-MLCC-SMD-SMT_TDK-C1005X5R1H104K050BB_C2181865.html" TargetMode="External"/><Relationship Id="rId48" Type="http://schemas.openxmlformats.org/officeDocument/2006/relationships/hyperlink" Target="https://www.lcsc.com/product-detail/Screw-Terminal-Blocks_Ningbo-Kangnex-Elec-WJ127-5-0-5P_C192780.html" TargetMode="External"/><Relationship Id="rId64" Type="http://schemas.openxmlformats.org/officeDocument/2006/relationships/hyperlink" Target="https://www.lcsc.com/product-detail/Ethernet-Connectors-Modular-Connectors-RJ45-RJ11_HANRUN-Zhongshan-HanRun-Elec-HR911105A_C12074.html" TargetMode="External"/><Relationship Id="rId69" Type="http://schemas.openxmlformats.org/officeDocument/2006/relationships/hyperlink" Target="https://www.lcsc.com/product-detail/Chip-Resistor-Surface-Mount_YAGEO-RC0402FR-07240RL_C114755.html" TargetMode="External"/><Relationship Id="rId8" Type="http://schemas.openxmlformats.org/officeDocument/2006/relationships/hyperlink" Target="https://www.lcsc.com/product-detail/Multilayer-Ceramic-Capacitors-MLCC-SMD-SMT_Murata-Electronics-GRM155R62A104KE14D_C162178.html" TargetMode="External"/><Relationship Id="rId51" Type="http://schemas.openxmlformats.org/officeDocument/2006/relationships/hyperlink" Target="https://www.lcsc.com/product-detail/Multilayer-Ceramic-Capacitors-MLCC-SMD-SMT_YAGEO-CC0402KRX5R7BB105_C325464.html" TargetMode="External"/><Relationship Id="rId72" Type="http://schemas.openxmlformats.org/officeDocument/2006/relationships/hyperlink" Target="https://www.lcsc.com/product-detail/Chip-Resistor-Surface-Mount_YAGEO-RT0402BRD0712K1L_C281773.html" TargetMode="External"/><Relationship Id="rId80" Type="http://schemas.openxmlformats.org/officeDocument/2006/relationships/hyperlink" Target="https://www.lcsc.com/product-detail/CAN-Transceivers_Texas-Instruments-TCAN1463DMTRQ1_C5215823.html" TargetMode="External"/><Relationship Id="rId85" Type="http://schemas.openxmlformats.org/officeDocument/2006/relationships/hyperlink" Target="https://www.lcsc.com/product-detail/Interface-Specialized_Microchip-Tech-LAN9253-I-R4X_C5745149.html" TargetMode="External"/><Relationship Id="rId93" Type="http://schemas.openxmlformats.org/officeDocument/2006/relationships/hyperlink" Target="https://www.lcsc.com/product-detail/Automotive-Fuses_Littelfuse-0287015-PXCN_C142684.html" TargetMode="External"/><Relationship Id="rId3" Type="http://schemas.openxmlformats.org/officeDocument/2006/relationships/hyperlink" Target="https://www.lcsc.com/product-detail/Multilayer-Ceramic-Capacitors-MLCC-SMD-SMT_YAGEO-CC0402JRX7R7BB104_C541464.html" TargetMode="External"/><Relationship Id="rId12" Type="http://schemas.openxmlformats.org/officeDocument/2006/relationships/hyperlink" Target="https://www.lcsc.com/product-detail/ESD-and-Surge-Protection-TVS-ESD_Diodes-Incorporated-SMBJ28A-13-F_C91924.html" TargetMode="External"/><Relationship Id="rId17" Type="http://schemas.openxmlformats.org/officeDocument/2006/relationships/hyperlink" Target="https://www.lcsc.com/product-detail/Pin-Headers_XKB-Connection-X6511WV-08H-C60D30_C706880.html" TargetMode="External"/><Relationship Id="rId25" Type="http://schemas.openxmlformats.org/officeDocument/2006/relationships/hyperlink" Target="https://www.lcsc.com/product-detail/Chip-Resistor-Surface-Mount_YAGEO-RC0603JR-070RL_C95177.html" TargetMode="External"/><Relationship Id="rId33" Type="http://schemas.openxmlformats.org/officeDocument/2006/relationships/hyperlink" Target="https://www.lcsc.com/product-detail/Chip-Resistor-Surface-Mount_YAGEO-RC0402FR-07200RL_C114764.html" TargetMode="External"/><Relationship Id="rId38" Type="http://schemas.openxmlformats.org/officeDocument/2006/relationships/hyperlink" Target="https://www.lcsc.com/product-detail/Chip-Resistor-Surface-Mount_YAGEO-RC0201FR-0722RL_C155743.html" TargetMode="External"/><Relationship Id="rId46" Type="http://schemas.openxmlformats.org/officeDocument/2006/relationships/hyperlink" Target="https://www.lcsc.com/product-detail/Multilayer-Ceramic-Capacitors-MLCC-SMD-SMT_YAGEO-CC0805MKX5R8BB226_C784585.html" TargetMode="External"/><Relationship Id="rId59" Type="http://schemas.openxmlformats.org/officeDocument/2006/relationships/hyperlink" Target="https://www.lcsc.com/product-detail/Fuseholders_Littelfuse-178-6165-0002_C207061.html" TargetMode="External"/><Relationship Id="rId67" Type="http://schemas.openxmlformats.org/officeDocument/2006/relationships/hyperlink" Target="https://www.lcsc.com/product-detail/Chip-Resistor-Surface-Mount_YAGEO-RC0402FR-070RL_C106231.html" TargetMode="External"/><Relationship Id="rId20" Type="http://schemas.openxmlformats.org/officeDocument/2006/relationships/hyperlink" Target="https://www.lcsc.com/product-detail/Ferrite-Beads_Murata-Electronics-BLM15AG601SN1D_C76884.html" TargetMode="External"/><Relationship Id="rId41" Type="http://schemas.openxmlformats.org/officeDocument/2006/relationships/hyperlink" Target="https://www.lcsc.com/product-detail/Microcontrollers-MCU-MPU-SOC_STMicroelectronics-STM32G0B1RET6_C2829307.html" TargetMode="External"/><Relationship Id="rId54" Type="http://schemas.openxmlformats.org/officeDocument/2006/relationships/hyperlink" Target="https://www.lcsc.com/product-detail/ESD-and-Surge-Protection-TVS-ESD_BOURNS-CDSOT23-T24CAN-Q_C350941.html" TargetMode="External"/><Relationship Id="rId62" Type="http://schemas.openxmlformats.org/officeDocument/2006/relationships/hyperlink" Target="https://www.lcsc.com/product-detail/Screw-Terminal-Blocks_DORABO-DB128L-5-08-3P-BK-S_C430602.html" TargetMode="External"/><Relationship Id="rId70" Type="http://schemas.openxmlformats.org/officeDocument/2006/relationships/hyperlink" Target="https://www.lcsc.com/product-detail/Chip-Resistor-Surface-Mount_YAGEO-RC0603FR-0749R9L_C114625.html" TargetMode="External"/><Relationship Id="rId75" Type="http://schemas.openxmlformats.org/officeDocument/2006/relationships/hyperlink" Target="https://www.lcsc.com/product-detail/Tactile-Switches_Omron-Electronics-B3U-1000P_C231329.html" TargetMode="External"/><Relationship Id="rId83" Type="http://schemas.openxmlformats.org/officeDocument/2006/relationships/hyperlink" Target="https://www.lcsc.com/product-detail/Transistor-Photovoltaic-Output-Optoisolators_Isocom-Components-IS181GB_C84196.html" TargetMode="External"/><Relationship Id="rId88" Type="http://schemas.openxmlformats.org/officeDocument/2006/relationships/hyperlink" Target="https://www.lcsc.com/product-detail/Crystals_JYJE-5TJ480000XYLBC_C2149247.html" TargetMode="External"/><Relationship Id="rId91" Type="http://schemas.openxmlformats.org/officeDocument/2006/relationships/hyperlink" Target="https://www.lcsc.com/product-detail/MOSFETs_Vishay-Intertech-SI7145DP-T1-GE3_C144873.html" TargetMode="External"/><Relationship Id="rId1" Type="http://schemas.openxmlformats.org/officeDocument/2006/relationships/hyperlink" Target="https://www.lcsc.com/product-detail/Multilayer-Ceramic-Capacitors-MLCC-SMD-SMT_TDK-C1005X7R1H104KT000F_C361198.html" TargetMode="External"/><Relationship Id="rId6" Type="http://schemas.openxmlformats.org/officeDocument/2006/relationships/hyperlink" Target="https://www.lcsc.com/product-detail/Multilayer-Ceramic-Capacitors-MLCC-SMD-SMT_Murata-Electronics-GCM1555C1H470FA16D_C393684.html" TargetMode="External"/><Relationship Id="rId15" Type="http://schemas.openxmlformats.org/officeDocument/2006/relationships/hyperlink" Target="https://www.lcsc.com/product-detail/Pin-Headers_BOOMELE-Boom-Precision-Elec-2-54-1-3P_C49257.html" TargetMode="External"/><Relationship Id="rId23" Type="http://schemas.openxmlformats.org/officeDocument/2006/relationships/hyperlink" Target="https://www.lcsc.com/product-detail/Bipolar-BJT_Diodes-Incorporated-BC846B-7-F_C183643.html" TargetMode="External"/><Relationship Id="rId28" Type="http://schemas.openxmlformats.org/officeDocument/2006/relationships/hyperlink" Target="https://www.lcsc.com/product-detail/Chip-Resistor-Surface-Mount_YAGEO-RC0402FR-075K1L_C105872.html" TargetMode="External"/><Relationship Id="rId36" Type="http://schemas.openxmlformats.org/officeDocument/2006/relationships/hyperlink" Target="https://www.lcsc.com/product-detail/Chip-Resistor-Surface-Mount_RALEC-RTT0360R4FTP_C103744.html" TargetMode="External"/><Relationship Id="rId49" Type="http://schemas.openxmlformats.org/officeDocument/2006/relationships/hyperlink" Target="https://www.lcsc.com/product-detail/Aluminum-Electrolytic-Capacitors-SMD_Nichicon-UWX1E101MCL1GB_C125982.html" TargetMode="External"/><Relationship Id="rId57" Type="http://schemas.openxmlformats.org/officeDocument/2006/relationships/hyperlink" Target="https://www.lcsc.com/product-detail/Resettable-Fuses_BOURNS-MF-MSMF010-2_C12430.html" TargetMode="External"/><Relationship Id="rId10" Type="http://schemas.openxmlformats.org/officeDocument/2006/relationships/hyperlink" Target="https://www.lcsc.com/product-detail/Zener-Diodes_Shandong-Jingdao-Microelectronics-MM3Z3V3_C123917.html" TargetMode="External"/><Relationship Id="rId31" Type="http://schemas.openxmlformats.org/officeDocument/2006/relationships/hyperlink" Target="https://www.lcsc.com/product-detail/Chip-Resistor-Surface-Mount_YAGEO-RC0402FR-073K9L_C131467.html" TargetMode="External"/><Relationship Id="rId44" Type="http://schemas.openxmlformats.org/officeDocument/2006/relationships/hyperlink" Target="https://www.lcsc.com/product-detail/Pin-Headers_XKB-Connection-X6511WV-04H-C60D30_C706876.html" TargetMode="External"/><Relationship Id="rId52" Type="http://schemas.openxmlformats.org/officeDocument/2006/relationships/hyperlink" Target="https://www.lcsc.com/product-detail/Multilayer-Ceramic-Capacitors-MLCC-SMD-SMT_Murata-Electronics-GRM155R11H471KA01D_C576458.html" TargetMode="External"/><Relationship Id="rId60" Type="http://schemas.openxmlformats.org/officeDocument/2006/relationships/hyperlink" Target="https://www.lcsc.com/product-detail/Pin-Headers_XKB-Connection-X6511WV-02H-C60D30_C706874.html" TargetMode="External"/><Relationship Id="rId65" Type="http://schemas.openxmlformats.org/officeDocument/2006/relationships/hyperlink" Target="https://www.lcsc.com/product-detail/LED-Indication-Discrete_Foshan-NationStar-Optoelectronics-NCD0603G2_C87326.html" TargetMode="External"/><Relationship Id="rId73" Type="http://schemas.openxmlformats.org/officeDocument/2006/relationships/hyperlink" Target="https://www.lcsc.com/product-detail/Chip-Resistor-Surface-Mount_YAGEO-AC0402FR-070RL_C226739.html" TargetMode="External"/><Relationship Id="rId78" Type="http://schemas.openxmlformats.org/officeDocument/2006/relationships/hyperlink" Target="https://www.lcsc.com/product-detail/DC-DC-Converters_Diodes-Incorporated-AP63300WU-7_C2158012.html" TargetMode="External"/><Relationship Id="rId81" Type="http://schemas.openxmlformats.org/officeDocument/2006/relationships/hyperlink" Target="https://www.lcsc.com/product-detail/RS-485-RS-422-ICs_Texas-Instruments-THVD2450DRBR_C2878080.html" TargetMode="External"/><Relationship Id="rId86" Type="http://schemas.openxmlformats.org/officeDocument/2006/relationships/hyperlink" Target="https://www.lcsc.com/product-detail/EEPROM_onsemi-CAT24C256WI-GT3_C79987.html" TargetMode="External"/><Relationship Id="rId94" Type="http://schemas.openxmlformats.org/officeDocument/2006/relationships/hyperlink" Target="https://www.lcsc.com/product-detail/Cable-ModularCable_UGREEN-50173_C3015021.html" TargetMode="External"/><Relationship Id="rId4" Type="http://schemas.openxmlformats.org/officeDocument/2006/relationships/hyperlink" Target="https://www.lcsc.com/product-detail/Multilayer-Ceramic-Capacitors-MLCC-SMD-SMT_YAGEO-CC0603JRNPO9BN472_C576818.html" TargetMode="External"/><Relationship Id="rId9" Type="http://schemas.openxmlformats.org/officeDocument/2006/relationships/hyperlink" Target="https://www.lcsc.com/product-detail/ESD-and-Surge-Protection-TVS-ESD_MDD-Microdiode-Semiconductor-SD03_C502526.html" TargetMode="External"/><Relationship Id="rId13" Type="http://schemas.openxmlformats.org/officeDocument/2006/relationships/hyperlink" Target="https://www.lcsc.com/product-detail/ESD-and-Surge-Protection-TVS-ESD_Nexperia-PESD5V0H1BSF_C477989.html" TargetMode="External"/><Relationship Id="rId18" Type="http://schemas.openxmlformats.org/officeDocument/2006/relationships/hyperlink" Target="https://www.lcsc.com/product-detail/Screw-Terminal-Blocks_Phoenix-Contact-1715721_C480516.html" TargetMode="External"/><Relationship Id="rId39" Type="http://schemas.openxmlformats.org/officeDocument/2006/relationships/hyperlink" Target="https://www.lcsc.com/product-detail/Chip-Resistor-Surface-Mount_RALEC-LR1206-21R040F4_C2681030.html" TargetMode="External"/><Relationship Id="rId34" Type="http://schemas.openxmlformats.org/officeDocument/2006/relationships/hyperlink" Target="https://www.lcsc.com/product-detail/Chip-Resistor-Surface-Mount_YAGEO-RC0402FR-07100KL_C60491.html" TargetMode="External"/><Relationship Id="rId50" Type="http://schemas.openxmlformats.org/officeDocument/2006/relationships/hyperlink" Target="https://www.lcsc.com/product-detail/Multilayer-Ceramic-Capacitors-MLCC-SMD-SMT_YAGEO-CC0402GRNPO9BN300_C277479.html" TargetMode="External"/><Relationship Id="rId55" Type="http://schemas.openxmlformats.org/officeDocument/2006/relationships/hyperlink" Target="https://www.lcsc.com/product-detail/ESD-and-Surge-Protection-TVS-ESD_TECH-PUBLIC-SM712_C521963.html" TargetMode="External"/><Relationship Id="rId76" Type="http://schemas.openxmlformats.org/officeDocument/2006/relationships/hyperlink" Target="https://www.lcsc.com/product-detail/DIP-Switches_DongGuan-KINGTEK-Industrial-Co-LTD-DSIC03LSGET_C57453.html" TargetMode="External"/><Relationship Id="rId7" Type="http://schemas.openxmlformats.org/officeDocument/2006/relationships/hyperlink" Target="https://www.lcsc.com/product-detail/Multilayer-Ceramic-Capacitors-MLCC-SMD-SMT_YAGEO-CC0402KRX7R9BB472_C106208.html" TargetMode="External"/><Relationship Id="rId71" Type="http://schemas.openxmlformats.org/officeDocument/2006/relationships/hyperlink" Target="https://www.lcsc.com/product-detail/Chip-Resistor-Surface-Mount_YAGEO-RC0201FR-0710KL_C106225.html" TargetMode="External"/><Relationship Id="rId92" Type="http://schemas.openxmlformats.org/officeDocument/2006/relationships/hyperlink" Target="https://www.lcsc.com/product-detail/Shunts-Jumpers_XKB-Connection-X2541-A1NIB_C2938578.html" TargetMode="External"/><Relationship Id="rId2" Type="http://schemas.openxmlformats.org/officeDocument/2006/relationships/hyperlink" Target="https://www.lcsc.com/product-detail/Multilayer-Ceramic-Capacitors-MLCC-SMD-SMT_YAGEO-CC0402KRX5R6BB475_C326586.html" TargetMode="External"/><Relationship Id="rId29" Type="http://schemas.openxmlformats.org/officeDocument/2006/relationships/hyperlink" Target="https://www.lcsc.com/product-detail/Chip-Resistor-Surface-Mount_YAGEO-RT0402BRE07158KL_C853045.html" TargetMode="External"/><Relationship Id="rId24" Type="http://schemas.openxmlformats.org/officeDocument/2006/relationships/hyperlink" Target="https://www.lcsc.com/product-detail/Chip-Resistor-Surface-Mount_YAGEO-RC0402FR-0710KL_C60490.html" TargetMode="External"/><Relationship Id="rId40" Type="http://schemas.openxmlformats.org/officeDocument/2006/relationships/hyperlink" Target="https://www.lcsc.com/product-detail/Chip-Resistor-Surface-Mount_Vishay-Intertech-CRCW04021K00FKEDHP_C313354.html" TargetMode="External"/><Relationship Id="rId45" Type="http://schemas.openxmlformats.org/officeDocument/2006/relationships/hyperlink" Target="https://www.lcsc.com/product-detail/Multilayer-Ceramic-Capacitors-MLCC-SMD-SMT_YAGEO-CC1206KKX5R9BB106_C100122.html" TargetMode="External"/><Relationship Id="rId66" Type="http://schemas.openxmlformats.org/officeDocument/2006/relationships/hyperlink" Target="https://www.lcsc.com/product-detail/Chip-Resistor-Surface-Mount_YAGEO-RC0402FR-0733RL_C138002.html" TargetMode="External"/><Relationship Id="rId87" Type="http://schemas.openxmlformats.org/officeDocument/2006/relationships/hyperlink" Target="https://www.lcsc.com/product-detail/Crystals_YXC-Crystal-Oscillators-X322525MRB4SI_C70593.html" TargetMode="External"/><Relationship Id="rId61" Type="http://schemas.openxmlformats.org/officeDocument/2006/relationships/hyperlink" Target="https://www.lcsc.com/product-detail/Ethernet-Connectors-Modular-Connectors-RJ45-RJ11_XKB-Connection-X12ADIWA3DY1027_C2916460.html" TargetMode="External"/><Relationship Id="rId82" Type="http://schemas.openxmlformats.org/officeDocument/2006/relationships/hyperlink" Target="https://www.lcsc.com/product-detail/RS232-ICs_UMW-Youtai-Semiconductor-Co-Ltd-MAX3232ESE_C2904738.html" TargetMode="External"/><Relationship Id="rId19" Type="http://schemas.openxmlformats.org/officeDocument/2006/relationships/hyperlink" Target="https://www.lcsc.com/product-detail/Power-Relays_HF-Xiamen-Hongfa-Electroacoustic-HF33F-024-ZS3_C36391.html" TargetMode="External"/><Relationship Id="rId14" Type="http://schemas.openxmlformats.org/officeDocument/2006/relationships/hyperlink" Target="https://www.lcsc.com/product-detail/Switching-Diodes_Diodes-Incorporated-1N4148WS-7-F_C60580.html" TargetMode="External"/><Relationship Id="rId30" Type="http://schemas.openxmlformats.org/officeDocument/2006/relationships/hyperlink" Target="https://www.lcsc.com/product-detail/Chip-Resistor-Surface-Mount_YAGEO-RT0402BRD0730K1L_C852714.html" TargetMode="External"/><Relationship Id="rId35" Type="http://schemas.openxmlformats.org/officeDocument/2006/relationships/hyperlink" Target="https://www.lcsc.com/product-detail/Chip-Resistor-Surface-Mount_YAGEO-RC0402FR-0733KL_C138003.html" TargetMode="External"/><Relationship Id="rId56" Type="http://schemas.openxmlformats.org/officeDocument/2006/relationships/hyperlink" Target="https://www.lcsc.com/product-detail/ESD-and-Surge-Protection-TVS-ESD_Littelfuse-SMBJ8-0CA_C224029.html" TargetMode="External"/><Relationship Id="rId77" Type="http://schemas.openxmlformats.org/officeDocument/2006/relationships/hyperlink" Target="https://www.lcsc.com/product-detail/I-O-Expanders_Texas-Instruments-PCF8574APWR_C943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19"/>
  <sheetViews>
    <sheetView tabSelected="1" topLeftCell="A43" workbookViewId="0">
      <selection activeCell="C49" sqref="C49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31.140625" bestFit="1" customWidth="1"/>
    <col min="5" max="5" width="30.85546875" customWidth="1"/>
    <col min="6" max="6" width="22.28515625" bestFit="1" customWidth="1"/>
    <col min="7" max="7" width="25.28515625" bestFit="1" customWidth="1"/>
    <col min="8" max="8" width="17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62"/>
      <c r="L1" s="62"/>
      <c r="M1" s="62"/>
      <c r="N1" s="62"/>
      <c r="O1" s="62"/>
      <c r="P1" s="62"/>
      <c r="Q1" s="62"/>
      <c r="R1" s="62"/>
    </row>
    <row r="2" spans="1:18" ht="32.25" thickBot="1" x14ac:dyDescent="0.3">
      <c r="A2" s="1"/>
      <c r="B2" s="7"/>
      <c r="C2" s="13"/>
      <c r="D2" s="4" t="s">
        <v>0</v>
      </c>
      <c r="E2" s="4"/>
      <c r="F2" s="39" t="s">
        <v>512</v>
      </c>
      <c r="G2" s="5"/>
      <c r="H2" s="3"/>
      <c r="I2" s="30"/>
      <c r="J2" s="31"/>
      <c r="K2" s="31"/>
      <c r="L2" s="31"/>
      <c r="M2" s="31"/>
      <c r="N2" s="31"/>
      <c r="O2" s="31"/>
      <c r="P2" s="31"/>
      <c r="Q2" s="31"/>
      <c r="R2" s="31"/>
    </row>
    <row r="3" spans="1:18" ht="16.5" thickBot="1" x14ac:dyDescent="0.3">
      <c r="A3" s="1"/>
      <c r="B3" s="8"/>
      <c r="C3" s="25"/>
      <c r="D3" s="38" t="s">
        <v>1</v>
      </c>
      <c r="E3" s="26"/>
      <c r="F3" s="40" t="s">
        <v>513</v>
      </c>
      <c r="G3" s="28"/>
      <c r="H3" s="29"/>
      <c r="I3" s="27"/>
      <c r="J3" s="23"/>
      <c r="K3" s="23"/>
      <c r="L3" s="23"/>
      <c r="M3" s="23"/>
      <c r="N3" s="23"/>
      <c r="O3" s="23"/>
      <c r="P3" s="23"/>
      <c r="Q3" s="23"/>
      <c r="R3" s="23"/>
    </row>
    <row r="4" spans="1:18" ht="15" customHeight="1" x14ac:dyDescent="0.25">
      <c r="A4" s="1"/>
      <c r="B4" s="8"/>
      <c r="C4" s="25"/>
      <c r="D4" s="26"/>
      <c r="E4" s="26"/>
      <c r="F4" s="24"/>
      <c r="G4" s="27"/>
      <c r="H4" s="23"/>
      <c r="I4" s="27"/>
      <c r="J4" s="23"/>
      <c r="K4" s="23"/>
      <c r="L4" s="23"/>
      <c r="M4" s="23"/>
      <c r="N4" s="23"/>
      <c r="O4" s="23"/>
      <c r="P4" s="23"/>
      <c r="Q4" s="23"/>
      <c r="R4" s="23"/>
    </row>
    <row r="5" spans="1:18" ht="15" customHeight="1" x14ac:dyDescent="0.25">
      <c r="A5" s="1"/>
      <c r="B5" s="9"/>
      <c r="C5" s="32"/>
      <c r="D5" s="33"/>
      <c r="E5" s="33"/>
      <c r="F5" s="24"/>
      <c r="G5" s="33"/>
      <c r="H5" s="34"/>
      <c r="I5" s="33"/>
      <c r="J5" s="34"/>
      <c r="K5" s="34"/>
      <c r="L5" s="34"/>
      <c r="M5" s="34"/>
      <c r="N5" s="34"/>
      <c r="O5" s="34"/>
      <c r="P5" s="34"/>
      <c r="Q5" s="34"/>
      <c r="R5" s="34"/>
    </row>
    <row r="6" spans="1:18" ht="15.75" customHeight="1" thickBot="1" x14ac:dyDescent="0.3">
      <c r="A6" s="1"/>
      <c r="B6" s="11"/>
      <c r="C6" s="35"/>
      <c r="D6" s="27"/>
      <c r="E6" s="27"/>
      <c r="F6" s="36"/>
      <c r="G6" s="33"/>
      <c r="H6" s="34"/>
      <c r="I6" s="33"/>
      <c r="J6" s="34"/>
      <c r="K6" s="34"/>
      <c r="L6" s="34"/>
      <c r="M6" s="34"/>
      <c r="N6" s="34"/>
      <c r="O6" s="34"/>
      <c r="P6" s="34"/>
      <c r="Q6" s="34"/>
      <c r="R6" s="34"/>
    </row>
    <row r="7" spans="1:18" ht="15.75" thickBot="1" x14ac:dyDescent="0.3">
      <c r="A7" s="1"/>
      <c r="B7" s="12" t="s">
        <v>2</v>
      </c>
      <c r="C7" s="12" t="s">
        <v>5</v>
      </c>
      <c r="D7" s="12" t="s">
        <v>32</v>
      </c>
      <c r="E7" s="12" t="s">
        <v>122</v>
      </c>
      <c r="F7" s="12" t="s">
        <v>214</v>
      </c>
      <c r="G7" s="12" t="s">
        <v>262</v>
      </c>
      <c r="H7" s="12" t="s">
        <v>342</v>
      </c>
      <c r="I7" s="12" t="s">
        <v>516</v>
      </c>
      <c r="J7" s="12" t="s">
        <v>383</v>
      </c>
      <c r="K7" s="12" t="s">
        <v>515</v>
      </c>
      <c r="L7" s="12" t="s">
        <v>511</v>
      </c>
      <c r="M7" s="12" t="s">
        <v>517</v>
      </c>
      <c r="N7" s="12" t="s">
        <v>518</v>
      </c>
      <c r="O7" s="12" t="s">
        <v>519</v>
      </c>
      <c r="P7" s="12" t="s">
        <v>520</v>
      </c>
      <c r="Q7" s="12" t="s">
        <v>521</v>
      </c>
      <c r="R7" s="12" t="s">
        <v>522</v>
      </c>
    </row>
    <row r="8" spans="1:18" x14ac:dyDescent="0.25">
      <c r="A8" s="1"/>
      <c r="B8" s="16">
        <f>ROW(B8) - ROW($B$7)</f>
        <v>1</v>
      </c>
      <c r="C8" s="21" t="s">
        <v>6</v>
      </c>
      <c r="D8" s="14" t="s">
        <v>536</v>
      </c>
      <c r="E8" s="19" t="s">
        <v>138</v>
      </c>
      <c r="F8" s="19" t="s">
        <v>215</v>
      </c>
      <c r="G8" s="19" t="s">
        <v>278</v>
      </c>
      <c r="H8" s="19" t="s">
        <v>344</v>
      </c>
      <c r="I8" s="50" t="s">
        <v>535</v>
      </c>
      <c r="J8" s="19" t="s">
        <v>398</v>
      </c>
      <c r="K8" s="42" t="s">
        <v>480</v>
      </c>
      <c r="L8" s="19">
        <v>4</v>
      </c>
      <c r="M8" s="19">
        <f t="shared" ref="M8" si="0">L8*5</f>
        <v>20</v>
      </c>
      <c r="N8" s="19">
        <v>100</v>
      </c>
      <c r="O8" s="48" t="s">
        <v>523</v>
      </c>
      <c r="P8" s="20">
        <v>2.0999999999999999E-3</v>
      </c>
      <c r="Q8" s="51">
        <f>P8*N8</f>
        <v>0.21</v>
      </c>
      <c r="R8" s="14"/>
    </row>
    <row r="9" spans="1:18" x14ac:dyDescent="0.25">
      <c r="A9" s="1"/>
      <c r="B9" s="16">
        <f t="shared" ref="B9:B72" si="1">ROW(B9) - ROW($B$7)</f>
        <v>2</v>
      </c>
      <c r="C9" s="22" t="s">
        <v>6</v>
      </c>
      <c r="D9" s="44" t="s">
        <v>33</v>
      </c>
      <c r="E9" s="44" t="s">
        <v>124</v>
      </c>
      <c r="F9" s="43" t="s">
        <v>215</v>
      </c>
      <c r="G9" s="44" t="s">
        <v>264</v>
      </c>
      <c r="H9" s="44" t="s">
        <v>344</v>
      </c>
      <c r="I9" s="44" t="s">
        <v>514</v>
      </c>
      <c r="J9" s="44" t="s">
        <v>385</v>
      </c>
      <c r="K9" s="44" t="s">
        <v>469</v>
      </c>
      <c r="L9" s="44">
        <v>2</v>
      </c>
      <c r="M9" s="44">
        <f t="shared" ref="M9" si="2">L9*5</f>
        <v>10</v>
      </c>
      <c r="N9" s="44" t="s">
        <v>514</v>
      </c>
      <c r="O9" s="45" t="s">
        <v>523</v>
      </c>
      <c r="P9" s="46" t="s">
        <v>514</v>
      </c>
      <c r="Q9" s="46" t="s">
        <v>514</v>
      </c>
      <c r="R9" s="47" t="s">
        <v>524</v>
      </c>
    </row>
    <row r="10" spans="1:18" ht="48" x14ac:dyDescent="0.25">
      <c r="A10" s="1"/>
      <c r="B10" s="16">
        <f t="shared" si="1"/>
        <v>3</v>
      </c>
      <c r="C10" s="21" t="s">
        <v>6</v>
      </c>
      <c r="D10" s="14" t="s">
        <v>34</v>
      </c>
      <c r="E10" s="14" t="s">
        <v>125</v>
      </c>
      <c r="F10" s="14" t="s">
        <v>216</v>
      </c>
      <c r="G10" s="14" t="s">
        <v>265</v>
      </c>
      <c r="H10" s="14" t="s">
        <v>345</v>
      </c>
      <c r="I10" s="50" t="s">
        <v>535</v>
      </c>
      <c r="J10" s="14" t="s">
        <v>386</v>
      </c>
      <c r="K10" s="41" t="s">
        <v>470</v>
      </c>
      <c r="L10" s="14">
        <v>26</v>
      </c>
      <c r="M10" s="14">
        <f>L10*5</f>
        <v>130</v>
      </c>
      <c r="N10" s="19">
        <v>140</v>
      </c>
      <c r="O10" s="48" t="s">
        <v>523</v>
      </c>
      <c r="P10" s="20">
        <v>1.32E-2</v>
      </c>
      <c r="Q10" s="15">
        <f>P10*N10</f>
        <v>1.8480000000000001</v>
      </c>
      <c r="R10" s="14"/>
    </row>
    <row r="11" spans="1:18" x14ac:dyDescent="0.25">
      <c r="A11" s="1"/>
      <c r="B11" s="16">
        <f t="shared" si="1"/>
        <v>4</v>
      </c>
      <c r="C11" s="21" t="s">
        <v>6</v>
      </c>
      <c r="D11" s="19" t="s">
        <v>35</v>
      </c>
      <c r="E11" s="19" t="s">
        <v>126</v>
      </c>
      <c r="F11" s="19" t="s">
        <v>215</v>
      </c>
      <c r="G11" s="19" t="s">
        <v>266</v>
      </c>
      <c r="H11" s="19" t="s">
        <v>344</v>
      </c>
      <c r="I11" s="50" t="s">
        <v>535</v>
      </c>
      <c r="J11" s="19" t="s">
        <v>387</v>
      </c>
      <c r="K11" s="42" t="s">
        <v>471</v>
      </c>
      <c r="L11" s="19">
        <v>1</v>
      </c>
      <c r="M11" s="19">
        <f t="shared" ref="M11" si="3">L11*5</f>
        <v>5</v>
      </c>
      <c r="N11" s="14">
        <v>50</v>
      </c>
      <c r="O11" s="48" t="s">
        <v>523</v>
      </c>
      <c r="P11" s="15">
        <v>1.7500000000000002E-2</v>
      </c>
      <c r="Q11" s="20">
        <f t="shared" ref="Q11" si="4">P11*N11</f>
        <v>0.87500000000000011</v>
      </c>
      <c r="R11" s="19"/>
    </row>
    <row r="12" spans="1:18" x14ac:dyDescent="0.25">
      <c r="A12" s="1"/>
      <c r="B12" s="16">
        <f t="shared" si="1"/>
        <v>5</v>
      </c>
      <c r="C12" s="21" t="s">
        <v>6</v>
      </c>
      <c r="D12" s="14" t="s">
        <v>36</v>
      </c>
      <c r="E12" s="14" t="s">
        <v>127</v>
      </c>
      <c r="F12" s="14" t="s">
        <v>215</v>
      </c>
      <c r="G12" s="14" t="s">
        <v>267</v>
      </c>
      <c r="H12" s="14" t="s">
        <v>344</v>
      </c>
      <c r="I12" s="50" t="s">
        <v>535</v>
      </c>
      <c r="J12" s="14" t="s">
        <v>388</v>
      </c>
      <c r="K12" s="41" t="s">
        <v>472</v>
      </c>
      <c r="L12" s="14">
        <v>6</v>
      </c>
      <c r="M12" s="14">
        <f>L12*5</f>
        <v>30</v>
      </c>
      <c r="N12" s="14">
        <v>100</v>
      </c>
      <c r="O12" s="49" t="s">
        <v>523</v>
      </c>
      <c r="P12" s="15">
        <v>1.6000000000000001E-3</v>
      </c>
      <c r="Q12" s="15">
        <f>P12*N12</f>
        <v>0.16</v>
      </c>
      <c r="R12" s="14"/>
    </row>
    <row r="13" spans="1:18" x14ac:dyDescent="0.25">
      <c r="A13" s="1"/>
      <c r="B13" s="16">
        <f t="shared" si="1"/>
        <v>6</v>
      </c>
      <c r="C13" s="22" t="s">
        <v>6</v>
      </c>
      <c r="D13" s="19" t="s">
        <v>37</v>
      </c>
      <c r="E13" s="19" t="s">
        <v>128</v>
      </c>
      <c r="F13" s="19" t="s">
        <v>217</v>
      </c>
      <c r="G13" s="19" t="s">
        <v>268</v>
      </c>
      <c r="H13" s="19" t="s">
        <v>344</v>
      </c>
      <c r="I13" s="50" t="s">
        <v>535</v>
      </c>
      <c r="J13" s="19" t="s">
        <v>389</v>
      </c>
      <c r="K13" s="42" t="s">
        <v>473</v>
      </c>
      <c r="L13" s="19">
        <v>1</v>
      </c>
      <c r="M13" s="19">
        <f t="shared" ref="M13" si="5">L13*5</f>
        <v>5</v>
      </c>
      <c r="N13" s="19">
        <v>20</v>
      </c>
      <c r="O13" s="48" t="s">
        <v>523</v>
      </c>
      <c r="P13" s="20">
        <v>2.0799999999999999E-2</v>
      </c>
      <c r="Q13" s="20">
        <f t="shared" ref="Q13" si="6">P13*N13</f>
        <v>0.41599999999999998</v>
      </c>
      <c r="R13" s="19"/>
    </row>
    <row r="14" spans="1:18" x14ac:dyDescent="0.25">
      <c r="A14" s="1"/>
      <c r="B14" s="16">
        <f t="shared" si="1"/>
        <v>7</v>
      </c>
      <c r="C14" s="21" t="s">
        <v>6</v>
      </c>
      <c r="D14" s="14" t="s">
        <v>537</v>
      </c>
      <c r="E14" s="14" t="s">
        <v>129</v>
      </c>
      <c r="F14" s="14" t="s">
        <v>218</v>
      </c>
      <c r="G14" s="14" t="s">
        <v>269</v>
      </c>
      <c r="H14" s="14" t="s">
        <v>346</v>
      </c>
      <c r="I14" s="50" t="s">
        <v>535</v>
      </c>
      <c r="J14" s="14" t="s">
        <v>390</v>
      </c>
      <c r="K14" s="41" t="s">
        <v>474</v>
      </c>
      <c r="L14" s="14">
        <v>1</v>
      </c>
      <c r="M14" s="14">
        <f>L14*5</f>
        <v>5</v>
      </c>
      <c r="N14" s="14">
        <v>20</v>
      </c>
      <c r="O14" s="48" t="s">
        <v>523</v>
      </c>
      <c r="P14" s="15">
        <v>0.29310000000000003</v>
      </c>
      <c r="Q14" s="15">
        <f>P14*N14</f>
        <v>5.8620000000000001</v>
      </c>
      <c r="R14" s="14"/>
    </row>
    <row r="15" spans="1:18" x14ac:dyDescent="0.25">
      <c r="A15" s="1"/>
      <c r="B15" s="16">
        <f t="shared" si="1"/>
        <v>8</v>
      </c>
      <c r="C15" s="21" t="s">
        <v>6</v>
      </c>
      <c r="D15" s="19" t="s">
        <v>38</v>
      </c>
      <c r="E15" s="19" t="s">
        <v>130</v>
      </c>
      <c r="F15" s="19" t="s">
        <v>219</v>
      </c>
      <c r="G15" s="19" t="s">
        <v>270</v>
      </c>
      <c r="H15" s="19" t="s">
        <v>344</v>
      </c>
      <c r="I15" s="50" t="s">
        <v>535</v>
      </c>
      <c r="J15" s="19" t="s">
        <v>391</v>
      </c>
      <c r="K15" s="42" t="s">
        <v>475</v>
      </c>
      <c r="L15" s="19">
        <v>1</v>
      </c>
      <c r="M15" s="19">
        <f t="shared" ref="M15" si="7">L15*5</f>
        <v>5</v>
      </c>
      <c r="N15" s="19">
        <v>10</v>
      </c>
      <c r="O15" s="48" t="s">
        <v>523</v>
      </c>
      <c r="P15" s="20">
        <v>8.5900000000000004E-2</v>
      </c>
      <c r="Q15" s="20">
        <f t="shared" ref="Q15" si="8">P15*N15</f>
        <v>0.85899999999999999</v>
      </c>
      <c r="R15" s="19"/>
    </row>
    <row r="16" spans="1:18" x14ac:dyDescent="0.25">
      <c r="A16" s="1"/>
      <c r="B16" s="16">
        <f t="shared" si="1"/>
        <v>9</v>
      </c>
      <c r="C16" s="21" t="s">
        <v>6</v>
      </c>
      <c r="D16" s="14" t="s">
        <v>39</v>
      </c>
      <c r="E16" s="14" t="s">
        <v>131</v>
      </c>
      <c r="F16" s="14" t="s">
        <v>215</v>
      </c>
      <c r="G16" s="14" t="s">
        <v>271</v>
      </c>
      <c r="H16" s="14" t="s">
        <v>345</v>
      </c>
      <c r="I16" s="50" t="s">
        <v>535</v>
      </c>
      <c r="J16" s="14" t="s">
        <v>392</v>
      </c>
      <c r="K16" s="41" t="s">
        <v>472</v>
      </c>
      <c r="L16" s="14">
        <v>1</v>
      </c>
      <c r="M16" s="14">
        <f>L16*5</f>
        <v>5</v>
      </c>
      <c r="N16" s="14">
        <v>45</v>
      </c>
      <c r="O16" s="49" t="s">
        <v>523</v>
      </c>
      <c r="P16" s="15">
        <v>9.4500000000000001E-2</v>
      </c>
      <c r="Q16" s="15">
        <f>P16*N16</f>
        <v>4.2525000000000004</v>
      </c>
      <c r="R16" s="14"/>
    </row>
    <row r="17" spans="1:25" x14ac:dyDescent="0.25">
      <c r="A17" s="1"/>
      <c r="B17" s="16">
        <f t="shared" si="1"/>
        <v>10</v>
      </c>
      <c r="C17" s="21" t="s">
        <v>6</v>
      </c>
      <c r="D17" s="19" t="s">
        <v>40</v>
      </c>
      <c r="E17" s="19" t="s">
        <v>132</v>
      </c>
      <c r="F17" s="19" t="s">
        <v>215</v>
      </c>
      <c r="G17" s="19" t="s">
        <v>272</v>
      </c>
      <c r="H17" s="19" t="s">
        <v>343</v>
      </c>
      <c r="I17" s="50" t="s">
        <v>535</v>
      </c>
      <c r="J17" s="19" t="s">
        <v>393</v>
      </c>
      <c r="K17" s="42" t="s">
        <v>476</v>
      </c>
      <c r="L17" s="19">
        <v>1</v>
      </c>
      <c r="M17" s="19">
        <f t="shared" ref="M17" si="9">L17*5</f>
        <v>5</v>
      </c>
      <c r="N17" s="19">
        <v>20</v>
      </c>
      <c r="O17" s="48" t="s">
        <v>523</v>
      </c>
      <c r="P17" s="20">
        <v>2.1100000000000001E-2</v>
      </c>
      <c r="Q17" s="20">
        <f t="shared" ref="Q17" si="10">P17*N17</f>
        <v>0.42200000000000004</v>
      </c>
      <c r="R17" s="19"/>
    </row>
    <row r="18" spans="1:25" x14ac:dyDescent="0.25">
      <c r="A18" s="1"/>
      <c r="B18" s="16">
        <f t="shared" si="1"/>
        <v>11</v>
      </c>
      <c r="C18" s="21" t="s">
        <v>6</v>
      </c>
      <c r="D18" s="14" t="s">
        <v>41</v>
      </c>
      <c r="E18" s="14" t="s">
        <v>133</v>
      </c>
      <c r="F18" s="14" t="s">
        <v>220</v>
      </c>
      <c r="G18" s="14" t="s">
        <v>273</v>
      </c>
      <c r="H18" s="14" t="s">
        <v>344</v>
      </c>
      <c r="I18" s="50" t="s">
        <v>535</v>
      </c>
      <c r="J18" s="14" t="s">
        <v>394</v>
      </c>
      <c r="K18" s="41" t="s">
        <v>477</v>
      </c>
      <c r="L18" s="14">
        <v>2</v>
      </c>
      <c r="M18" s="14">
        <f>L18*5</f>
        <v>10</v>
      </c>
      <c r="N18" s="14">
        <v>20</v>
      </c>
      <c r="O18" s="49" t="s">
        <v>523</v>
      </c>
      <c r="P18" s="15">
        <v>6.83E-2</v>
      </c>
      <c r="Q18" s="15">
        <f>P18*N18</f>
        <v>1.3660000000000001</v>
      </c>
      <c r="R18" s="14"/>
    </row>
    <row r="19" spans="1:25" x14ac:dyDescent="0.25">
      <c r="A19" s="1"/>
      <c r="B19" s="16">
        <f t="shared" si="1"/>
        <v>12</v>
      </c>
      <c r="C19" s="22" t="s">
        <v>6</v>
      </c>
      <c r="D19" s="19" t="s">
        <v>42</v>
      </c>
      <c r="E19" s="19" t="s">
        <v>134</v>
      </c>
      <c r="F19" s="19" t="s">
        <v>217</v>
      </c>
      <c r="G19" s="19" t="s">
        <v>274</v>
      </c>
      <c r="H19" s="19" t="s">
        <v>344</v>
      </c>
      <c r="I19" s="50" t="s">
        <v>535</v>
      </c>
      <c r="J19" s="19" t="s">
        <v>395</v>
      </c>
      <c r="K19" s="42" t="s">
        <v>471</v>
      </c>
      <c r="L19" s="19">
        <v>2</v>
      </c>
      <c r="M19" s="19">
        <f t="shared" ref="M19" si="11">L19*5</f>
        <v>10</v>
      </c>
      <c r="N19" s="19">
        <v>20</v>
      </c>
      <c r="O19" s="48" t="s">
        <v>523</v>
      </c>
      <c r="P19" s="20">
        <v>3.7199999999999997E-2</v>
      </c>
      <c r="Q19" s="20">
        <f t="shared" ref="Q19" si="12">P19*N19</f>
        <v>0.74399999999999999</v>
      </c>
      <c r="R19" s="19"/>
    </row>
    <row r="20" spans="1:25" x14ac:dyDescent="0.25">
      <c r="A20" s="1"/>
      <c r="B20" s="16">
        <f t="shared" si="1"/>
        <v>13</v>
      </c>
      <c r="C20" s="21" t="s">
        <v>6</v>
      </c>
      <c r="D20" s="14" t="s">
        <v>43</v>
      </c>
      <c r="E20" s="14" t="s">
        <v>135</v>
      </c>
      <c r="F20" s="14" t="s">
        <v>215</v>
      </c>
      <c r="G20" s="14" t="s">
        <v>275</v>
      </c>
      <c r="H20" s="14" t="s">
        <v>344</v>
      </c>
      <c r="I20" s="50" t="s">
        <v>535</v>
      </c>
      <c r="J20" s="19" t="s">
        <v>525</v>
      </c>
      <c r="K20" s="41" t="s">
        <v>473</v>
      </c>
      <c r="L20" s="14">
        <v>2</v>
      </c>
      <c r="M20" s="14">
        <f>L20*5</f>
        <v>10</v>
      </c>
      <c r="N20" s="19">
        <v>100</v>
      </c>
      <c r="O20" s="48" t="s">
        <v>523</v>
      </c>
      <c r="P20" s="20">
        <v>1E-3</v>
      </c>
      <c r="Q20" s="15">
        <f>P20*N20</f>
        <v>0.1</v>
      </c>
      <c r="R20" s="14"/>
    </row>
    <row r="21" spans="1:25" x14ac:dyDescent="0.25">
      <c r="A21" s="1"/>
      <c r="B21" s="16">
        <f t="shared" si="1"/>
        <v>14</v>
      </c>
      <c r="C21" s="22" t="s">
        <v>6</v>
      </c>
      <c r="D21" s="19" t="s">
        <v>44</v>
      </c>
      <c r="E21" s="19" t="s">
        <v>136</v>
      </c>
      <c r="F21" s="19" t="s">
        <v>215</v>
      </c>
      <c r="G21" s="19" t="s">
        <v>276</v>
      </c>
      <c r="H21" s="19" t="s">
        <v>343</v>
      </c>
      <c r="I21" s="50" t="s">
        <v>535</v>
      </c>
      <c r="J21" s="19" t="s">
        <v>396</v>
      </c>
      <c r="K21" s="42" t="s">
        <v>478</v>
      </c>
      <c r="L21" s="19">
        <v>6</v>
      </c>
      <c r="M21" s="19">
        <f t="shared" ref="M21" si="13">L21*5</f>
        <v>30</v>
      </c>
      <c r="N21" s="14">
        <v>50</v>
      </c>
      <c r="O21" s="48" t="s">
        <v>523</v>
      </c>
      <c r="P21" s="15">
        <v>8.3999999999999995E-3</v>
      </c>
      <c r="Q21" s="20">
        <f t="shared" ref="Q21" si="14">P21*N21</f>
        <v>0.42</v>
      </c>
      <c r="R21" s="19"/>
    </row>
    <row r="22" spans="1:25" x14ac:dyDescent="0.25">
      <c r="A22" s="1"/>
      <c r="B22" s="16">
        <f t="shared" si="1"/>
        <v>15</v>
      </c>
      <c r="C22" s="21" t="s">
        <v>6</v>
      </c>
      <c r="D22" s="14" t="s">
        <v>45</v>
      </c>
      <c r="E22" s="14" t="s">
        <v>137</v>
      </c>
      <c r="F22" s="14" t="s">
        <v>531</v>
      </c>
      <c r="G22" s="14" t="s">
        <v>277</v>
      </c>
      <c r="H22" s="14" t="s">
        <v>346</v>
      </c>
      <c r="I22" s="50" t="s">
        <v>535</v>
      </c>
      <c r="J22" s="14" t="s">
        <v>397</v>
      </c>
      <c r="K22" s="41" t="s">
        <v>479</v>
      </c>
      <c r="L22" s="14">
        <v>4</v>
      </c>
      <c r="M22" s="14">
        <f>L22*5</f>
        <v>20</v>
      </c>
      <c r="N22" s="14">
        <v>25</v>
      </c>
      <c r="O22" s="49" t="s">
        <v>523</v>
      </c>
      <c r="P22" s="15">
        <v>0.1168</v>
      </c>
      <c r="Q22" s="15">
        <f>P22*N22</f>
        <v>2.92</v>
      </c>
      <c r="R22" s="14"/>
    </row>
    <row r="23" spans="1:25" x14ac:dyDescent="0.25">
      <c r="A23" s="1"/>
      <c r="B23" s="16">
        <f t="shared" si="1"/>
        <v>16</v>
      </c>
      <c r="C23" s="21" t="s">
        <v>6</v>
      </c>
      <c r="D23" s="14" t="s">
        <v>46</v>
      </c>
      <c r="E23" s="14" t="s">
        <v>139</v>
      </c>
      <c r="F23" s="14" t="s">
        <v>215</v>
      </c>
      <c r="G23" s="14" t="s">
        <v>279</v>
      </c>
      <c r="H23" s="14" t="s">
        <v>344</v>
      </c>
      <c r="I23" s="50" t="s">
        <v>535</v>
      </c>
      <c r="J23" s="14" t="s">
        <v>399</v>
      </c>
      <c r="K23" s="41" t="s">
        <v>481</v>
      </c>
      <c r="L23" s="14">
        <v>1</v>
      </c>
      <c r="M23" s="14">
        <f>L23*5</f>
        <v>5</v>
      </c>
      <c r="N23" s="14">
        <v>100</v>
      </c>
      <c r="O23" s="48" t="s">
        <v>523</v>
      </c>
      <c r="P23" s="15">
        <v>3.8999999999999998E-3</v>
      </c>
      <c r="Q23" s="15">
        <f>P23*N23</f>
        <v>0.38999999999999996</v>
      </c>
      <c r="R23" s="14"/>
    </row>
    <row r="24" spans="1:25" ht="36" x14ac:dyDescent="0.25">
      <c r="A24" s="1"/>
      <c r="B24" s="16">
        <f t="shared" si="1"/>
        <v>17</v>
      </c>
      <c r="C24" s="22" t="s">
        <v>6</v>
      </c>
      <c r="D24" s="19" t="s">
        <v>47</v>
      </c>
      <c r="E24" s="19" t="s">
        <v>140</v>
      </c>
      <c r="F24" s="19" t="s">
        <v>215</v>
      </c>
      <c r="G24" s="19" t="s">
        <v>280</v>
      </c>
      <c r="H24" s="19" t="s">
        <v>347</v>
      </c>
      <c r="I24" s="50" t="s">
        <v>535</v>
      </c>
      <c r="J24" s="19" t="s">
        <v>400</v>
      </c>
      <c r="K24" s="42" t="s">
        <v>482</v>
      </c>
      <c r="L24" s="19">
        <v>1</v>
      </c>
      <c r="M24" s="19">
        <f t="shared" ref="M24" si="15">L24*5</f>
        <v>5</v>
      </c>
      <c r="N24" s="19">
        <v>100</v>
      </c>
      <c r="O24" s="48" t="s">
        <v>523</v>
      </c>
      <c r="P24" s="20">
        <v>4.1999999999999997E-3</v>
      </c>
      <c r="Q24" s="20">
        <f t="shared" ref="Q24" si="16">P24*N24</f>
        <v>0.42</v>
      </c>
      <c r="R24" s="19"/>
    </row>
    <row r="25" spans="1:25" s="61" customFormat="1" x14ac:dyDescent="0.25">
      <c r="A25" s="52"/>
      <c r="B25" s="16">
        <f t="shared" si="1"/>
        <v>18</v>
      </c>
      <c r="C25" s="53" t="s">
        <v>6</v>
      </c>
      <c r="D25" s="54" t="s">
        <v>538</v>
      </c>
      <c r="E25" s="54" t="s">
        <v>123</v>
      </c>
      <c r="F25" s="54" t="s">
        <v>215</v>
      </c>
      <c r="G25" s="54" t="s">
        <v>263</v>
      </c>
      <c r="H25" s="54" t="s">
        <v>343</v>
      </c>
      <c r="I25" s="55" t="s">
        <v>535</v>
      </c>
      <c r="J25" s="54" t="s">
        <v>384</v>
      </c>
      <c r="K25" s="56" t="s">
        <v>468</v>
      </c>
      <c r="L25" s="54">
        <v>8</v>
      </c>
      <c r="M25" s="54">
        <f>L25*5</f>
        <v>40</v>
      </c>
      <c r="N25" s="57">
        <v>100</v>
      </c>
      <c r="O25" s="58" t="s">
        <v>523</v>
      </c>
      <c r="P25" s="59">
        <v>2.0999999999999999E-3</v>
      </c>
      <c r="Q25" s="60">
        <f>P25*N25</f>
        <v>0.21</v>
      </c>
      <c r="R25" s="54"/>
      <c r="T25"/>
      <c r="U25"/>
      <c r="V25"/>
      <c r="W25"/>
      <c r="X25"/>
      <c r="Y25"/>
    </row>
    <row r="26" spans="1:25" x14ac:dyDescent="0.25">
      <c r="A26" s="1"/>
      <c r="B26" s="16">
        <f t="shared" si="1"/>
        <v>19</v>
      </c>
      <c r="C26" s="21" t="s">
        <v>6</v>
      </c>
      <c r="D26" s="14" t="s">
        <v>48</v>
      </c>
      <c r="E26" s="14" t="s">
        <v>141</v>
      </c>
      <c r="F26" s="14" t="s">
        <v>215</v>
      </c>
      <c r="G26" s="14" t="s">
        <v>281</v>
      </c>
      <c r="H26" s="14" t="s">
        <v>344</v>
      </c>
      <c r="I26" s="50" t="s">
        <v>535</v>
      </c>
      <c r="J26" s="14" t="s">
        <v>401</v>
      </c>
      <c r="K26" s="41" t="s">
        <v>483</v>
      </c>
      <c r="L26" s="14">
        <v>2</v>
      </c>
      <c r="M26" s="14">
        <f>L26*5</f>
        <v>10</v>
      </c>
      <c r="N26" s="14">
        <v>100</v>
      </c>
      <c r="O26" s="48" t="s">
        <v>523</v>
      </c>
      <c r="P26" s="15">
        <v>3.0999999999999999E-3</v>
      </c>
      <c r="Q26" s="15">
        <f>P26*N26</f>
        <v>0.31</v>
      </c>
      <c r="R26" s="14"/>
    </row>
    <row r="27" spans="1:25" ht="24" x14ac:dyDescent="0.25">
      <c r="A27" s="1"/>
      <c r="B27" s="16">
        <f t="shared" si="1"/>
        <v>20</v>
      </c>
      <c r="C27" s="22" t="s">
        <v>7</v>
      </c>
      <c r="D27" s="19" t="s">
        <v>49</v>
      </c>
      <c r="E27" s="19" t="s">
        <v>142</v>
      </c>
      <c r="F27" s="19" t="s">
        <v>221</v>
      </c>
      <c r="G27" s="19" t="s">
        <v>282</v>
      </c>
      <c r="H27" s="19" t="s">
        <v>348</v>
      </c>
      <c r="I27" s="50" t="s">
        <v>535</v>
      </c>
      <c r="J27" s="19" t="s">
        <v>402</v>
      </c>
      <c r="K27" s="42" t="s">
        <v>514</v>
      </c>
      <c r="L27" s="19">
        <v>2</v>
      </c>
      <c r="M27" s="19">
        <f t="shared" ref="M27" si="17">L27*5</f>
        <v>10</v>
      </c>
      <c r="N27" s="19">
        <v>20</v>
      </c>
      <c r="O27" s="49" t="s">
        <v>523</v>
      </c>
      <c r="P27" s="20">
        <v>2.4E-2</v>
      </c>
      <c r="Q27" s="20">
        <f t="shared" ref="Q27" si="18">P27*N27</f>
        <v>0.48</v>
      </c>
      <c r="R27" s="19"/>
    </row>
    <row r="28" spans="1:25" ht="24" x14ac:dyDescent="0.25">
      <c r="A28" s="1"/>
      <c r="B28" s="16">
        <f t="shared" si="1"/>
        <v>21</v>
      </c>
      <c r="C28" s="21" t="s">
        <v>8</v>
      </c>
      <c r="D28" s="14" t="s">
        <v>50</v>
      </c>
      <c r="E28" s="14" t="s">
        <v>143</v>
      </c>
      <c r="F28" s="14" t="s">
        <v>221</v>
      </c>
      <c r="G28" s="14" t="s">
        <v>283</v>
      </c>
      <c r="H28" s="14" t="s">
        <v>349</v>
      </c>
      <c r="I28" s="50" t="s">
        <v>535</v>
      </c>
      <c r="J28" s="14" t="s">
        <v>403</v>
      </c>
      <c r="K28" s="41" t="s">
        <v>514</v>
      </c>
      <c r="L28" s="14">
        <v>12</v>
      </c>
      <c r="M28" s="14">
        <f>L28*5</f>
        <v>60</v>
      </c>
      <c r="N28" s="19">
        <v>100</v>
      </c>
      <c r="O28" s="48" t="s">
        <v>523</v>
      </c>
      <c r="P28" s="20">
        <v>1.29E-2</v>
      </c>
      <c r="Q28" s="15">
        <f>P28*N28</f>
        <v>1.29</v>
      </c>
      <c r="R28" s="14"/>
    </row>
    <row r="29" spans="1:25" x14ac:dyDescent="0.25">
      <c r="A29" s="1"/>
      <c r="B29" s="16">
        <f t="shared" si="1"/>
        <v>22</v>
      </c>
      <c r="C29" s="21" t="s">
        <v>8</v>
      </c>
      <c r="D29" s="19" t="s">
        <v>51</v>
      </c>
      <c r="E29" s="19" t="s">
        <v>144</v>
      </c>
      <c r="F29" s="19" t="s">
        <v>222</v>
      </c>
      <c r="G29" s="19" t="s">
        <v>284</v>
      </c>
      <c r="H29" s="19" t="s">
        <v>350</v>
      </c>
      <c r="I29" s="50" t="s">
        <v>535</v>
      </c>
      <c r="J29" s="19" t="s">
        <v>404</v>
      </c>
      <c r="K29" s="41" t="s">
        <v>514</v>
      </c>
      <c r="L29" s="19">
        <v>2</v>
      </c>
      <c r="M29" s="19">
        <f t="shared" ref="M29" si="19">L29*5</f>
        <v>10</v>
      </c>
      <c r="N29" s="14">
        <v>50</v>
      </c>
      <c r="O29" s="48" t="s">
        <v>523</v>
      </c>
      <c r="P29" s="15">
        <v>4.5999999999999999E-2</v>
      </c>
      <c r="Q29" s="20">
        <f t="shared" ref="Q29" si="20">P29*N29</f>
        <v>2.2999999999999998</v>
      </c>
      <c r="R29" s="19"/>
    </row>
    <row r="30" spans="1:25" x14ac:dyDescent="0.25">
      <c r="A30" s="1"/>
      <c r="B30" s="16">
        <f t="shared" si="1"/>
        <v>23</v>
      </c>
      <c r="C30" s="21" t="s">
        <v>8</v>
      </c>
      <c r="D30" s="14" t="s">
        <v>52</v>
      </c>
      <c r="E30" s="14" t="s">
        <v>145</v>
      </c>
      <c r="F30" s="14" t="s">
        <v>223</v>
      </c>
      <c r="G30" s="14" t="s">
        <v>285</v>
      </c>
      <c r="H30" s="14" t="s">
        <v>351</v>
      </c>
      <c r="I30" s="50" t="s">
        <v>535</v>
      </c>
      <c r="J30" s="19" t="s">
        <v>526</v>
      </c>
      <c r="K30" s="41" t="s">
        <v>514</v>
      </c>
      <c r="L30" s="14">
        <v>1</v>
      </c>
      <c r="M30" s="14">
        <f>L30*5</f>
        <v>5</v>
      </c>
      <c r="N30" s="19">
        <v>10</v>
      </c>
      <c r="O30" s="48" t="s">
        <v>523</v>
      </c>
      <c r="P30" s="20">
        <v>0.153</v>
      </c>
      <c r="Q30" s="15">
        <f>P30*N30</f>
        <v>1.53</v>
      </c>
      <c r="R30" s="14"/>
    </row>
    <row r="31" spans="1:25" x14ac:dyDescent="0.25">
      <c r="A31" s="1"/>
      <c r="B31" s="16">
        <f t="shared" si="1"/>
        <v>24</v>
      </c>
      <c r="C31" s="22" t="s">
        <v>8</v>
      </c>
      <c r="D31" s="19" t="s">
        <v>53</v>
      </c>
      <c r="E31" s="19" t="s">
        <v>146</v>
      </c>
      <c r="F31" s="19" t="s">
        <v>224</v>
      </c>
      <c r="G31" s="19" t="s">
        <v>286</v>
      </c>
      <c r="H31" s="19" t="s">
        <v>352</v>
      </c>
      <c r="I31" s="50" t="s">
        <v>535</v>
      </c>
      <c r="J31" s="19" t="s">
        <v>405</v>
      </c>
      <c r="K31" s="41" t="s">
        <v>514</v>
      </c>
      <c r="L31" s="19">
        <v>2</v>
      </c>
      <c r="M31" s="19">
        <f t="shared" ref="M31" si="21">L31*5</f>
        <v>10</v>
      </c>
      <c r="N31" s="14">
        <v>20</v>
      </c>
      <c r="O31" s="48" t="s">
        <v>523</v>
      </c>
      <c r="P31" s="15">
        <v>3.0800000000000001E-2</v>
      </c>
      <c r="Q31" s="20">
        <f t="shared" ref="Q31" si="22">P31*N31</f>
        <v>0.61599999999999999</v>
      </c>
      <c r="R31" s="19"/>
    </row>
    <row r="32" spans="1:25" x14ac:dyDescent="0.25">
      <c r="A32" s="1"/>
      <c r="B32" s="16">
        <f t="shared" si="1"/>
        <v>25</v>
      </c>
      <c r="C32" s="21" t="s">
        <v>9</v>
      </c>
      <c r="D32" s="14" t="s">
        <v>54</v>
      </c>
      <c r="E32" s="14" t="s">
        <v>147</v>
      </c>
      <c r="F32" s="14" t="s">
        <v>225</v>
      </c>
      <c r="G32" s="14" t="s">
        <v>287</v>
      </c>
      <c r="H32" s="14" t="s">
        <v>353</v>
      </c>
      <c r="I32" s="50" t="s">
        <v>535</v>
      </c>
      <c r="J32" s="14" t="s">
        <v>406</v>
      </c>
      <c r="K32" s="41" t="s">
        <v>514</v>
      </c>
      <c r="L32" s="14">
        <v>2</v>
      </c>
      <c r="M32" s="14">
        <f>L32*5</f>
        <v>10</v>
      </c>
      <c r="N32" s="14">
        <v>15</v>
      </c>
      <c r="O32" s="48" t="s">
        <v>523</v>
      </c>
      <c r="P32" s="15">
        <v>0.1729</v>
      </c>
      <c r="Q32" s="15">
        <f>P32*N32</f>
        <v>2.5935000000000001</v>
      </c>
      <c r="R32" s="14"/>
    </row>
    <row r="33" spans="1:18" x14ac:dyDescent="0.25">
      <c r="A33" s="1"/>
      <c r="B33" s="16">
        <f t="shared" si="1"/>
        <v>26</v>
      </c>
      <c r="C33" s="22" t="s">
        <v>8</v>
      </c>
      <c r="D33" s="19" t="s">
        <v>55</v>
      </c>
      <c r="E33" s="19" t="s">
        <v>148</v>
      </c>
      <c r="F33" s="19" t="s">
        <v>225</v>
      </c>
      <c r="G33" s="19" t="s">
        <v>288</v>
      </c>
      <c r="H33" s="19" t="s">
        <v>354</v>
      </c>
      <c r="I33" s="50" t="s">
        <v>535</v>
      </c>
      <c r="J33" s="19" t="s">
        <v>407</v>
      </c>
      <c r="K33" s="41" t="s">
        <v>514</v>
      </c>
      <c r="L33" s="19">
        <v>1</v>
      </c>
      <c r="M33" s="19">
        <f t="shared" ref="M33" si="23">L33*5</f>
        <v>5</v>
      </c>
      <c r="N33" s="19">
        <v>10</v>
      </c>
      <c r="O33" s="48" t="s">
        <v>523</v>
      </c>
      <c r="P33" s="20">
        <v>3.49E-2</v>
      </c>
      <c r="Q33" s="20">
        <f t="shared" ref="Q33" si="24">P33*N33</f>
        <v>0.34899999999999998</v>
      </c>
      <c r="R33" s="19"/>
    </row>
    <row r="34" spans="1:18" x14ac:dyDescent="0.25">
      <c r="A34" s="1"/>
      <c r="B34" s="16">
        <f t="shared" si="1"/>
        <v>27</v>
      </c>
      <c r="C34" s="21" t="s">
        <v>9</v>
      </c>
      <c r="D34" s="14" t="s">
        <v>56</v>
      </c>
      <c r="E34" s="14" t="s">
        <v>149</v>
      </c>
      <c r="F34" s="14" t="s">
        <v>226</v>
      </c>
      <c r="G34" s="14" t="s">
        <v>289</v>
      </c>
      <c r="H34" s="14" t="s">
        <v>355</v>
      </c>
      <c r="I34" s="50" t="s">
        <v>535</v>
      </c>
      <c r="J34" s="14" t="s">
        <v>408</v>
      </c>
      <c r="K34" s="41" t="s">
        <v>514</v>
      </c>
      <c r="L34" s="14">
        <v>2</v>
      </c>
      <c r="M34" s="14">
        <f>L34*5</f>
        <v>10</v>
      </c>
      <c r="N34" s="14">
        <v>15</v>
      </c>
      <c r="O34" s="48" t="s">
        <v>523</v>
      </c>
      <c r="P34" s="15">
        <v>0.1074</v>
      </c>
      <c r="Q34" s="15">
        <f>P34*N34</f>
        <v>1.611</v>
      </c>
      <c r="R34" s="14"/>
    </row>
    <row r="35" spans="1:18" x14ac:dyDescent="0.25">
      <c r="A35" s="1"/>
      <c r="B35" s="16">
        <f t="shared" si="1"/>
        <v>28</v>
      </c>
      <c r="C35" s="22" t="s">
        <v>8</v>
      </c>
      <c r="D35" s="19" t="s">
        <v>57</v>
      </c>
      <c r="E35" s="19" t="s">
        <v>150</v>
      </c>
      <c r="F35" s="19" t="s">
        <v>221</v>
      </c>
      <c r="G35" s="19" t="s">
        <v>290</v>
      </c>
      <c r="H35" s="19" t="s">
        <v>351</v>
      </c>
      <c r="I35" s="50" t="s">
        <v>535</v>
      </c>
      <c r="J35" s="19" t="s">
        <v>409</v>
      </c>
      <c r="K35" s="41" t="s">
        <v>514</v>
      </c>
      <c r="L35" s="19">
        <v>4</v>
      </c>
      <c r="M35" s="19">
        <f t="shared" ref="M35:M36" si="25">L35*5</f>
        <v>20</v>
      </c>
      <c r="N35" s="14">
        <v>50</v>
      </c>
      <c r="O35" s="48" t="s">
        <v>523</v>
      </c>
      <c r="P35" s="15">
        <v>1.29E-2</v>
      </c>
      <c r="Q35" s="20">
        <f t="shared" ref="Q35:Q36" si="26">P35*N35</f>
        <v>0.64500000000000002</v>
      </c>
      <c r="R35" s="19"/>
    </row>
    <row r="36" spans="1:18" ht="24" x14ac:dyDescent="0.25">
      <c r="A36" s="1"/>
      <c r="B36" s="16">
        <f t="shared" si="1"/>
        <v>29</v>
      </c>
      <c r="C36" s="21" t="s">
        <v>550</v>
      </c>
      <c r="D36" s="14" t="s">
        <v>539</v>
      </c>
      <c r="E36" s="41" t="s">
        <v>540</v>
      </c>
      <c r="F36" s="14" t="s">
        <v>541</v>
      </c>
      <c r="G36" s="41" t="s">
        <v>542</v>
      </c>
      <c r="H36" s="14" t="s">
        <v>543</v>
      </c>
      <c r="I36" s="50" t="s">
        <v>535</v>
      </c>
      <c r="J36" s="14" t="s">
        <v>551</v>
      </c>
      <c r="K36" s="41" t="s">
        <v>514</v>
      </c>
      <c r="L36" s="14">
        <v>1</v>
      </c>
      <c r="M36" s="14">
        <f t="shared" si="25"/>
        <v>5</v>
      </c>
      <c r="N36" s="14">
        <v>50</v>
      </c>
      <c r="O36" s="48" t="s">
        <v>523</v>
      </c>
      <c r="P36" s="15">
        <v>1.35E-2</v>
      </c>
      <c r="Q36" s="15">
        <f t="shared" si="26"/>
        <v>0.67500000000000004</v>
      </c>
      <c r="R36" s="14"/>
    </row>
    <row r="37" spans="1:18" ht="24" x14ac:dyDescent="0.25">
      <c r="A37" s="1"/>
      <c r="B37" s="16">
        <f t="shared" si="1"/>
        <v>30</v>
      </c>
      <c r="C37" s="21" t="s">
        <v>10</v>
      </c>
      <c r="D37" s="14" t="s">
        <v>58</v>
      </c>
      <c r="E37" s="14" t="s">
        <v>151</v>
      </c>
      <c r="F37" s="14" t="s">
        <v>227</v>
      </c>
      <c r="G37" s="14" t="s">
        <v>291</v>
      </c>
      <c r="H37" s="14" t="s">
        <v>353</v>
      </c>
      <c r="I37" s="50" t="s">
        <v>535</v>
      </c>
      <c r="J37" s="14" t="s">
        <v>410</v>
      </c>
      <c r="K37" s="41" t="s">
        <v>514</v>
      </c>
      <c r="L37" s="14">
        <v>4</v>
      </c>
      <c r="M37" s="14">
        <f>L37*5</f>
        <v>20</v>
      </c>
      <c r="N37" s="14">
        <v>30</v>
      </c>
      <c r="O37" s="48" t="s">
        <v>523</v>
      </c>
      <c r="P37" s="15">
        <v>5.5599999999999997E-2</v>
      </c>
      <c r="Q37" s="15">
        <f>P37*N37</f>
        <v>1.6679999999999999</v>
      </c>
      <c r="R37" s="14"/>
    </row>
    <row r="38" spans="1:18" x14ac:dyDescent="0.25">
      <c r="A38" s="1"/>
      <c r="B38" s="16">
        <f t="shared" si="1"/>
        <v>31</v>
      </c>
      <c r="C38" s="22" t="s">
        <v>11</v>
      </c>
      <c r="D38" s="19" t="s">
        <v>59</v>
      </c>
      <c r="E38" s="19" t="s">
        <v>152</v>
      </c>
      <c r="F38" s="19" t="s">
        <v>228</v>
      </c>
      <c r="G38" s="19" t="s">
        <v>292</v>
      </c>
      <c r="H38" s="19" t="s">
        <v>343</v>
      </c>
      <c r="I38" s="50" t="s">
        <v>535</v>
      </c>
      <c r="J38" s="19" t="s">
        <v>411</v>
      </c>
      <c r="K38" s="41" t="s">
        <v>514</v>
      </c>
      <c r="L38" s="19">
        <v>4</v>
      </c>
      <c r="M38" s="19">
        <f t="shared" ref="M38" si="27">L38*5</f>
        <v>20</v>
      </c>
      <c r="N38" s="19">
        <v>50</v>
      </c>
      <c r="O38" s="48" t="s">
        <v>523</v>
      </c>
      <c r="P38" s="20">
        <v>7.7000000000000002E-3</v>
      </c>
      <c r="Q38" s="20">
        <f t="shared" ref="Q38" si="28">P38*N38</f>
        <v>0.38500000000000001</v>
      </c>
      <c r="R38" s="19"/>
    </row>
    <row r="39" spans="1:18" ht="48" x14ac:dyDescent="0.25">
      <c r="A39" s="1"/>
      <c r="B39" s="16">
        <f t="shared" si="1"/>
        <v>32</v>
      </c>
      <c r="C39" s="21" t="s">
        <v>12</v>
      </c>
      <c r="D39" s="14" t="s">
        <v>60</v>
      </c>
      <c r="E39" s="14" t="s">
        <v>153</v>
      </c>
      <c r="F39" s="14" t="s">
        <v>229</v>
      </c>
      <c r="G39" s="14" t="s">
        <v>293</v>
      </c>
      <c r="H39" s="14" t="s">
        <v>356</v>
      </c>
      <c r="I39" s="50" t="s">
        <v>535</v>
      </c>
      <c r="J39" s="14" t="s">
        <v>412</v>
      </c>
      <c r="K39" s="41" t="s">
        <v>514</v>
      </c>
      <c r="L39" s="14">
        <v>2</v>
      </c>
      <c r="M39" s="14">
        <f>L39*5</f>
        <v>10</v>
      </c>
      <c r="N39" s="14">
        <v>20</v>
      </c>
      <c r="O39" s="49" t="s">
        <v>523</v>
      </c>
      <c r="P39" s="15">
        <v>5.1299999999999998E-2</v>
      </c>
      <c r="Q39" s="15">
        <f>P39*N39</f>
        <v>1.026</v>
      </c>
      <c r="R39" s="14"/>
    </row>
    <row r="40" spans="1:18" x14ac:dyDescent="0.25">
      <c r="A40" s="1"/>
      <c r="B40" s="16">
        <f t="shared" si="1"/>
        <v>33</v>
      </c>
      <c r="C40" s="22" t="s">
        <v>12</v>
      </c>
      <c r="D40" s="19" t="s">
        <v>61</v>
      </c>
      <c r="E40" s="19" t="s">
        <v>154</v>
      </c>
      <c r="F40" s="19" t="s">
        <v>230</v>
      </c>
      <c r="G40" s="44" t="s">
        <v>484</v>
      </c>
      <c r="H40" s="14" t="s">
        <v>527</v>
      </c>
      <c r="I40" s="19" t="s">
        <v>528</v>
      </c>
      <c r="J40" s="14" t="s">
        <v>529</v>
      </c>
      <c r="K40" s="41" t="s">
        <v>514</v>
      </c>
      <c r="L40" s="19">
        <v>1</v>
      </c>
      <c r="M40" s="19">
        <f t="shared" ref="M40" si="29">L40*5</f>
        <v>5</v>
      </c>
      <c r="N40" s="14">
        <v>50</v>
      </c>
      <c r="O40" s="48" t="s">
        <v>523</v>
      </c>
      <c r="P40" s="15">
        <v>1.4500000000000001E-2</v>
      </c>
      <c r="Q40" s="20">
        <f t="shared" ref="Q40" si="30">P40*N40</f>
        <v>0.72500000000000009</v>
      </c>
      <c r="R40" s="19"/>
    </row>
    <row r="41" spans="1:18" ht="24" x14ac:dyDescent="0.25">
      <c r="A41" s="1"/>
      <c r="B41" s="16">
        <f t="shared" si="1"/>
        <v>34</v>
      </c>
      <c r="C41" s="21" t="s">
        <v>13</v>
      </c>
      <c r="D41" s="14" t="s">
        <v>62</v>
      </c>
      <c r="E41" s="14" t="s">
        <v>155</v>
      </c>
      <c r="F41" s="14" t="s">
        <v>531</v>
      </c>
      <c r="G41" s="14" t="s">
        <v>294</v>
      </c>
      <c r="H41" s="14" t="s">
        <v>357</v>
      </c>
      <c r="I41" s="50" t="s">
        <v>535</v>
      </c>
      <c r="J41" s="14" t="s">
        <v>413</v>
      </c>
      <c r="K41" s="41" t="s">
        <v>514</v>
      </c>
      <c r="L41" s="14">
        <v>1</v>
      </c>
      <c r="M41" s="14">
        <f>L41*5</f>
        <v>5</v>
      </c>
      <c r="N41" s="14">
        <v>10</v>
      </c>
      <c r="O41" s="48" t="s">
        <v>523</v>
      </c>
      <c r="P41" s="15">
        <v>0.1482</v>
      </c>
      <c r="Q41" s="15">
        <f>P41*N41</f>
        <v>1.482</v>
      </c>
      <c r="R41" s="14"/>
    </row>
    <row r="42" spans="1:18" ht="48" x14ac:dyDescent="0.25">
      <c r="A42" s="1"/>
      <c r="B42" s="16">
        <f t="shared" si="1"/>
        <v>35</v>
      </c>
      <c r="C42" s="22" t="s">
        <v>12</v>
      </c>
      <c r="D42" s="19" t="s">
        <v>63</v>
      </c>
      <c r="E42" s="19" t="s">
        <v>156</v>
      </c>
      <c r="F42" s="19" t="s">
        <v>231</v>
      </c>
      <c r="G42" s="19" t="s">
        <v>295</v>
      </c>
      <c r="H42" s="19" t="s">
        <v>356</v>
      </c>
      <c r="I42" s="50" t="s">
        <v>535</v>
      </c>
      <c r="J42" s="19" t="s">
        <v>414</v>
      </c>
      <c r="K42" s="41" t="s">
        <v>514</v>
      </c>
      <c r="L42" s="19">
        <v>1</v>
      </c>
      <c r="M42" s="19">
        <f t="shared" ref="M42" si="31">L42*5</f>
        <v>5</v>
      </c>
      <c r="N42" s="19">
        <v>10</v>
      </c>
      <c r="O42" s="48" t="s">
        <v>523</v>
      </c>
      <c r="P42" s="20">
        <v>0.10249999999999999</v>
      </c>
      <c r="Q42" s="20">
        <f t="shared" ref="Q42" si="32">P42*N42</f>
        <v>1.0249999999999999</v>
      </c>
      <c r="R42" s="19"/>
    </row>
    <row r="43" spans="1:18" x14ac:dyDescent="0.25">
      <c r="A43" s="1"/>
      <c r="B43" s="16">
        <f t="shared" si="1"/>
        <v>36</v>
      </c>
      <c r="C43" s="21" t="s">
        <v>14</v>
      </c>
      <c r="D43" s="14" t="s">
        <v>64</v>
      </c>
      <c r="E43" s="14" t="s">
        <v>157</v>
      </c>
      <c r="F43" s="14" t="s">
        <v>531</v>
      </c>
      <c r="G43" s="14">
        <v>1715721</v>
      </c>
      <c r="H43" s="14" t="s">
        <v>358</v>
      </c>
      <c r="I43" s="50" t="s">
        <v>535</v>
      </c>
      <c r="J43" s="14" t="s">
        <v>530</v>
      </c>
      <c r="K43" s="41" t="s">
        <v>514</v>
      </c>
      <c r="L43" s="14">
        <v>1</v>
      </c>
      <c r="M43" s="14">
        <f>L43*5</f>
        <v>5</v>
      </c>
      <c r="N43" s="14">
        <v>6</v>
      </c>
      <c r="O43" s="48" t="s">
        <v>523</v>
      </c>
      <c r="P43" s="15">
        <v>0.30509999999999998</v>
      </c>
      <c r="Q43" s="15">
        <f>P43*N43</f>
        <v>1.8306</v>
      </c>
      <c r="R43" s="14"/>
    </row>
    <row r="44" spans="1:18" x14ac:dyDescent="0.25">
      <c r="A44" s="1"/>
      <c r="B44" s="16">
        <f t="shared" si="1"/>
        <v>37</v>
      </c>
      <c r="C44" s="22" t="s">
        <v>15</v>
      </c>
      <c r="D44" s="19" t="s">
        <v>65</v>
      </c>
      <c r="E44" s="19" t="s">
        <v>158</v>
      </c>
      <c r="F44" s="14" t="s">
        <v>531</v>
      </c>
      <c r="G44" s="19" t="s">
        <v>232</v>
      </c>
      <c r="H44" s="19" t="s">
        <v>359</v>
      </c>
      <c r="I44" s="50" t="s">
        <v>535</v>
      </c>
      <c r="J44" s="19" t="s">
        <v>415</v>
      </c>
      <c r="K44" s="41" t="s">
        <v>514</v>
      </c>
      <c r="L44" s="19">
        <v>1</v>
      </c>
      <c r="M44" s="19">
        <f t="shared" ref="M44" si="33">L44*5</f>
        <v>5</v>
      </c>
      <c r="N44" s="19">
        <v>6</v>
      </c>
      <c r="O44" s="48" t="s">
        <v>523</v>
      </c>
      <c r="P44" s="20">
        <v>1.2242</v>
      </c>
      <c r="Q44" s="20">
        <f t="shared" ref="Q44" si="34">P44*N44</f>
        <v>7.3452000000000002</v>
      </c>
      <c r="R44" s="19"/>
    </row>
    <row r="45" spans="1:18" ht="48" x14ac:dyDescent="0.25">
      <c r="A45" s="1"/>
      <c r="B45" s="16">
        <f t="shared" si="1"/>
        <v>38</v>
      </c>
      <c r="C45" s="21" t="s">
        <v>12</v>
      </c>
      <c r="D45" s="14" t="s">
        <v>66</v>
      </c>
      <c r="E45" s="14" t="s">
        <v>159</v>
      </c>
      <c r="F45" s="14" t="s">
        <v>233</v>
      </c>
      <c r="G45" s="14" t="s">
        <v>296</v>
      </c>
      <c r="H45" s="14" t="s">
        <v>356</v>
      </c>
      <c r="I45" s="50" t="s">
        <v>535</v>
      </c>
      <c r="J45" s="14" t="s">
        <v>416</v>
      </c>
      <c r="K45" s="41" t="s">
        <v>514</v>
      </c>
      <c r="L45" s="14">
        <v>5</v>
      </c>
      <c r="M45" s="14">
        <f>L45*5</f>
        <v>25</v>
      </c>
      <c r="N45" s="14">
        <v>40</v>
      </c>
      <c r="O45" s="48" t="s">
        <v>523</v>
      </c>
      <c r="P45" s="15">
        <v>3.0200000000000001E-2</v>
      </c>
      <c r="Q45" s="15">
        <f>P45*N45</f>
        <v>1.208</v>
      </c>
      <c r="R45" s="14"/>
    </row>
    <row r="46" spans="1:18" ht="60" x14ac:dyDescent="0.25">
      <c r="A46" s="1"/>
      <c r="B46" s="16">
        <f t="shared" si="1"/>
        <v>39</v>
      </c>
      <c r="C46" s="22" t="s">
        <v>16</v>
      </c>
      <c r="D46" s="19" t="s">
        <v>67</v>
      </c>
      <c r="E46" s="19" t="s">
        <v>160</v>
      </c>
      <c r="F46" s="14" t="s">
        <v>531</v>
      </c>
      <c r="G46" s="19" t="s">
        <v>234</v>
      </c>
      <c r="H46" s="19" t="s">
        <v>360</v>
      </c>
      <c r="I46" s="50" t="s">
        <v>535</v>
      </c>
      <c r="J46" s="19" t="s">
        <v>417</v>
      </c>
      <c r="K46" s="41" t="s">
        <v>514</v>
      </c>
      <c r="L46" s="19">
        <v>2</v>
      </c>
      <c r="M46" s="19">
        <f t="shared" ref="M46" si="35">L46*5</f>
        <v>10</v>
      </c>
      <c r="N46" s="19">
        <v>15</v>
      </c>
      <c r="O46" s="48" t="s">
        <v>523</v>
      </c>
      <c r="P46" s="20">
        <v>0.24030000000000001</v>
      </c>
      <c r="Q46" s="20">
        <f t="shared" ref="Q46" si="36">P46*N46</f>
        <v>3.6045000000000003</v>
      </c>
      <c r="R46" s="19"/>
    </row>
    <row r="47" spans="1:18" ht="48" x14ac:dyDescent="0.25">
      <c r="A47" s="1"/>
      <c r="B47" s="16">
        <f t="shared" si="1"/>
        <v>40</v>
      </c>
      <c r="C47" s="21" t="s">
        <v>17</v>
      </c>
      <c r="D47" s="14" t="s">
        <v>68</v>
      </c>
      <c r="E47" s="14" t="s">
        <v>161</v>
      </c>
      <c r="F47" s="14" t="s">
        <v>531</v>
      </c>
      <c r="G47" s="14" t="s">
        <v>235</v>
      </c>
      <c r="H47" s="14" t="s">
        <v>361</v>
      </c>
      <c r="I47" s="50" t="s">
        <v>535</v>
      </c>
      <c r="J47" s="14" t="s">
        <v>418</v>
      </c>
      <c r="K47" s="41" t="s">
        <v>514</v>
      </c>
      <c r="L47" s="14">
        <v>2</v>
      </c>
      <c r="M47" s="14">
        <f>L47*5</f>
        <v>10</v>
      </c>
      <c r="N47" s="14">
        <v>15</v>
      </c>
      <c r="O47" s="48" t="s">
        <v>523</v>
      </c>
      <c r="P47" s="15">
        <v>0.2485</v>
      </c>
      <c r="Q47" s="15">
        <f>P47*N47</f>
        <v>3.7275</v>
      </c>
      <c r="R47" s="14"/>
    </row>
    <row r="48" spans="1:18" ht="36" x14ac:dyDescent="0.25">
      <c r="A48" s="1"/>
      <c r="B48" s="16">
        <f t="shared" si="1"/>
        <v>41</v>
      </c>
      <c r="C48" s="22" t="s">
        <v>18</v>
      </c>
      <c r="D48" s="19" t="s">
        <v>69</v>
      </c>
      <c r="E48" s="19" t="s">
        <v>162</v>
      </c>
      <c r="F48" s="14" t="s">
        <v>531</v>
      </c>
      <c r="G48" s="19" t="s">
        <v>236</v>
      </c>
      <c r="H48" s="19" t="s">
        <v>362</v>
      </c>
      <c r="I48" s="50" t="s">
        <v>535</v>
      </c>
      <c r="J48" s="19" t="s">
        <v>419</v>
      </c>
      <c r="K48" s="41" t="s">
        <v>514</v>
      </c>
      <c r="L48" s="19">
        <v>4</v>
      </c>
      <c r="M48" s="19">
        <f t="shared" ref="M48" si="37">L48*5</f>
        <v>20</v>
      </c>
      <c r="N48" s="14">
        <v>25</v>
      </c>
      <c r="O48" s="48" t="s">
        <v>523</v>
      </c>
      <c r="P48" s="15">
        <v>0.26019999999999999</v>
      </c>
      <c r="Q48" s="20">
        <f t="shared" ref="Q48" si="38">P48*N48</f>
        <v>6.5049999999999999</v>
      </c>
      <c r="R48" s="19"/>
    </row>
    <row r="49" spans="1:18" ht="24" x14ac:dyDescent="0.25">
      <c r="A49" s="1"/>
      <c r="B49" s="16">
        <f t="shared" si="1"/>
        <v>42</v>
      </c>
      <c r="C49" s="21" t="s">
        <v>17</v>
      </c>
      <c r="D49" s="14" t="s">
        <v>70</v>
      </c>
      <c r="E49" s="14" t="s">
        <v>163</v>
      </c>
      <c r="F49" s="14" t="s">
        <v>531</v>
      </c>
      <c r="G49" s="14" t="s">
        <v>237</v>
      </c>
      <c r="H49" s="14" t="s">
        <v>363</v>
      </c>
      <c r="I49" s="50" t="s">
        <v>535</v>
      </c>
      <c r="J49" s="14" t="s">
        <v>532</v>
      </c>
      <c r="K49" s="41" t="s">
        <v>514</v>
      </c>
      <c r="L49" s="14">
        <v>1</v>
      </c>
      <c r="M49" s="14">
        <f>L49*5</f>
        <v>5</v>
      </c>
      <c r="N49" s="14">
        <v>10</v>
      </c>
      <c r="O49" s="48" t="s">
        <v>523</v>
      </c>
      <c r="P49" s="15">
        <v>9.7199999999999995E-2</v>
      </c>
      <c r="Q49" s="15">
        <f>P49*N49</f>
        <v>0.97199999999999998</v>
      </c>
      <c r="R49" s="14"/>
    </row>
    <row r="50" spans="1:18" ht="36" x14ac:dyDescent="0.25">
      <c r="A50" s="1"/>
      <c r="B50" s="16">
        <f t="shared" si="1"/>
        <v>43</v>
      </c>
      <c r="C50" s="22" t="s">
        <v>19</v>
      </c>
      <c r="D50" s="19" t="s">
        <v>71</v>
      </c>
      <c r="E50" s="19" t="s">
        <v>164</v>
      </c>
      <c r="F50" s="14" t="s">
        <v>531</v>
      </c>
      <c r="G50" s="19" t="s">
        <v>238</v>
      </c>
      <c r="H50" s="19" t="s">
        <v>364</v>
      </c>
      <c r="I50" s="50" t="s">
        <v>535</v>
      </c>
      <c r="J50" s="19" t="s">
        <v>420</v>
      </c>
      <c r="K50" s="41" t="s">
        <v>514</v>
      </c>
      <c r="L50" s="19">
        <v>2</v>
      </c>
      <c r="M50" s="19">
        <f t="shared" ref="M50" si="39">L50*5</f>
        <v>10</v>
      </c>
      <c r="N50" s="19">
        <v>11</v>
      </c>
      <c r="O50" s="48" t="s">
        <v>523</v>
      </c>
      <c r="P50" s="20">
        <v>1.1589</v>
      </c>
      <c r="Q50" s="20">
        <f t="shared" ref="Q50" si="40">P50*N50</f>
        <v>12.747900000000001</v>
      </c>
      <c r="R50" s="19"/>
    </row>
    <row r="51" spans="1:18" ht="36" x14ac:dyDescent="0.25">
      <c r="A51" s="1"/>
      <c r="B51" s="16">
        <f t="shared" si="1"/>
        <v>44</v>
      </c>
      <c r="C51" s="21" t="s">
        <v>20</v>
      </c>
      <c r="D51" s="14" t="s">
        <v>72</v>
      </c>
      <c r="E51" s="14" t="s">
        <v>165</v>
      </c>
      <c r="F51" s="14" t="s">
        <v>531</v>
      </c>
      <c r="G51" s="14" t="s">
        <v>239</v>
      </c>
      <c r="H51" s="14" t="s">
        <v>365</v>
      </c>
      <c r="I51" s="50" t="s">
        <v>535</v>
      </c>
      <c r="J51" s="14" t="s">
        <v>421</v>
      </c>
      <c r="K51" s="41" t="s">
        <v>514</v>
      </c>
      <c r="L51" s="14">
        <v>4</v>
      </c>
      <c r="M51" s="14">
        <f>L51*5</f>
        <v>20</v>
      </c>
      <c r="N51" s="19">
        <v>21</v>
      </c>
      <c r="O51" s="48" t="s">
        <v>523</v>
      </c>
      <c r="P51" s="20">
        <v>0.76639999999999997</v>
      </c>
      <c r="Q51" s="15">
        <f>P51*N51</f>
        <v>16.0944</v>
      </c>
      <c r="R51" s="14"/>
    </row>
    <row r="52" spans="1:18" x14ac:dyDescent="0.25">
      <c r="A52" s="1"/>
      <c r="B52" s="16">
        <f t="shared" si="1"/>
        <v>45</v>
      </c>
      <c r="C52" s="22" t="s">
        <v>11</v>
      </c>
      <c r="D52" s="19" t="s">
        <v>73</v>
      </c>
      <c r="E52" s="19" t="s">
        <v>166</v>
      </c>
      <c r="F52" s="19" t="s">
        <v>240</v>
      </c>
      <c r="G52" s="19" t="s">
        <v>297</v>
      </c>
      <c r="H52" s="19" t="s">
        <v>343</v>
      </c>
      <c r="I52" s="50" t="s">
        <v>535</v>
      </c>
      <c r="J52" s="19" t="s">
        <v>422</v>
      </c>
      <c r="K52" s="41" t="s">
        <v>514</v>
      </c>
      <c r="L52" s="19">
        <v>1</v>
      </c>
      <c r="M52" s="19">
        <f t="shared" ref="M52" si="41">L52*5</f>
        <v>5</v>
      </c>
      <c r="N52" s="14">
        <v>100</v>
      </c>
      <c r="O52" s="48" t="s">
        <v>523</v>
      </c>
      <c r="P52" s="15">
        <v>3.3E-3</v>
      </c>
      <c r="Q52" s="20">
        <f t="shared" ref="Q52" si="42">P52*N52</f>
        <v>0.33</v>
      </c>
      <c r="R52" s="19"/>
    </row>
    <row r="53" spans="1:18" x14ac:dyDescent="0.25">
      <c r="A53" s="1"/>
      <c r="B53" s="16">
        <f t="shared" si="1"/>
        <v>46</v>
      </c>
      <c r="C53" s="21" t="s">
        <v>21</v>
      </c>
      <c r="D53" s="14" t="s">
        <v>74</v>
      </c>
      <c r="E53" s="14" t="s">
        <v>167</v>
      </c>
      <c r="F53" s="14" t="s">
        <v>531</v>
      </c>
      <c r="G53" s="14" t="s">
        <v>298</v>
      </c>
      <c r="H53" s="14" t="s">
        <v>366</v>
      </c>
      <c r="I53" s="50" t="s">
        <v>535</v>
      </c>
      <c r="J53" s="14" t="s">
        <v>423</v>
      </c>
      <c r="K53" s="41" t="s">
        <v>485</v>
      </c>
      <c r="L53" s="14">
        <v>1</v>
      </c>
      <c r="M53" s="14">
        <f>L53*5</f>
        <v>5</v>
      </c>
      <c r="N53" s="19">
        <v>10</v>
      </c>
      <c r="O53" s="48" t="s">
        <v>523</v>
      </c>
      <c r="P53" s="20">
        <v>8.9499999999999996E-2</v>
      </c>
      <c r="Q53" s="15">
        <f>P53*N53</f>
        <v>0.89500000000000002</v>
      </c>
      <c r="R53" s="14"/>
    </row>
    <row r="54" spans="1:18" ht="24" x14ac:dyDescent="0.25">
      <c r="A54" s="1"/>
      <c r="B54" s="16">
        <f t="shared" si="1"/>
        <v>47</v>
      </c>
      <c r="C54" s="22" t="s">
        <v>22</v>
      </c>
      <c r="D54" s="19" t="s">
        <v>75</v>
      </c>
      <c r="E54" s="19" t="s">
        <v>168</v>
      </c>
      <c r="F54" s="19" t="s">
        <v>241</v>
      </c>
      <c r="G54" s="19" t="s">
        <v>299</v>
      </c>
      <c r="H54" s="19" t="s">
        <v>367</v>
      </c>
      <c r="I54" s="50" t="s">
        <v>535</v>
      </c>
      <c r="J54" s="19" t="s">
        <v>424</v>
      </c>
      <c r="K54" s="42" t="s">
        <v>514</v>
      </c>
      <c r="L54" s="19">
        <v>4</v>
      </c>
      <c r="M54" s="19">
        <f t="shared" ref="M54" si="43">L54*5</f>
        <v>20</v>
      </c>
      <c r="N54" s="14">
        <v>20</v>
      </c>
      <c r="O54" s="48" t="s">
        <v>523</v>
      </c>
      <c r="P54" s="15">
        <v>2.2700000000000001E-2</v>
      </c>
      <c r="Q54" s="20">
        <f t="shared" ref="Q54" si="44">P54*N54</f>
        <v>0.45400000000000001</v>
      </c>
      <c r="R54" s="19"/>
    </row>
    <row r="55" spans="1:18" ht="24" x14ac:dyDescent="0.25">
      <c r="A55" s="1"/>
      <c r="B55" s="16">
        <f t="shared" si="1"/>
        <v>48</v>
      </c>
      <c r="C55" s="21" t="s">
        <v>22</v>
      </c>
      <c r="D55" s="14" t="s">
        <v>76</v>
      </c>
      <c r="E55" s="14" t="s">
        <v>169</v>
      </c>
      <c r="F55" s="14" t="s">
        <v>241</v>
      </c>
      <c r="G55" s="14" t="s">
        <v>300</v>
      </c>
      <c r="H55" s="14" t="s">
        <v>367</v>
      </c>
      <c r="I55" s="50" t="s">
        <v>535</v>
      </c>
      <c r="J55" s="14" t="s">
        <v>425</v>
      </c>
      <c r="K55" s="42" t="s">
        <v>514</v>
      </c>
      <c r="L55" s="14">
        <v>1</v>
      </c>
      <c r="M55" s="14">
        <f>L55*5</f>
        <v>5</v>
      </c>
      <c r="N55" s="14">
        <v>20</v>
      </c>
      <c r="O55" s="48" t="s">
        <v>523</v>
      </c>
      <c r="P55" s="15">
        <v>2.2499999999999999E-2</v>
      </c>
      <c r="Q55" s="15">
        <f>P55*N55</f>
        <v>0.44999999999999996</v>
      </c>
      <c r="R55" s="14"/>
    </row>
    <row r="56" spans="1:18" x14ac:dyDescent="0.25">
      <c r="A56" s="1"/>
      <c r="B56" s="16">
        <f t="shared" si="1"/>
        <v>49</v>
      </c>
      <c r="C56" s="22" t="s">
        <v>23</v>
      </c>
      <c r="D56" s="19" t="s">
        <v>77</v>
      </c>
      <c r="E56" s="19" t="s">
        <v>170</v>
      </c>
      <c r="F56" s="19" t="s">
        <v>225</v>
      </c>
      <c r="G56" s="19" t="s">
        <v>301</v>
      </c>
      <c r="H56" s="19" t="s">
        <v>351</v>
      </c>
      <c r="I56" s="50" t="s">
        <v>535</v>
      </c>
      <c r="J56" s="19" t="s">
        <v>426</v>
      </c>
      <c r="K56" s="42" t="s">
        <v>514</v>
      </c>
      <c r="L56" s="19">
        <v>4</v>
      </c>
      <c r="M56" s="19">
        <f t="shared" ref="M56" si="45">L56*5</f>
        <v>20</v>
      </c>
      <c r="N56" s="19">
        <v>40</v>
      </c>
      <c r="O56" s="48" t="s">
        <v>523</v>
      </c>
      <c r="P56" s="20">
        <v>2.12E-2</v>
      </c>
      <c r="Q56" s="20">
        <f t="shared" ref="Q56" si="46">P56*N56</f>
        <v>0.84799999999999998</v>
      </c>
      <c r="R56" s="19"/>
    </row>
    <row r="57" spans="1:18" ht="36" x14ac:dyDescent="0.25">
      <c r="A57" s="1"/>
      <c r="B57" s="16">
        <f t="shared" si="1"/>
        <v>50</v>
      </c>
      <c r="C57" s="21" t="s">
        <v>24</v>
      </c>
      <c r="D57" s="14" t="s">
        <v>78</v>
      </c>
      <c r="E57" s="14" t="s">
        <v>171</v>
      </c>
      <c r="F57" s="14" t="s">
        <v>242</v>
      </c>
      <c r="G57" s="14" t="s">
        <v>302</v>
      </c>
      <c r="H57" s="14" t="s">
        <v>344</v>
      </c>
      <c r="I57" s="50" t="s">
        <v>535</v>
      </c>
      <c r="J57" s="14" t="s">
        <v>427</v>
      </c>
      <c r="K57" s="41" t="s">
        <v>486</v>
      </c>
      <c r="L57" s="14">
        <v>20</v>
      </c>
      <c r="M57" s="14">
        <f>L57*5</f>
        <v>100</v>
      </c>
      <c r="N57" s="14">
        <v>200</v>
      </c>
      <c r="O57" s="48" t="s">
        <v>523</v>
      </c>
      <c r="P57" s="15">
        <v>5.0000000000000001E-4</v>
      </c>
      <c r="Q57" s="15">
        <f>P57*N57</f>
        <v>0.1</v>
      </c>
      <c r="R57" s="14"/>
    </row>
    <row r="58" spans="1:18" x14ac:dyDescent="0.25">
      <c r="A58" s="1"/>
      <c r="B58" s="16">
        <f t="shared" si="1"/>
        <v>51</v>
      </c>
      <c r="C58" s="22" t="s">
        <v>24</v>
      </c>
      <c r="D58" s="44" t="s">
        <v>79</v>
      </c>
      <c r="E58" s="44" t="s">
        <v>172</v>
      </c>
      <c r="F58" s="43" t="s">
        <v>243</v>
      </c>
      <c r="G58" s="44" t="s">
        <v>303</v>
      </c>
      <c r="H58" s="44" t="s">
        <v>344</v>
      </c>
      <c r="I58" s="50" t="s">
        <v>535</v>
      </c>
      <c r="J58" s="44" t="s">
        <v>428</v>
      </c>
      <c r="K58" s="44" t="s">
        <v>469</v>
      </c>
      <c r="L58" s="44">
        <v>2</v>
      </c>
      <c r="M58" s="44">
        <f t="shared" ref="M58" si="47">L58*5</f>
        <v>10</v>
      </c>
      <c r="N58" s="44" t="s">
        <v>514</v>
      </c>
      <c r="O58" s="45" t="s">
        <v>523</v>
      </c>
      <c r="P58" s="46" t="s">
        <v>514</v>
      </c>
      <c r="Q58" s="46" t="s">
        <v>514</v>
      </c>
      <c r="R58" s="47" t="s">
        <v>524</v>
      </c>
    </row>
    <row r="59" spans="1:18" x14ac:dyDescent="0.25">
      <c r="A59" s="1"/>
      <c r="B59" s="16">
        <f t="shared" si="1"/>
        <v>52</v>
      </c>
      <c r="C59" s="21" t="s">
        <v>24</v>
      </c>
      <c r="D59" s="14" t="s">
        <v>80</v>
      </c>
      <c r="E59" s="14" t="s">
        <v>172</v>
      </c>
      <c r="F59" s="14" t="s">
        <v>243</v>
      </c>
      <c r="G59" s="14" t="s">
        <v>303</v>
      </c>
      <c r="H59" s="14" t="s">
        <v>344</v>
      </c>
      <c r="I59" s="50" t="s">
        <v>535</v>
      </c>
      <c r="J59" s="14" t="s">
        <v>428</v>
      </c>
      <c r="K59" s="41" t="s">
        <v>487</v>
      </c>
      <c r="L59" s="14">
        <v>2</v>
      </c>
      <c r="M59" s="14">
        <f>L59*5</f>
        <v>10</v>
      </c>
      <c r="N59" s="19">
        <v>100</v>
      </c>
      <c r="O59" s="48" t="s">
        <v>523</v>
      </c>
      <c r="P59" s="20">
        <v>1E-3</v>
      </c>
      <c r="Q59" s="15">
        <f>P59*N59</f>
        <v>0.1</v>
      </c>
      <c r="R59" s="14"/>
    </row>
    <row r="60" spans="1:18" ht="24" x14ac:dyDescent="0.25">
      <c r="A60" s="1"/>
      <c r="B60" s="16">
        <f t="shared" si="1"/>
        <v>53</v>
      </c>
      <c r="C60" s="22" t="s">
        <v>24</v>
      </c>
      <c r="D60" s="19" t="s">
        <v>81</v>
      </c>
      <c r="E60" s="19" t="s">
        <v>173</v>
      </c>
      <c r="F60" s="19" t="s">
        <v>242</v>
      </c>
      <c r="G60" s="19" t="s">
        <v>304</v>
      </c>
      <c r="H60" s="19" t="s">
        <v>344</v>
      </c>
      <c r="I60" s="50" t="s">
        <v>535</v>
      </c>
      <c r="J60" s="19" t="s">
        <v>429</v>
      </c>
      <c r="K60" s="42" t="s">
        <v>488</v>
      </c>
      <c r="L60" s="19">
        <v>11</v>
      </c>
      <c r="M60" s="19">
        <f t="shared" ref="M60" si="48">L60*5</f>
        <v>55</v>
      </c>
      <c r="N60" s="19">
        <v>100</v>
      </c>
      <c r="O60" s="48" t="s">
        <v>523</v>
      </c>
      <c r="P60" s="20">
        <v>6.9999999999999999E-4</v>
      </c>
      <c r="Q60" s="20">
        <f t="shared" ref="Q60" si="49">P60*N60</f>
        <v>6.9999999999999993E-2</v>
      </c>
      <c r="R60" s="19"/>
    </row>
    <row r="61" spans="1:18" x14ac:dyDescent="0.25">
      <c r="A61" s="1"/>
      <c r="B61" s="16">
        <f t="shared" si="1"/>
        <v>54</v>
      </c>
      <c r="C61" s="21" t="s">
        <v>24</v>
      </c>
      <c r="D61" s="14" t="s">
        <v>82</v>
      </c>
      <c r="E61" s="14" t="s">
        <v>174</v>
      </c>
      <c r="F61" s="14" t="s">
        <v>242</v>
      </c>
      <c r="G61" s="14" t="s">
        <v>305</v>
      </c>
      <c r="H61" s="14" t="s">
        <v>344</v>
      </c>
      <c r="I61" s="50" t="s">
        <v>535</v>
      </c>
      <c r="J61" s="14" t="s">
        <v>430</v>
      </c>
      <c r="K61" s="41" t="s">
        <v>489</v>
      </c>
      <c r="L61" s="14">
        <v>1</v>
      </c>
      <c r="M61" s="14">
        <f>L61*5</f>
        <v>5</v>
      </c>
      <c r="N61" s="19">
        <v>100</v>
      </c>
      <c r="O61" s="48" t="s">
        <v>523</v>
      </c>
      <c r="P61" s="20">
        <v>2.8E-3</v>
      </c>
      <c r="Q61" s="15">
        <f>P61*N61</f>
        <v>0.27999999999999997</v>
      </c>
      <c r="R61" s="14"/>
    </row>
    <row r="62" spans="1:18" x14ac:dyDescent="0.25">
      <c r="A62" s="1"/>
      <c r="B62" s="16">
        <f t="shared" si="1"/>
        <v>55</v>
      </c>
      <c r="C62" s="22" t="s">
        <v>24</v>
      </c>
      <c r="D62" s="19" t="s">
        <v>83</v>
      </c>
      <c r="E62" s="19" t="s">
        <v>175</v>
      </c>
      <c r="F62" s="19" t="s">
        <v>242</v>
      </c>
      <c r="G62" s="19" t="s">
        <v>306</v>
      </c>
      <c r="H62" s="19" t="s">
        <v>344</v>
      </c>
      <c r="I62" s="50" t="s">
        <v>535</v>
      </c>
      <c r="J62" s="19" t="s">
        <v>431</v>
      </c>
      <c r="K62" s="42" t="s">
        <v>490</v>
      </c>
      <c r="L62" s="19">
        <v>2</v>
      </c>
      <c r="M62" s="19">
        <f t="shared" ref="M62" si="50">L62*5</f>
        <v>10</v>
      </c>
      <c r="N62" s="14">
        <v>100</v>
      </c>
      <c r="O62" s="48" t="s">
        <v>523</v>
      </c>
      <c r="P62" s="15">
        <v>6.9999999999999999E-4</v>
      </c>
      <c r="Q62" s="20">
        <f t="shared" ref="Q62" si="51">P62*N62</f>
        <v>6.9999999999999993E-2</v>
      </c>
      <c r="R62" s="19"/>
    </row>
    <row r="63" spans="1:18" x14ac:dyDescent="0.25">
      <c r="A63" s="1"/>
      <c r="B63" s="16">
        <f t="shared" si="1"/>
        <v>56</v>
      </c>
      <c r="C63" s="22" t="s">
        <v>24</v>
      </c>
      <c r="D63" s="14" t="s">
        <v>84</v>
      </c>
      <c r="E63" s="14" t="s">
        <v>176</v>
      </c>
      <c r="F63" s="14" t="s">
        <v>242</v>
      </c>
      <c r="G63" s="14" t="s">
        <v>307</v>
      </c>
      <c r="H63" s="14" t="s">
        <v>344</v>
      </c>
      <c r="I63" s="50" t="s">
        <v>535</v>
      </c>
      <c r="J63" s="14" t="s">
        <v>432</v>
      </c>
      <c r="K63" s="41" t="s">
        <v>491</v>
      </c>
      <c r="L63" s="14">
        <v>8</v>
      </c>
      <c r="M63" s="14">
        <f>L63*5</f>
        <v>40</v>
      </c>
      <c r="N63" s="14">
        <v>100</v>
      </c>
      <c r="O63" s="49" t="s">
        <v>523</v>
      </c>
      <c r="P63" s="15">
        <v>6.9999999999999999E-4</v>
      </c>
      <c r="Q63" s="15">
        <f>P63*N63</f>
        <v>6.9999999999999993E-2</v>
      </c>
      <c r="R63" s="14"/>
    </row>
    <row r="64" spans="1:18" x14ac:dyDescent="0.25">
      <c r="A64" s="1"/>
      <c r="B64" s="16">
        <f t="shared" si="1"/>
        <v>57</v>
      </c>
      <c r="C64" s="22" t="s">
        <v>24</v>
      </c>
      <c r="D64" s="19" t="s">
        <v>85</v>
      </c>
      <c r="E64" s="19" t="s">
        <v>177</v>
      </c>
      <c r="F64" s="19" t="s">
        <v>242</v>
      </c>
      <c r="G64" s="19" t="s">
        <v>308</v>
      </c>
      <c r="H64" s="19" t="s">
        <v>344</v>
      </c>
      <c r="I64" s="50" t="s">
        <v>535</v>
      </c>
      <c r="J64" s="19" t="s">
        <v>433</v>
      </c>
      <c r="K64" s="42" t="s">
        <v>492</v>
      </c>
      <c r="L64" s="19">
        <v>1</v>
      </c>
      <c r="M64" s="19">
        <f t="shared" ref="M64" si="52">L64*5</f>
        <v>5</v>
      </c>
      <c r="N64" s="19">
        <v>20</v>
      </c>
      <c r="O64" s="48" t="s">
        <v>523</v>
      </c>
      <c r="P64" s="20">
        <v>2.7400000000000001E-2</v>
      </c>
      <c r="Q64" s="20">
        <f t="shared" ref="Q64" si="53">P64*N64</f>
        <v>0.54800000000000004</v>
      </c>
      <c r="R64" s="19"/>
    </row>
    <row r="65" spans="1:18" x14ac:dyDescent="0.25">
      <c r="A65" s="1"/>
      <c r="B65" s="16">
        <f t="shared" si="1"/>
        <v>58</v>
      </c>
      <c r="C65" s="22" t="s">
        <v>24</v>
      </c>
      <c r="D65" s="14" t="s">
        <v>86</v>
      </c>
      <c r="E65" s="14" t="s">
        <v>178</v>
      </c>
      <c r="F65" s="14" t="s">
        <v>242</v>
      </c>
      <c r="G65" s="14" t="s">
        <v>309</v>
      </c>
      <c r="H65" s="14" t="s">
        <v>344</v>
      </c>
      <c r="I65" s="50" t="s">
        <v>535</v>
      </c>
      <c r="J65" s="14" t="s">
        <v>434</v>
      </c>
      <c r="K65" s="41" t="s">
        <v>493</v>
      </c>
      <c r="L65" s="14">
        <v>1</v>
      </c>
      <c r="M65" s="14">
        <f>L65*5</f>
        <v>5</v>
      </c>
      <c r="N65" s="14">
        <v>50</v>
      </c>
      <c r="O65" s="48" t="s">
        <v>523</v>
      </c>
      <c r="P65" s="15">
        <v>1.8200000000000001E-2</v>
      </c>
      <c r="Q65" s="15">
        <f>P65*N65</f>
        <v>0.91</v>
      </c>
      <c r="R65" s="14"/>
    </row>
    <row r="66" spans="1:18" x14ac:dyDescent="0.25">
      <c r="A66" s="1"/>
      <c r="B66" s="16">
        <f t="shared" si="1"/>
        <v>59</v>
      </c>
      <c r="C66" s="22" t="s">
        <v>24</v>
      </c>
      <c r="D66" s="19" t="s">
        <v>87</v>
      </c>
      <c r="E66" s="19" t="s">
        <v>179</v>
      </c>
      <c r="F66" s="19" t="s">
        <v>242</v>
      </c>
      <c r="G66" s="19" t="s">
        <v>310</v>
      </c>
      <c r="H66" s="19" t="s">
        <v>344</v>
      </c>
      <c r="I66" s="50" t="s">
        <v>535</v>
      </c>
      <c r="J66" s="19" t="s">
        <v>435</v>
      </c>
      <c r="K66" s="42" t="s">
        <v>494</v>
      </c>
      <c r="L66" s="19">
        <v>1</v>
      </c>
      <c r="M66" s="19">
        <f t="shared" ref="M66" si="54">L66*5</f>
        <v>5</v>
      </c>
      <c r="N66" s="19">
        <v>100</v>
      </c>
      <c r="O66" s="48" t="s">
        <v>523</v>
      </c>
      <c r="P66" s="20">
        <v>5.9999999999999995E-4</v>
      </c>
      <c r="Q66" s="20">
        <f t="shared" ref="Q66" si="55">P66*N66</f>
        <v>0.06</v>
      </c>
      <c r="R66" s="19"/>
    </row>
    <row r="67" spans="1:18" x14ac:dyDescent="0.25">
      <c r="A67" s="1"/>
      <c r="B67" s="16">
        <f t="shared" si="1"/>
        <v>60</v>
      </c>
      <c r="C67" s="22" t="s">
        <v>24</v>
      </c>
      <c r="D67" s="14" t="s">
        <v>88</v>
      </c>
      <c r="E67" s="14" t="s">
        <v>180</v>
      </c>
      <c r="F67" s="14" t="s">
        <v>242</v>
      </c>
      <c r="G67" s="14" t="s">
        <v>311</v>
      </c>
      <c r="H67" s="14" t="s">
        <v>344</v>
      </c>
      <c r="I67" s="50" t="s">
        <v>535</v>
      </c>
      <c r="J67" s="14" t="s">
        <v>436</v>
      </c>
      <c r="K67" s="41" t="s">
        <v>495</v>
      </c>
      <c r="L67" s="14">
        <v>5</v>
      </c>
      <c r="M67" s="14">
        <f>L67*5</f>
        <v>25</v>
      </c>
      <c r="N67" s="14">
        <v>100</v>
      </c>
      <c r="O67" s="48" t="s">
        <v>523</v>
      </c>
      <c r="P67" s="15">
        <v>6.9999999999999999E-4</v>
      </c>
      <c r="Q67" s="15">
        <f>P67*N67</f>
        <v>6.9999999999999993E-2</v>
      </c>
      <c r="R67" s="14"/>
    </row>
    <row r="68" spans="1:18" x14ac:dyDescent="0.25">
      <c r="A68" s="1"/>
      <c r="B68" s="16">
        <f t="shared" si="1"/>
        <v>61</v>
      </c>
      <c r="C68" s="22" t="s">
        <v>24</v>
      </c>
      <c r="D68" s="19" t="s">
        <v>89</v>
      </c>
      <c r="E68" s="19" t="s">
        <v>181</v>
      </c>
      <c r="F68" s="19" t="s">
        <v>242</v>
      </c>
      <c r="G68" s="19" t="s">
        <v>312</v>
      </c>
      <c r="H68" s="19" t="s">
        <v>344</v>
      </c>
      <c r="I68" s="50" t="s">
        <v>535</v>
      </c>
      <c r="J68" s="19" t="s">
        <v>437</v>
      </c>
      <c r="K68" s="42" t="s">
        <v>496</v>
      </c>
      <c r="L68" s="19">
        <v>1</v>
      </c>
      <c r="M68" s="19">
        <f t="shared" ref="M68" si="56">L68*5</f>
        <v>5</v>
      </c>
      <c r="N68" s="14">
        <v>100</v>
      </c>
      <c r="O68" s="48" t="s">
        <v>523</v>
      </c>
      <c r="P68" s="15">
        <v>5.9999999999999995E-4</v>
      </c>
      <c r="Q68" s="20">
        <f t="shared" ref="Q68" si="57">P68*N68</f>
        <v>0.06</v>
      </c>
      <c r="R68" s="19"/>
    </row>
    <row r="69" spans="1:18" x14ac:dyDescent="0.25">
      <c r="A69" s="1"/>
      <c r="B69" s="16">
        <f t="shared" si="1"/>
        <v>62</v>
      </c>
      <c r="C69" s="21" t="s">
        <v>24</v>
      </c>
      <c r="D69" s="19" t="s">
        <v>544</v>
      </c>
      <c r="E69" s="14" t="s">
        <v>182</v>
      </c>
      <c r="F69" s="14" t="s">
        <v>242</v>
      </c>
      <c r="G69" s="14" t="s">
        <v>313</v>
      </c>
      <c r="H69" s="14" t="s">
        <v>344</v>
      </c>
      <c r="I69" s="50" t="s">
        <v>535</v>
      </c>
      <c r="J69" s="14" t="s">
        <v>438</v>
      </c>
      <c r="K69" s="41" t="s">
        <v>497</v>
      </c>
      <c r="L69" s="14">
        <v>3</v>
      </c>
      <c r="M69" s="14">
        <f>L69*5</f>
        <v>15</v>
      </c>
      <c r="N69" s="14">
        <v>100</v>
      </c>
      <c r="O69" s="48" t="s">
        <v>523</v>
      </c>
      <c r="P69" s="15">
        <v>5.9999999999999995E-4</v>
      </c>
      <c r="Q69" s="15">
        <f>P69*N69</f>
        <v>0.06</v>
      </c>
      <c r="R69" s="14"/>
    </row>
    <row r="70" spans="1:18" x14ac:dyDescent="0.25">
      <c r="A70" s="1"/>
      <c r="B70" s="16">
        <f t="shared" si="1"/>
        <v>63</v>
      </c>
      <c r="C70" s="22" t="s">
        <v>24</v>
      </c>
      <c r="D70" s="19" t="s">
        <v>90</v>
      </c>
      <c r="E70" s="19" t="s">
        <v>183</v>
      </c>
      <c r="F70" s="19" t="s">
        <v>242</v>
      </c>
      <c r="G70" s="19" t="s">
        <v>314</v>
      </c>
      <c r="H70" s="19" t="s">
        <v>368</v>
      </c>
      <c r="I70" s="50" t="s">
        <v>535</v>
      </c>
      <c r="J70" s="19" t="s">
        <v>439</v>
      </c>
      <c r="K70" s="42" t="s">
        <v>498</v>
      </c>
      <c r="L70" s="19">
        <v>2</v>
      </c>
      <c r="M70" s="19">
        <f t="shared" ref="M70" si="58">L70*5</f>
        <v>10</v>
      </c>
      <c r="N70" s="14">
        <v>100</v>
      </c>
      <c r="O70" s="48" t="s">
        <v>523</v>
      </c>
      <c r="P70" s="15">
        <v>6.9999999999999999E-4</v>
      </c>
      <c r="Q70" s="20">
        <f t="shared" ref="Q70" si="59">P70*N70</f>
        <v>6.9999999999999993E-2</v>
      </c>
      <c r="R70" s="19"/>
    </row>
    <row r="71" spans="1:18" ht="24" x14ac:dyDescent="0.25">
      <c r="A71" s="1"/>
      <c r="B71" s="16">
        <f t="shared" si="1"/>
        <v>64</v>
      </c>
      <c r="C71" s="22" t="s">
        <v>24</v>
      </c>
      <c r="D71" s="14" t="s">
        <v>91</v>
      </c>
      <c r="E71" s="14" t="s">
        <v>184</v>
      </c>
      <c r="F71" s="14" t="s">
        <v>242</v>
      </c>
      <c r="G71" s="14" t="s">
        <v>315</v>
      </c>
      <c r="H71" s="14" t="s">
        <v>344</v>
      </c>
      <c r="I71" s="50" t="s">
        <v>535</v>
      </c>
      <c r="J71" s="14" t="s">
        <v>440</v>
      </c>
      <c r="K71" s="41" t="s">
        <v>487</v>
      </c>
      <c r="L71" s="14">
        <v>12</v>
      </c>
      <c r="M71" s="14">
        <f>L71*5</f>
        <v>60</v>
      </c>
      <c r="N71" s="14">
        <v>100</v>
      </c>
      <c r="O71" s="48" t="s">
        <v>523</v>
      </c>
      <c r="P71" s="15">
        <v>5.9999999999999995E-4</v>
      </c>
      <c r="Q71" s="15">
        <f>P71*N71</f>
        <v>0.06</v>
      </c>
      <c r="R71" s="14"/>
    </row>
    <row r="72" spans="1:18" ht="36" x14ac:dyDescent="0.25">
      <c r="A72" s="1"/>
      <c r="B72" s="16">
        <f t="shared" si="1"/>
        <v>65</v>
      </c>
      <c r="C72" s="22" t="s">
        <v>24</v>
      </c>
      <c r="D72" s="19" t="s">
        <v>92</v>
      </c>
      <c r="E72" s="19" t="s">
        <v>185</v>
      </c>
      <c r="F72" s="19" t="s">
        <v>243</v>
      </c>
      <c r="G72" s="19" t="s">
        <v>316</v>
      </c>
      <c r="H72" s="19" t="s">
        <v>369</v>
      </c>
      <c r="I72" s="50" t="s">
        <v>535</v>
      </c>
      <c r="J72" s="19" t="s">
        <v>441</v>
      </c>
      <c r="K72" s="42" t="s">
        <v>499</v>
      </c>
      <c r="L72" s="19">
        <v>4</v>
      </c>
      <c r="M72" s="19">
        <f t="shared" ref="M72" si="60">L72*5</f>
        <v>20</v>
      </c>
      <c r="N72" s="19">
        <v>100</v>
      </c>
      <c r="O72" s="48" t="s">
        <v>523</v>
      </c>
      <c r="P72" s="20">
        <v>5.9999999999999995E-4</v>
      </c>
      <c r="Q72" s="20">
        <f t="shared" ref="Q72" si="61">P72*N72</f>
        <v>0.06</v>
      </c>
      <c r="R72" s="19"/>
    </row>
    <row r="73" spans="1:18" x14ac:dyDescent="0.25">
      <c r="A73" s="1"/>
      <c r="B73" s="16">
        <f t="shared" ref="B73:B105" si="62">ROW(B73) - ROW($B$7)</f>
        <v>66</v>
      </c>
      <c r="C73" s="21" t="s">
        <v>24</v>
      </c>
      <c r="D73" s="14" t="s">
        <v>93</v>
      </c>
      <c r="E73" s="14" t="s">
        <v>186</v>
      </c>
      <c r="F73" s="14" t="s">
        <v>243</v>
      </c>
      <c r="G73" s="14" t="s">
        <v>317</v>
      </c>
      <c r="H73" s="14" t="s">
        <v>344</v>
      </c>
      <c r="I73" s="50" t="s">
        <v>535</v>
      </c>
      <c r="J73" s="14" t="s">
        <v>442</v>
      </c>
      <c r="K73" s="41" t="s">
        <v>500</v>
      </c>
      <c r="L73" s="14">
        <v>1</v>
      </c>
      <c r="M73" s="14">
        <f>L73*5</f>
        <v>5</v>
      </c>
      <c r="N73" s="19">
        <v>100</v>
      </c>
      <c r="O73" s="48" t="s">
        <v>523</v>
      </c>
      <c r="P73" s="20">
        <v>1E-3</v>
      </c>
      <c r="Q73" s="15">
        <f>P73*N73</f>
        <v>0.1</v>
      </c>
      <c r="R73" s="14"/>
    </row>
    <row r="74" spans="1:18" x14ac:dyDescent="0.25">
      <c r="A74" s="1"/>
      <c r="B74" s="16">
        <f t="shared" si="62"/>
        <v>67</v>
      </c>
      <c r="C74" s="22" t="s">
        <v>24</v>
      </c>
      <c r="D74" s="19" t="s">
        <v>94</v>
      </c>
      <c r="E74" s="19" t="s">
        <v>187</v>
      </c>
      <c r="F74" s="19" t="s">
        <v>244</v>
      </c>
      <c r="G74" s="19" t="s">
        <v>318</v>
      </c>
      <c r="H74" s="19" t="s">
        <v>344</v>
      </c>
      <c r="I74" s="50" t="s">
        <v>535</v>
      </c>
      <c r="J74" s="19" t="s">
        <v>443</v>
      </c>
      <c r="K74" s="42" t="s">
        <v>501</v>
      </c>
      <c r="L74" s="19">
        <v>4</v>
      </c>
      <c r="M74" s="19">
        <f t="shared" ref="M74" si="63">L74*5</f>
        <v>20</v>
      </c>
      <c r="N74" s="14">
        <v>100</v>
      </c>
      <c r="O74" s="48" t="s">
        <v>523</v>
      </c>
      <c r="P74" s="15">
        <v>8.9999999999999998E-4</v>
      </c>
      <c r="Q74" s="20">
        <f t="shared" ref="Q74" si="64">P74*N74</f>
        <v>0.09</v>
      </c>
      <c r="R74" s="19"/>
    </row>
    <row r="75" spans="1:18" ht="48" x14ac:dyDescent="0.25">
      <c r="A75" s="1"/>
      <c r="B75" s="16">
        <f t="shared" si="62"/>
        <v>68</v>
      </c>
      <c r="C75" s="21" t="s">
        <v>24</v>
      </c>
      <c r="D75" s="14" t="s">
        <v>95</v>
      </c>
      <c r="E75" s="14" t="s">
        <v>188</v>
      </c>
      <c r="F75" s="14" t="s">
        <v>245</v>
      </c>
      <c r="G75" s="14" t="s">
        <v>319</v>
      </c>
      <c r="H75" s="14" t="s">
        <v>369</v>
      </c>
      <c r="I75" s="50" t="s">
        <v>535</v>
      </c>
      <c r="J75" s="14" t="s">
        <v>444</v>
      </c>
      <c r="K75" s="41" t="s">
        <v>502</v>
      </c>
      <c r="L75" s="14">
        <v>4</v>
      </c>
      <c r="M75" s="14">
        <f>L75*5</f>
        <v>20</v>
      </c>
      <c r="N75" s="19">
        <v>25</v>
      </c>
      <c r="O75" s="48" t="s">
        <v>523</v>
      </c>
      <c r="P75" s="20">
        <v>8.5000000000000006E-2</v>
      </c>
      <c r="Q75" s="15">
        <f>P75*N75</f>
        <v>2.125</v>
      </c>
      <c r="R75" s="14"/>
    </row>
    <row r="76" spans="1:18" x14ac:dyDescent="0.25">
      <c r="A76" s="1"/>
      <c r="B76" s="16">
        <f t="shared" si="62"/>
        <v>69</v>
      </c>
      <c r="C76" s="21" t="s">
        <v>24</v>
      </c>
      <c r="D76" s="19" t="s">
        <v>96</v>
      </c>
      <c r="E76" s="19" t="s">
        <v>189</v>
      </c>
      <c r="F76" s="19" t="s">
        <v>242</v>
      </c>
      <c r="G76" s="19" t="s">
        <v>320</v>
      </c>
      <c r="H76" s="19" t="s">
        <v>370</v>
      </c>
      <c r="I76" s="50" t="s">
        <v>535</v>
      </c>
      <c r="J76" s="19" t="s">
        <v>445</v>
      </c>
      <c r="K76" s="42" t="s">
        <v>503</v>
      </c>
      <c r="L76" s="19">
        <v>8</v>
      </c>
      <c r="M76" s="19">
        <f t="shared" ref="M76" si="65">L76*5</f>
        <v>40</v>
      </c>
      <c r="N76" s="14">
        <v>100</v>
      </c>
      <c r="O76" s="48" t="s">
        <v>523</v>
      </c>
      <c r="P76" s="15">
        <v>2.07E-2</v>
      </c>
      <c r="Q76" s="20">
        <f t="shared" ref="Q76" si="66">P76*N76</f>
        <v>2.0699999999999998</v>
      </c>
      <c r="R76" s="19"/>
    </row>
    <row r="77" spans="1:18" x14ac:dyDescent="0.25">
      <c r="A77" s="1"/>
      <c r="B77" s="16">
        <f t="shared" si="62"/>
        <v>70</v>
      </c>
      <c r="C77" s="21" t="s">
        <v>24</v>
      </c>
      <c r="D77" s="14" t="s">
        <v>97</v>
      </c>
      <c r="E77" s="14" t="s">
        <v>190</v>
      </c>
      <c r="F77" s="14" t="s">
        <v>242</v>
      </c>
      <c r="G77" s="14" t="s">
        <v>321</v>
      </c>
      <c r="H77" s="14" t="s">
        <v>344</v>
      </c>
      <c r="I77" s="50" t="s">
        <v>535</v>
      </c>
      <c r="J77" s="14" t="s">
        <v>446</v>
      </c>
      <c r="K77" s="41" t="s">
        <v>504</v>
      </c>
      <c r="L77" s="14">
        <v>4</v>
      </c>
      <c r="M77" s="14">
        <f>L77*5</f>
        <v>20</v>
      </c>
      <c r="N77" s="14">
        <v>100</v>
      </c>
      <c r="O77" s="48" t="s">
        <v>523</v>
      </c>
      <c r="P77" s="15">
        <v>6.9999999999999999E-4</v>
      </c>
      <c r="Q77" s="15">
        <f>P77*N77</f>
        <v>6.9999999999999993E-2</v>
      </c>
      <c r="R77" s="14"/>
    </row>
    <row r="78" spans="1:18" x14ac:dyDescent="0.25">
      <c r="A78" s="1"/>
      <c r="B78" s="16">
        <f t="shared" si="62"/>
        <v>71</v>
      </c>
      <c r="C78" s="21" t="s">
        <v>24</v>
      </c>
      <c r="D78" s="19" t="s">
        <v>98</v>
      </c>
      <c r="E78" s="19" t="s">
        <v>191</v>
      </c>
      <c r="F78" s="19" t="s">
        <v>242</v>
      </c>
      <c r="G78" s="19" t="s">
        <v>322</v>
      </c>
      <c r="H78" s="19" t="s">
        <v>344</v>
      </c>
      <c r="I78" s="50" t="s">
        <v>535</v>
      </c>
      <c r="J78" s="19" t="s">
        <v>447</v>
      </c>
      <c r="K78" s="42" t="s">
        <v>505</v>
      </c>
      <c r="L78" s="19">
        <v>8</v>
      </c>
      <c r="M78" s="19">
        <f t="shared" ref="M78" si="67">L78*5</f>
        <v>40</v>
      </c>
      <c r="N78" s="19">
        <v>100</v>
      </c>
      <c r="O78" s="48" t="s">
        <v>523</v>
      </c>
      <c r="P78" s="20">
        <v>6.9999999999999999E-4</v>
      </c>
      <c r="Q78" s="20">
        <f t="shared" ref="Q78" si="68">P78*N78</f>
        <v>6.9999999999999993E-2</v>
      </c>
      <c r="R78" s="19"/>
    </row>
    <row r="79" spans="1:18" x14ac:dyDescent="0.25">
      <c r="A79" s="1"/>
      <c r="B79" s="16">
        <f t="shared" si="62"/>
        <v>72</v>
      </c>
      <c r="C79" s="21" t="s">
        <v>24</v>
      </c>
      <c r="D79" s="44" t="s">
        <v>99</v>
      </c>
      <c r="E79" s="44" t="s">
        <v>173</v>
      </c>
      <c r="F79" s="43" t="s">
        <v>242</v>
      </c>
      <c r="G79" s="44" t="s">
        <v>304</v>
      </c>
      <c r="H79" s="44" t="s">
        <v>344</v>
      </c>
      <c r="I79" s="50" t="s">
        <v>535</v>
      </c>
      <c r="J79" s="44" t="s">
        <v>429</v>
      </c>
      <c r="K79" s="44" t="s">
        <v>469</v>
      </c>
      <c r="L79" s="44">
        <v>1</v>
      </c>
      <c r="M79" s="44">
        <f>L79*5</f>
        <v>5</v>
      </c>
      <c r="N79" s="44" t="s">
        <v>514</v>
      </c>
      <c r="O79" s="45" t="s">
        <v>523</v>
      </c>
      <c r="P79" s="46" t="s">
        <v>514</v>
      </c>
      <c r="Q79" s="46" t="s">
        <v>514</v>
      </c>
      <c r="R79" s="47" t="s">
        <v>524</v>
      </c>
    </row>
    <row r="80" spans="1:18" x14ac:dyDescent="0.25">
      <c r="A80" s="1"/>
      <c r="B80" s="16">
        <f t="shared" si="62"/>
        <v>73</v>
      </c>
      <c r="C80" s="22" t="s">
        <v>24</v>
      </c>
      <c r="D80" s="19" t="s">
        <v>100</v>
      </c>
      <c r="E80" s="19" t="s">
        <v>192</v>
      </c>
      <c r="F80" s="19" t="s">
        <v>242</v>
      </c>
      <c r="G80" s="19" t="s">
        <v>323</v>
      </c>
      <c r="H80" s="19" t="s">
        <v>344</v>
      </c>
      <c r="I80" s="50" t="s">
        <v>535</v>
      </c>
      <c r="J80" s="19" t="s">
        <v>448</v>
      </c>
      <c r="K80" s="42" t="s">
        <v>506</v>
      </c>
      <c r="L80" s="19">
        <v>1</v>
      </c>
      <c r="M80" s="19">
        <f t="shared" ref="M80" si="69">L80*5</f>
        <v>5</v>
      </c>
      <c r="N80" s="19">
        <v>50</v>
      </c>
      <c r="O80" s="48" t="s">
        <v>523</v>
      </c>
      <c r="P80" s="20">
        <v>2.0400000000000001E-2</v>
      </c>
      <c r="Q80" s="20">
        <f t="shared" ref="Q80" si="70">P80*N80</f>
        <v>1.02</v>
      </c>
      <c r="R80" s="19"/>
    </row>
    <row r="81" spans="1:18" ht="24" x14ac:dyDescent="0.25">
      <c r="A81" s="1"/>
      <c r="B81" s="16">
        <f t="shared" si="62"/>
        <v>74</v>
      </c>
      <c r="C81" s="21" t="s">
        <v>24</v>
      </c>
      <c r="D81" s="14" t="s">
        <v>101</v>
      </c>
      <c r="E81" s="14" t="s">
        <v>193</v>
      </c>
      <c r="F81" s="14" t="s">
        <v>243</v>
      </c>
      <c r="G81" s="14" t="s">
        <v>324</v>
      </c>
      <c r="H81" s="14" t="s">
        <v>344</v>
      </c>
      <c r="I81" s="50" t="s">
        <v>535</v>
      </c>
      <c r="J81" s="14" t="s">
        <v>449</v>
      </c>
      <c r="K81" s="41" t="s">
        <v>507</v>
      </c>
      <c r="L81" s="14">
        <v>8</v>
      </c>
      <c r="M81" s="14">
        <f>L81*5</f>
        <v>40</v>
      </c>
      <c r="N81" s="14">
        <v>100</v>
      </c>
      <c r="O81" s="48" t="s">
        <v>523</v>
      </c>
      <c r="P81" s="15">
        <v>1.1999999999999999E-3</v>
      </c>
      <c r="Q81" s="15">
        <f>P81*N81</f>
        <v>0.12</v>
      </c>
      <c r="R81" s="14"/>
    </row>
    <row r="82" spans="1:18" x14ac:dyDescent="0.25">
      <c r="A82" s="1"/>
      <c r="B82" s="16">
        <f t="shared" si="62"/>
        <v>75</v>
      </c>
      <c r="C82" s="22" t="s">
        <v>24</v>
      </c>
      <c r="D82" s="19" t="s">
        <v>102</v>
      </c>
      <c r="E82" s="19" t="s">
        <v>194</v>
      </c>
      <c r="F82" s="19" t="s">
        <v>244</v>
      </c>
      <c r="G82" s="19" t="s">
        <v>325</v>
      </c>
      <c r="H82" s="19" t="s">
        <v>344</v>
      </c>
      <c r="I82" s="50" t="s">
        <v>535</v>
      </c>
      <c r="J82" s="19" t="s">
        <v>450</v>
      </c>
      <c r="K82" s="42" t="s">
        <v>486</v>
      </c>
      <c r="L82" s="19">
        <v>1</v>
      </c>
      <c r="M82" s="19">
        <f t="shared" ref="M82" si="71">L82*5</f>
        <v>5</v>
      </c>
      <c r="N82" s="19">
        <v>100</v>
      </c>
      <c r="O82" s="48" t="s">
        <v>523</v>
      </c>
      <c r="P82" s="20">
        <v>8.9999999999999998E-4</v>
      </c>
      <c r="Q82" s="20">
        <f t="shared" ref="Q82" si="72">P82*N82</f>
        <v>0.09</v>
      </c>
      <c r="R82" s="19"/>
    </row>
    <row r="83" spans="1:18" x14ac:dyDescent="0.25">
      <c r="A83" s="1"/>
      <c r="B83" s="16">
        <f t="shared" si="62"/>
        <v>76</v>
      </c>
      <c r="C83" s="21" t="s">
        <v>24</v>
      </c>
      <c r="D83" s="14" t="s">
        <v>103</v>
      </c>
      <c r="E83" s="14" t="s">
        <v>195</v>
      </c>
      <c r="F83" s="14" t="s">
        <v>242</v>
      </c>
      <c r="G83" s="14" t="s">
        <v>326</v>
      </c>
      <c r="H83" s="14" t="s">
        <v>344</v>
      </c>
      <c r="I83" s="50" t="s">
        <v>535</v>
      </c>
      <c r="J83" s="14" t="s">
        <v>451</v>
      </c>
      <c r="K83" s="41" t="s">
        <v>487</v>
      </c>
      <c r="L83" s="14">
        <v>2</v>
      </c>
      <c r="M83" s="14">
        <f>L83*5</f>
        <v>10</v>
      </c>
      <c r="N83" s="14">
        <v>100</v>
      </c>
      <c r="O83" s="48" t="s">
        <v>523</v>
      </c>
      <c r="P83" s="15">
        <v>1E-3</v>
      </c>
      <c r="Q83" s="15">
        <f>P83*N83</f>
        <v>0.1</v>
      </c>
      <c r="R83" s="14"/>
    </row>
    <row r="84" spans="1:18" x14ac:dyDescent="0.25">
      <c r="A84" s="1"/>
      <c r="B84" s="16">
        <f t="shared" si="62"/>
        <v>77</v>
      </c>
      <c r="C84" s="22" t="s">
        <v>24</v>
      </c>
      <c r="D84" s="19" t="s">
        <v>104</v>
      </c>
      <c r="E84" s="19" t="s">
        <v>196</v>
      </c>
      <c r="F84" s="19" t="s">
        <v>243</v>
      </c>
      <c r="G84" s="19" t="s">
        <v>327</v>
      </c>
      <c r="H84" s="19" t="s">
        <v>344</v>
      </c>
      <c r="I84" s="50" t="s">
        <v>535</v>
      </c>
      <c r="J84" s="19" t="s">
        <v>452</v>
      </c>
      <c r="K84" s="42" t="s">
        <v>508</v>
      </c>
      <c r="L84" s="19">
        <v>4</v>
      </c>
      <c r="M84" s="19">
        <f t="shared" ref="M84" si="73">L84*5</f>
        <v>20</v>
      </c>
      <c r="N84" s="19">
        <v>100</v>
      </c>
      <c r="O84" s="48" t="s">
        <v>523</v>
      </c>
      <c r="P84" s="20">
        <v>1E-3</v>
      </c>
      <c r="Q84" s="20">
        <f t="shared" ref="Q84" si="74">P84*N84</f>
        <v>0.1</v>
      </c>
      <c r="R84" s="19"/>
    </row>
    <row r="85" spans="1:18" x14ac:dyDescent="0.25">
      <c r="A85" s="1"/>
      <c r="B85" s="16">
        <f t="shared" si="62"/>
        <v>78</v>
      </c>
      <c r="C85" s="21" t="s">
        <v>25</v>
      </c>
      <c r="D85" s="14" t="s">
        <v>105</v>
      </c>
      <c r="E85" s="14" t="s">
        <v>197</v>
      </c>
      <c r="F85" s="14" t="s">
        <v>531</v>
      </c>
      <c r="G85" s="14" t="s">
        <v>246</v>
      </c>
      <c r="H85" s="14" t="s">
        <v>371</v>
      </c>
      <c r="I85" s="50" t="s">
        <v>535</v>
      </c>
      <c r="J85" s="14" t="s">
        <v>453</v>
      </c>
      <c r="K85" s="41" t="s">
        <v>514</v>
      </c>
      <c r="L85" s="14">
        <v>2</v>
      </c>
      <c r="M85" s="14">
        <f>L85*5</f>
        <v>10</v>
      </c>
      <c r="N85" s="14">
        <v>15</v>
      </c>
      <c r="O85" s="48" t="s">
        <v>523</v>
      </c>
      <c r="P85" s="15">
        <v>0.1552</v>
      </c>
      <c r="Q85" s="15">
        <f>P85*N85</f>
        <v>2.3280000000000003</v>
      </c>
      <c r="R85" s="14"/>
    </row>
    <row r="86" spans="1:18" ht="36" x14ac:dyDescent="0.25">
      <c r="A86" s="1"/>
      <c r="B86" s="16">
        <f t="shared" si="62"/>
        <v>79</v>
      </c>
      <c r="C86" s="22" t="s">
        <v>26</v>
      </c>
      <c r="D86" s="19" t="s">
        <v>106</v>
      </c>
      <c r="E86" s="19" t="s">
        <v>198</v>
      </c>
      <c r="F86" s="14" t="s">
        <v>531</v>
      </c>
      <c r="G86" s="19" t="s">
        <v>247</v>
      </c>
      <c r="H86" s="19" t="s">
        <v>372</v>
      </c>
      <c r="I86" s="50" t="s">
        <v>535</v>
      </c>
      <c r="J86" s="19" t="s">
        <v>454</v>
      </c>
      <c r="K86" s="41" t="s">
        <v>514</v>
      </c>
      <c r="L86" s="19">
        <v>1</v>
      </c>
      <c r="M86" s="19">
        <f t="shared" ref="M86" si="75">L86*5</f>
        <v>5</v>
      </c>
      <c r="N86" s="19">
        <v>6</v>
      </c>
      <c r="O86" s="48" t="s">
        <v>523</v>
      </c>
      <c r="P86" s="20">
        <v>0.36420000000000002</v>
      </c>
      <c r="Q86" s="20">
        <f t="shared" ref="Q86" si="76">P86*N86</f>
        <v>2.1852</v>
      </c>
      <c r="R86" s="19"/>
    </row>
    <row r="87" spans="1:18" x14ac:dyDescent="0.25">
      <c r="A87" s="1"/>
      <c r="B87" s="16">
        <f t="shared" si="62"/>
        <v>80</v>
      </c>
      <c r="C87" s="21" t="s">
        <v>27</v>
      </c>
      <c r="D87" s="14" t="s">
        <v>107</v>
      </c>
      <c r="E87" s="14" t="s">
        <v>199</v>
      </c>
      <c r="F87" s="14" t="s">
        <v>248</v>
      </c>
      <c r="G87" s="14" t="s">
        <v>328</v>
      </c>
      <c r="H87" s="14" t="s">
        <v>373</v>
      </c>
      <c r="I87" s="50" t="s">
        <v>535</v>
      </c>
      <c r="J87" s="14" t="s">
        <v>455</v>
      </c>
      <c r="K87" s="41" t="s">
        <v>514</v>
      </c>
      <c r="L87" s="14">
        <v>1</v>
      </c>
      <c r="M87" s="14">
        <f>L87*5</f>
        <v>5</v>
      </c>
      <c r="N87" s="14">
        <v>6</v>
      </c>
      <c r="O87" s="48" t="s">
        <v>523</v>
      </c>
      <c r="P87" s="15">
        <v>2.6966000000000001</v>
      </c>
      <c r="Q87" s="15">
        <f>P87*N87</f>
        <v>16.179600000000001</v>
      </c>
      <c r="R87" s="14"/>
    </row>
    <row r="88" spans="1:18" x14ac:dyDescent="0.25">
      <c r="A88" s="1"/>
      <c r="B88" s="16">
        <f t="shared" si="62"/>
        <v>81</v>
      </c>
      <c r="C88" s="22" t="s">
        <v>28</v>
      </c>
      <c r="D88" s="19" t="s">
        <v>108</v>
      </c>
      <c r="E88" s="19" t="s">
        <v>200</v>
      </c>
      <c r="F88" s="19" t="s">
        <v>249</v>
      </c>
      <c r="G88" s="19" t="s">
        <v>329</v>
      </c>
      <c r="H88" s="19" t="s">
        <v>374</v>
      </c>
      <c r="I88" s="50" t="s">
        <v>535</v>
      </c>
      <c r="J88" s="19" t="s">
        <v>456</v>
      </c>
      <c r="K88" s="41" t="s">
        <v>514</v>
      </c>
      <c r="L88" s="19">
        <v>1</v>
      </c>
      <c r="M88" s="19">
        <f t="shared" ref="M88" si="77">L88*5</f>
        <v>5</v>
      </c>
      <c r="N88" s="19">
        <v>6</v>
      </c>
      <c r="O88" s="48" t="s">
        <v>523</v>
      </c>
      <c r="P88" s="20">
        <v>0.96589999999999998</v>
      </c>
      <c r="Q88" s="20">
        <f t="shared" ref="Q88" si="78">P88*N88</f>
        <v>5.7953999999999999</v>
      </c>
      <c r="R88" s="19"/>
    </row>
    <row r="89" spans="1:18" x14ac:dyDescent="0.25">
      <c r="A89" s="1"/>
      <c r="B89" s="16">
        <f t="shared" si="62"/>
        <v>82</v>
      </c>
      <c r="C89" s="21" t="s">
        <v>28</v>
      </c>
      <c r="D89" s="14" t="s">
        <v>109</v>
      </c>
      <c r="E89" s="14" t="s">
        <v>201</v>
      </c>
      <c r="F89" s="14" t="s">
        <v>250</v>
      </c>
      <c r="G89" s="14" t="s">
        <v>330</v>
      </c>
      <c r="H89" s="14" t="s">
        <v>351</v>
      </c>
      <c r="I89" s="50" t="s">
        <v>535</v>
      </c>
      <c r="J89" s="14" t="s">
        <v>457</v>
      </c>
      <c r="K89" s="41" t="s">
        <v>514</v>
      </c>
      <c r="L89" s="14">
        <v>1</v>
      </c>
      <c r="M89" s="14">
        <f>L89*5</f>
        <v>5</v>
      </c>
      <c r="N89" s="14">
        <v>6</v>
      </c>
      <c r="O89" s="48" t="s">
        <v>523</v>
      </c>
      <c r="P89" s="15">
        <v>0.41870000000000002</v>
      </c>
      <c r="Q89" s="15">
        <f>P89*N89</f>
        <v>2.5122</v>
      </c>
      <c r="R89" s="14"/>
    </row>
    <row r="90" spans="1:18" ht="36" x14ac:dyDescent="0.25">
      <c r="A90" s="1"/>
      <c r="B90" s="16">
        <f t="shared" si="62"/>
        <v>83</v>
      </c>
      <c r="C90" s="22" t="s">
        <v>28</v>
      </c>
      <c r="D90" s="19" t="s">
        <v>110</v>
      </c>
      <c r="E90" s="19" t="s">
        <v>202</v>
      </c>
      <c r="F90" s="19" t="s">
        <v>251</v>
      </c>
      <c r="G90" s="19" t="s">
        <v>331</v>
      </c>
      <c r="H90" s="19" t="s">
        <v>375</v>
      </c>
      <c r="I90" s="50" t="s">
        <v>535</v>
      </c>
      <c r="J90" s="19" t="s">
        <v>458</v>
      </c>
      <c r="K90" s="41" t="s">
        <v>514</v>
      </c>
      <c r="L90" s="19">
        <v>1</v>
      </c>
      <c r="M90" s="19">
        <f t="shared" ref="M90" si="79">L90*5</f>
        <v>5</v>
      </c>
      <c r="N90" s="19">
        <v>10</v>
      </c>
      <c r="O90" s="48" t="s">
        <v>523</v>
      </c>
      <c r="P90" s="20">
        <v>0.1729</v>
      </c>
      <c r="Q90" s="20">
        <f t="shared" ref="Q90" si="80">P90*N90</f>
        <v>1.7290000000000001</v>
      </c>
      <c r="R90" s="19"/>
    </row>
    <row r="91" spans="1:18" x14ac:dyDescent="0.25">
      <c r="A91" s="1"/>
      <c r="B91" s="16">
        <f t="shared" si="62"/>
        <v>84</v>
      </c>
      <c r="C91" s="21" t="s">
        <v>28</v>
      </c>
      <c r="D91" s="14" t="s">
        <v>111</v>
      </c>
      <c r="E91" s="14" t="s">
        <v>203</v>
      </c>
      <c r="F91" s="14" t="s">
        <v>252</v>
      </c>
      <c r="G91" s="14" t="s">
        <v>332</v>
      </c>
      <c r="H91" s="14" t="s">
        <v>374</v>
      </c>
      <c r="I91" s="50" t="s">
        <v>535</v>
      </c>
      <c r="J91" s="14" t="s">
        <v>459</v>
      </c>
      <c r="K91" s="41" t="s">
        <v>514</v>
      </c>
      <c r="L91" s="14">
        <v>2</v>
      </c>
      <c r="M91" s="14">
        <f>L91*5</f>
        <v>10</v>
      </c>
      <c r="N91" s="14">
        <v>11</v>
      </c>
      <c r="O91" s="48" t="s">
        <v>523</v>
      </c>
      <c r="P91" s="15">
        <v>2.5394999999999999</v>
      </c>
      <c r="Q91" s="15">
        <f>P91*N91</f>
        <v>27.9345</v>
      </c>
      <c r="R91" s="14"/>
    </row>
    <row r="92" spans="1:18" x14ac:dyDescent="0.25">
      <c r="A92" s="1"/>
      <c r="B92" s="16">
        <f t="shared" si="62"/>
        <v>85</v>
      </c>
      <c r="C92" s="22" t="s">
        <v>28</v>
      </c>
      <c r="D92" s="19" t="s">
        <v>112</v>
      </c>
      <c r="E92" s="19" t="s">
        <v>204</v>
      </c>
      <c r="F92" s="19" t="s">
        <v>253</v>
      </c>
      <c r="G92" s="19" t="s">
        <v>333</v>
      </c>
      <c r="H92" s="19" t="s">
        <v>374</v>
      </c>
      <c r="I92" s="50" t="s">
        <v>535</v>
      </c>
      <c r="J92" s="19" t="s">
        <v>460</v>
      </c>
      <c r="K92" s="41" t="s">
        <v>514</v>
      </c>
      <c r="L92" s="19">
        <v>1</v>
      </c>
      <c r="M92" s="19">
        <f t="shared" ref="M92" si="81">L92*5</f>
        <v>5</v>
      </c>
      <c r="N92" s="19">
        <v>6</v>
      </c>
      <c r="O92" s="48" t="s">
        <v>523</v>
      </c>
      <c r="P92" s="20">
        <v>3.4409999999999998</v>
      </c>
      <c r="Q92" s="20">
        <f t="shared" ref="Q92" si="82">P92*N92</f>
        <v>20.646000000000001</v>
      </c>
      <c r="R92" s="19"/>
    </row>
    <row r="93" spans="1:18" ht="24" x14ac:dyDescent="0.25">
      <c r="A93" s="1"/>
      <c r="B93" s="16">
        <f t="shared" si="62"/>
        <v>86</v>
      </c>
      <c r="C93" s="21" t="s">
        <v>28</v>
      </c>
      <c r="D93" s="14" t="s">
        <v>113</v>
      </c>
      <c r="E93" s="14" t="s">
        <v>205</v>
      </c>
      <c r="F93" s="14" t="s">
        <v>254</v>
      </c>
      <c r="G93" s="14" t="s">
        <v>334</v>
      </c>
      <c r="H93" s="14" t="s">
        <v>376</v>
      </c>
      <c r="I93" s="50" t="s">
        <v>535</v>
      </c>
      <c r="J93" s="14" t="s">
        <v>461</v>
      </c>
      <c r="K93" s="41" t="s">
        <v>514</v>
      </c>
      <c r="L93" s="14">
        <v>1</v>
      </c>
      <c r="M93" s="14">
        <f>L93*5</f>
        <v>5</v>
      </c>
      <c r="N93" s="14">
        <v>6</v>
      </c>
      <c r="O93" s="48" t="s">
        <v>523</v>
      </c>
      <c r="P93" s="15">
        <v>0.33700000000000002</v>
      </c>
      <c r="Q93" s="15">
        <f>P93*N93</f>
        <v>2.0220000000000002</v>
      </c>
      <c r="R93" s="14"/>
    </row>
    <row r="94" spans="1:18" x14ac:dyDescent="0.25">
      <c r="A94" s="1"/>
      <c r="B94" s="16">
        <f t="shared" si="62"/>
        <v>87</v>
      </c>
      <c r="C94" s="22" t="s">
        <v>28</v>
      </c>
      <c r="D94" s="19" t="s">
        <v>114</v>
      </c>
      <c r="E94" s="19" t="s">
        <v>206</v>
      </c>
      <c r="F94" s="19" t="s">
        <v>255</v>
      </c>
      <c r="G94" s="19" t="s">
        <v>335</v>
      </c>
      <c r="H94" s="19" t="s">
        <v>374</v>
      </c>
      <c r="I94" s="50" t="s">
        <v>535</v>
      </c>
      <c r="J94" s="19" t="s">
        <v>462</v>
      </c>
      <c r="K94" s="41" t="s">
        <v>514</v>
      </c>
      <c r="L94" s="19">
        <v>4</v>
      </c>
      <c r="M94" s="19">
        <f t="shared" ref="M94" si="83">L94*5</f>
        <v>20</v>
      </c>
      <c r="N94" s="19">
        <v>25</v>
      </c>
      <c r="O94" s="48" t="s">
        <v>523</v>
      </c>
      <c r="P94" s="20">
        <v>0.22259999999999999</v>
      </c>
      <c r="Q94" s="20">
        <f t="shared" ref="Q94" si="84">P94*N94</f>
        <v>5.5649999999999995</v>
      </c>
      <c r="R94" s="19"/>
    </row>
    <row r="95" spans="1:18" ht="24" x14ac:dyDescent="0.25">
      <c r="A95" s="1"/>
      <c r="B95" s="16">
        <f t="shared" si="62"/>
        <v>88</v>
      </c>
      <c r="C95" s="21" t="s">
        <v>29</v>
      </c>
      <c r="D95" s="14" t="s">
        <v>115</v>
      </c>
      <c r="E95" s="14" t="s">
        <v>207</v>
      </c>
      <c r="F95" s="14" t="s">
        <v>256</v>
      </c>
      <c r="G95" s="14" t="s">
        <v>336</v>
      </c>
      <c r="H95" s="14" t="s">
        <v>377</v>
      </c>
      <c r="I95" s="50" t="s">
        <v>535</v>
      </c>
      <c r="J95" s="14" t="s">
        <v>463</v>
      </c>
      <c r="K95" s="41" t="s">
        <v>514</v>
      </c>
      <c r="L95" s="14">
        <v>8</v>
      </c>
      <c r="M95" s="14">
        <f>L95*5</f>
        <v>40</v>
      </c>
      <c r="N95" s="14">
        <v>45</v>
      </c>
      <c r="O95" s="48" t="s">
        <v>523</v>
      </c>
      <c r="P95" s="15">
        <v>0.10829999999999999</v>
      </c>
      <c r="Q95" s="15">
        <f>P95*N95</f>
        <v>4.8734999999999999</v>
      </c>
      <c r="R95" s="14"/>
    </row>
    <row r="96" spans="1:18" ht="24" x14ac:dyDescent="0.25">
      <c r="A96" s="1"/>
      <c r="B96" s="16">
        <f t="shared" si="62"/>
        <v>89</v>
      </c>
      <c r="C96" s="22" t="s">
        <v>30</v>
      </c>
      <c r="D96" s="19" t="s">
        <v>116</v>
      </c>
      <c r="E96" s="19" t="s">
        <v>208</v>
      </c>
      <c r="F96" s="19" t="s">
        <v>257</v>
      </c>
      <c r="G96" s="19" t="s">
        <v>337</v>
      </c>
      <c r="H96" s="19" t="s">
        <v>378</v>
      </c>
      <c r="I96" s="50" t="s">
        <v>535</v>
      </c>
      <c r="J96" s="19" t="s">
        <v>464</v>
      </c>
      <c r="K96" s="41" t="s">
        <v>514</v>
      </c>
      <c r="L96" s="19">
        <v>4</v>
      </c>
      <c r="M96" s="19">
        <f t="shared" ref="M96" si="85">L96*5</f>
        <v>20</v>
      </c>
      <c r="N96" s="19">
        <v>21</v>
      </c>
      <c r="O96" s="48" t="s">
        <v>523</v>
      </c>
      <c r="P96" s="20">
        <v>0.36280000000000001</v>
      </c>
      <c r="Q96" s="20">
        <f t="shared" ref="Q96" si="86">P96*N96</f>
        <v>7.6188000000000002</v>
      </c>
      <c r="R96" s="19"/>
    </row>
    <row r="97" spans="1:18" x14ac:dyDescent="0.25">
      <c r="A97" s="1"/>
      <c r="B97" s="16">
        <f t="shared" si="62"/>
        <v>90</v>
      </c>
      <c r="C97" s="21" t="s">
        <v>28</v>
      </c>
      <c r="D97" s="14" t="s">
        <v>117</v>
      </c>
      <c r="E97" s="14" t="s">
        <v>209</v>
      </c>
      <c r="F97" s="14" t="s">
        <v>258</v>
      </c>
      <c r="G97" s="14" t="s">
        <v>338</v>
      </c>
      <c r="H97" s="14" t="s">
        <v>379</v>
      </c>
      <c r="I97" s="50" t="s">
        <v>535</v>
      </c>
      <c r="J97" s="14" t="s">
        <v>533</v>
      </c>
      <c r="K97" s="41" t="s">
        <v>514</v>
      </c>
      <c r="L97" s="14">
        <v>1</v>
      </c>
      <c r="M97" s="14">
        <f>L97*5</f>
        <v>5</v>
      </c>
      <c r="N97" s="14">
        <v>6</v>
      </c>
      <c r="O97" s="48" t="s">
        <v>523</v>
      </c>
      <c r="P97" s="15">
        <v>8.6266999999999996</v>
      </c>
      <c r="Q97" s="15">
        <f>P97*N97</f>
        <v>51.760199999999998</v>
      </c>
      <c r="R97" s="14"/>
    </row>
    <row r="98" spans="1:18" x14ac:dyDescent="0.25">
      <c r="A98" s="1"/>
      <c r="B98" s="16">
        <f t="shared" si="62"/>
        <v>91</v>
      </c>
      <c r="C98" s="21" t="s">
        <v>28</v>
      </c>
      <c r="D98" s="19" t="s">
        <v>118</v>
      </c>
      <c r="E98" s="19" t="s">
        <v>210</v>
      </c>
      <c r="F98" s="14" t="s">
        <v>531</v>
      </c>
      <c r="G98" s="19" t="s">
        <v>259</v>
      </c>
      <c r="H98" s="19" t="s">
        <v>350</v>
      </c>
      <c r="I98" s="50" t="s">
        <v>535</v>
      </c>
      <c r="J98" s="19" t="s">
        <v>534</v>
      </c>
      <c r="K98" s="41" t="s">
        <v>514</v>
      </c>
      <c r="L98" s="19">
        <v>1</v>
      </c>
      <c r="M98" s="19">
        <f t="shared" ref="M98:M99" si="87">L98*5</f>
        <v>5</v>
      </c>
      <c r="N98" s="19">
        <v>6</v>
      </c>
      <c r="O98" s="48" t="s">
        <v>523</v>
      </c>
      <c r="P98" s="20">
        <v>0.45669999999999999</v>
      </c>
      <c r="Q98" s="20">
        <f t="shared" ref="Q98:Q99" si="88">P98*N98</f>
        <v>2.7401999999999997</v>
      </c>
      <c r="R98" s="19"/>
    </row>
    <row r="99" spans="1:18" x14ac:dyDescent="0.25">
      <c r="A99" s="1"/>
      <c r="B99" s="16">
        <f t="shared" si="62"/>
        <v>92</v>
      </c>
      <c r="C99" s="22" t="s">
        <v>552</v>
      </c>
      <c r="D99" s="19" t="s">
        <v>545</v>
      </c>
      <c r="E99" s="42" t="s">
        <v>546</v>
      </c>
      <c r="F99" s="19" t="s">
        <v>547</v>
      </c>
      <c r="G99" s="42" t="s">
        <v>548</v>
      </c>
      <c r="H99" s="19" t="s">
        <v>549</v>
      </c>
      <c r="I99" s="50" t="s">
        <v>535</v>
      </c>
      <c r="J99" s="14" t="s">
        <v>553</v>
      </c>
      <c r="K99" s="41" t="s">
        <v>514</v>
      </c>
      <c r="L99" s="14">
        <v>1</v>
      </c>
      <c r="M99" s="14">
        <f t="shared" si="87"/>
        <v>5</v>
      </c>
      <c r="N99" s="14">
        <v>6</v>
      </c>
      <c r="O99" s="48" t="s">
        <v>523</v>
      </c>
      <c r="P99" s="15">
        <v>1.5107999999999999</v>
      </c>
      <c r="Q99" s="15">
        <f t="shared" si="88"/>
        <v>9.0648</v>
      </c>
      <c r="R99" s="14"/>
    </row>
    <row r="100" spans="1:18" ht="24" x14ac:dyDescent="0.25">
      <c r="A100" s="1"/>
      <c r="B100" s="16">
        <f t="shared" si="62"/>
        <v>93</v>
      </c>
      <c r="C100" s="21" t="s">
        <v>31</v>
      </c>
      <c r="D100" s="44" t="s">
        <v>119</v>
      </c>
      <c r="E100" s="44" t="s">
        <v>211</v>
      </c>
      <c r="F100" s="43" t="s">
        <v>260</v>
      </c>
      <c r="G100" s="44" t="s">
        <v>339</v>
      </c>
      <c r="H100" s="44" t="s">
        <v>380</v>
      </c>
      <c r="I100" s="50" t="s">
        <v>535</v>
      </c>
      <c r="J100" s="44" t="s">
        <v>465</v>
      </c>
      <c r="K100" s="44" t="s">
        <v>469</v>
      </c>
      <c r="L100" s="44">
        <v>1</v>
      </c>
      <c r="M100" s="44">
        <f>L100*5</f>
        <v>5</v>
      </c>
      <c r="N100" s="44" t="s">
        <v>514</v>
      </c>
      <c r="O100" s="45" t="s">
        <v>523</v>
      </c>
      <c r="P100" s="46" t="s">
        <v>514</v>
      </c>
      <c r="Q100" s="46" t="s">
        <v>514</v>
      </c>
      <c r="R100" s="47" t="s">
        <v>524</v>
      </c>
    </row>
    <row r="101" spans="1:18" ht="24" x14ac:dyDescent="0.25">
      <c r="A101" s="1"/>
      <c r="B101" s="16">
        <f t="shared" si="62"/>
        <v>94</v>
      </c>
      <c r="C101" s="22" t="s">
        <v>31</v>
      </c>
      <c r="D101" s="19" t="s">
        <v>120</v>
      </c>
      <c r="E101" s="19" t="s">
        <v>212</v>
      </c>
      <c r="F101" s="14" t="s">
        <v>531</v>
      </c>
      <c r="G101" s="19" t="s">
        <v>340</v>
      </c>
      <c r="H101" s="19" t="s">
        <v>381</v>
      </c>
      <c r="I101" s="50" t="s">
        <v>535</v>
      </c>
      <c r="J101" s="19" t="s">
        <v>466</v>
      </c>
      <c r="K101" s="42" t="s">
        <v>509</v>
      </c>
      <c r="L101" s="19">
        <v>1</v>
      </c>
      <c r="M101" s="19">
        <f t="shared" ref="M101" si="89">L101*5</f>
        <v>5</v>
      </c>
      <c r="N101" s="19">
        <v>10</v>
      </c>
      <c r="O101" s="48" t="s">
        <v>523</v>
      </c>
      <c r="P101" s="20">
        <v>0.30080000000000001</v>
      </c>
      <c r="Q101" s="20">
        <f t="shared" ref="Q101" si="90">P101*N101</f>
        <v>3.008</v>
      </c>
      <c r="R101" s="19"/>
    </row>
    <row r="102" spans="1:18" ht="24" x14ac:dyDescent="0.25">
      <c r="A102" s="1"/>
      <c r="B102" s="16">
        <f t="shared" si="62"/>
        <v>95</v>
      </c>
      <c r="C102" s="21" t="s">
        <v>31</v>
      </c>
      <c r="D102" s="14" t="s">
        <v>121</v>
      </c>
      <c r="E102" s="14" t="s">
        <v>213</v>
      </c>
      <c r="F102" s="14" t="s">
        <v>261</v>
      </c>
      <c r="G102" s="14" t="s">
        <v>341</v>
      </c>
      <c r="H102" s="14" t="s">
        <v>382</v>
      </c>
      <c r="I102" s="50" t="s">
        <v>535</v>
      </c>
      <c r="J102" s="14" t="s">
        <v>467</v>
      </c>
      <c r="K102" s="41" t="s">
        <v>510</v>
      </c>
      <c r="L102" s="14">
        <v>1</v>
      </c>
      <c r="M102" s="14">
        <f>L102*5</f>
        <v>5</v>
      </c>
      <c r="N102" s="14">
        <v>10</v>
      </c>
      <c r="O102" s="48" t="s">
        <v>523</v>
      </c>
      <c r="P102" s="15">
        <v>6.5500000000000003E-2</v>
      </c>
      <c r="Q102" s="15">
        <f>P102*N102</f>
        <v>0.65500000000000003</v>
      </c>
      <c r="R102" s="14"/>
    </row>
    <row r="103" spans="1:18" ht="24" x14ac:dyDescent="0.25">
      <c r="A103" s="1"/>
      <c r="B103" s="16">
        <f t="shared" si="62"/>
        <v>96</v>
      </c>
      <c r="C103" s="21" t="s">
        <v>554</v>
      </c>
      <c r="D103" s="14" t="s">
        <v>10</v>
      </c>
      <c r="E103" s="41" t="s">
        <v>555</v>
      </c>
      <c r="F103" s="14" t="s">
        <v>531</v>
      </c>
      <c r="G103" s="41" t="s">
        <v>556</v>
      </c>
      <c r="H103" s="14" t="s">
        <v>562</v>
      </c>
      <c r="I103" s="50" t="s">
        <v>535</v>
      </c>
      <c r="J103" s="14" t="s">
        <v>566</v>
      </c>
      <c r="K103" s="41" t="s">
        <v>514</v>
      </c>
      <c r="L103" s="14">
        <v>1</v>
      </c>
      <c r="M103" s="14">
        <f>L103*5</f>
        <v>5</v>
      </c>
      <c r="N103" s="14">
        <v>6</v>
      </c>
      <c r="O103" s="48" t="s">
        <v>523</v>
      </c>
      <c r="P103" s="15">
        <v>0.08</v>
      </c>
      <c r="Q103" s="15">
        <f t="shared" ref="Q103:Q105" si="91">P103*N103</f>
        <v>0.48</v>
      </c>
      <c r="R103" s="14"/>
    </row>
    <row r="104" spans="1:18" x14ac:dyDescent="0.25">
      <c r="A104" s="1"/>
      <c r="B104" s="16">
        <f t="shared" si="62"/>
        <v>97</v>
      </c>
      <c r="C104" s="21" t="s">
        <v>554</v>
      </c>
      <c r="D104" s="14" t="s">
        <v>557</v>
      </c>
      <c r="E104" s="41" t="s">
        <v>558</v>
      </c>
      <c r="F104" s="14" t="s">
        <v>531</v>
      </c>
      <c r="G104" s="41" t="s">
        <v>559</v>
      </c>
      <c r="H104" s="14" t="s">
        <v>360</v>
      </c>
      <c r="I104" s="50" t="s">
        <v>535</v>
      </c>
      <c r="J104" s="14" t="s">
        <v>564</v>
      </c>
      <c r="K104" s="41" t="s">
        <v>514</v>
      </c>
      <c r="L104" s="14">
        <v>5</v>
      </c>
      <c r="M104" s="14">
        <f>L104*5</f>
        <v>25</v>
      </c>
      <c r="N104" s="14">
        <v>40</v>
      </c>
      <c r="O104" s="48" t="s">
        <v>523</v>
      </c>
      <c r="P104" s="15">
        <v>2.01E-2</v>
      </c>
      <c r="Q104" s="15">
        <f t="shared" si="91"/>
        <v>0.80400000000000005</v>
      </c>
      <c r="R104" s="14"/>
    </row>
    <row r="105" spans="1:18" ht="24.75" thickBot="1" x14ac:dyDescent="0.3">
      <c r="A105" s="1"/>
      <c r="B105" s="16">
        <f t="shared" si="62"/>
        <v>98</v>
      </c>
      <c r="C105" s="21" t="s">
        <v>554</v>
      </c>
      <c r="D105" s="14" t="s">
        <v>560</v>
      </c>
      <c r="E105" s="41" t="s">
        <v>561</v>
      </c>
      <c r="F105" s="14" t="s">
        <v>531</v>
      </c>
      <c r="G105" s="41">
        <v>50173</v>
      </c>
      <c r="H105" s="14" t="s">
        <v>563</v>
      </c>
      <c r="I105" s="50" t="s">
        <v>535</v>
      </c>
      <c r="J105" s="14" t="s">
        <v>565</v>
      </c>
      <c r="K105" s="41" t="s">
        <v>514</v>
      </c>
      <c r="L105" s="14">
        <v>1</v>
      </c>
      <c r="M105" s="14">
        <f>L105*5</f>
        <v>5</v>
      </c>
      <c r="N105" s="14">
        <v>6</v>
      </c>
      <c r="O105" s="48" t="s">
        <v>523</v>
      </c>
      <c r="P105" s="15">
        <v>1.3977999999999999</v>
      </c>
      <c r="Q105" s="15">
        <f t="shared" si="91"/>
        <v>8.3867999999999991</v>
      </c>
      <c r="R105" s="14"/>
    </row>
    <row r="106" spans="1:18" ht="19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3" t="s">
        <v>3</v>
      </c>
      <c r="O106" s="64"/>
      <c r="P106" s="64"/>
      <c r="Q106" s="17">
        <f>SUM(Q8:Q105)</f>
        <v>282.02829999999989</v>
      </c>
      <c r="R106" s="1"/>
    </row>
    <row r="107" spans="1:18" ht="19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3" t="s">
        <v>4</v>
      </c>
      <c r="O107" s="64"/>
      <c r="P107" s="64"/>
      <c r="Q107" s="18">
        <f>Q106/5</f>
        <v>56.405659999999976</v>
      </c>
      <c r="R107" s="1"/>
    </row>
    <row r="119" spans="13:13" x14ac:dyDescent="0.25">
      <c r="M119" s="37"/>
    </row>
  </sheetData>
  <mergeCells count="3">
    <mergeCell ref="K1:R1"/>
    <mergeCell ref="N106:P106"/>
    <mergeCell ref="N107:P107"/>
  </mergeCells>
  <hyperlinks>
    <hyperlink ref="O10" r:id="rId1"/>
    <hyperlink ref="O11" r:id="rId2"/>
    <hyperlink ref="O12" r:id="rId3"/>
    <hyperlink ref="O13" r:id="rId4"/>
    <hyperlink ref="O14" r:id="rId5"/>
    <hyperlink ref="O17" r:id="rId6"/>
    <hyperlink ref="O20" r:id="rId7"/>
    <hyperlink ref="O21" r:id="rId8"/>
    <hyperlink ref="O27" r:id="rId9"/>
    <hyperlink ref="O28" r:id="rId10"/>
    <hyperlink ref="O29" r:id="rId11"/>
    <hyperlink ref="O30" r:id="rId12"/>
    <hyperlink ref="O31" r:id="rId13"/>
    <hyperlink ref="O35" r:id="rId14"/>
    <hyperlink ref="O40" r:id="rId15"/>
    <hyperlink ref="O41" r:id="rId16"/>
    <hyperlink ref="O42" r:id="rId17"/>
    <hyperlink ref="O43" r:id="rId18"/>
    <hyperlink ref="O51" r:id="rId19"/>
    <hyperlink ref="O52" r:id="rId20"/>
    <hyperlink ref="O53" r:id="rId21"/>
    <hyperlink ref="O54" r:id="rId22"/>
    <hyperlink ref="O56" r:id="rId23"/>
    <hyperlink ref="O57" r:id="rId24"/>
    <hyperlink ref="O59" r:id="rId25"/>
    <hyperlink ref="O60" r:id="rId26"/>
    <hyperlink ref="O61" r:id="rId27"/>
    <hyperlink ref="O62" r:id="rId28"/>
    <hyperlink ref="O64" r:id="rId29"/>
    <hyperlink ref="O65" r:id="rId30"/>
    <hyperlink ref="O66" r:id="rId31"/>
    <hyperlink ref="O67" r:id="rId32"/>
    <hyperlink ref="O68" r:id="rId33"/>
    <hyperlink ref="O69" r:id="rId34"/>
    <hyperlink ref="O70" r:id="rId35"/>
    <hyperlink ref="O72" r:id="rId36"/>
    <hyperlink ref="O73" r:id="rId37"/>
    <hyperlink ref="O74" r:id="rId38"/>
    <hyperlink ref="O75" r:id="rId39"/>
    <hyperlink ref="O76" r:id="rId40"/>
    <hyperlink ref="O87" r:id="rId41"/>
    <hyperlink ref="O94" r:id="rId42"/>
    <hyperlink ref="O16" r:id="rId43"/>
    <hyperlink ref="O39" r:id="rId44"/>
    <hyperlink ref="O15" r:id="rId45"/>
    <hyperlink ref="O18" r:id="rId46"/>
    <hyperlink ref="O19" r:id="rId47"/>
    <hyperlink ref="O48" r:id="rId48"/>
    <hyperlink ref="O22" r:id="rId49"/>
    <hyperlink ref="O8" r:id="rId50"/>
    <hyperlink ref="O23" r:id="rId51"/>
    <hyperlink ref="O24" r:id="rId52"/>
    <hyperlink ref="O26" r:id="rId53"/>
    <hyperlink ref="O32" r:id="rId54"/>
    <hyperlink ref="O33" r:id="rId55"/>
    <hyperlink ref="O34" r:id="rId56"/>
    <hyperlink ref="O37" r:id="rId57"/>
    <hyperlink ref="O38" r:id="rId58"/>
    <hyperlink ref="O44" r:id="rId59"/>
    <hyperlink ref="O45" r:id="rId60"/>
    <hyperlink ref="O46" r:id="rId61"/>
    <hyperlink ref="O47" r:id="rId62"/>
    <hyperlink ref="O49" r:id="rId63"/>
    <hyperlink ref="O50" r:id="rId64"/>
    <hyperlink ref="O55" r:id="rId65"/>
    <hyperlink ref="O63" r:id="rId66"/>
    <hyperlink ref="O71" r:id="rId67"/>
    <hyperlink ref="O77" r:id="rId68"/>
    <hyperlink ref="O78" r:id="rId69"/>
    <hyperlink ref="O81" r:id="rId70"/>
    <hyperlink ref="O82" r:id="rId71"/>
    <hyperlink ref="O80" r:id="rId72"/>
    <hyperlink ref="O83" r:id="rId73"/>
    <hyperlink ref="O84" r:id="rId74"/>
    <hyperlink ref="O85" r:id="rId75"/>
    <hyperlink ref="O86" r:id="rId76"/>
    <hyperlink ref="O88" r:id="rId77"/>
    <hyperlink ref="O89" r:id="rId78"/>
    <hyperlink ref="O90" r:id="rId79"/>
    <hyperlink ref="O91" r:id="rId80"/>
    <hyperlink ref="O92" r:id="rId81"/>
    <hyperlink ref="O93" r:id="rId82"/>
    <hyperlink ref="O95" r:id="rId83"/>
    <hyperlink ref="O96" r:id="rId84"/>
    <hyperlink ref="O97" r:id="rId85"/>
    <hyperlink ref="O98" r:id="rId86"/>
    <hyperlink ref="O102" r:id="rId87"/>
    <hyperlink ref="O101" r:id="rId88"/>
    <hyperlink ref="O25" r:id="rId89"/>
    <hyperlink ref="O36" r:id="rId90"/>
    <hyperlink ref="O99" r:id="rId91"/>
    <hyperlink ref="O104" r:id="rId92"/>
    <hyperlink ref="O103" r:id="rId93"/>
    <hyperlink ref="O105" r:id="rId94"/>
  </hyperlinks>
  <pageMargins left="0.7" right="0.7" top="0.75" bottom="0.75" header="0.3" footer="0.3"/>
  <pageSetup paperSize="9" orientation="portrait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2024-09-23T06:50:54Z</dcterms:modified>
</cp:coreProperties>
</file>