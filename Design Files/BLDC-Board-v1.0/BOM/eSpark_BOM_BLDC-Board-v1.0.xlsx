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BLDC-Board-v1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M46" i="1" l="1"/>
  <c r="Q75" i="1" l="1"/>
  <c r="M75" i="1"/>
  <c r="B75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M10" i="1"/>
  <c r="B10" i="1"/>
  <c r="Q76" i="1" l="1"/>
  <c r="Q77" i="1" s="1"/>
  <c r="Q9" i="1"/>
  <c r="Q8" i="1"/>
  <c r="M9" i="1"/>
  <c r="M8" i="1"/>
  <c r="B9" i="1"/>
  <c r="B8" i="1"/>
</calcChain>
</file>

<file path=xl/sharedStrings.xml><?xml version="1.0" encoding="utf-8"?>
<sst xmlns="http://schemas.openxmlformats.org/spreadsheetml/2006/main" count="715" uniqueCount="414">
  <si>
    <t>Component list</t>
  </si>
  <si>
    <t>Project:</t>
  </si>
  <si>
    <t>#</t>
  </si>
  <si>
    <t xml:space="preserve">Total Component Cost </t>
  </si>
  <si>
    <t>Single Board Cost</t>
  </si>
  <si>
    <t>Item Type</t>
  </si>
  <si>
    <t>Capacitor</t>
  </si>
  <si>
    <t>Electrolytic Capacitor</t>
  </si>
  <si>
    <t>Diode</t>
  </si>
  <si>
    <t>ESD Protection Device</t>
  </si>
  <si>
    <t>Fuse</t>
  </si>
  <si>
    <t>USB Connector</t>
  </si>
  <si>
    <t>Male Header</t>
  </si>
  <si>
    <t>Screw terminal</t>
  </si>
  <si>
    <t>Terminal Block</t>
  </si>
  <si>
    <t>Terminal Blocks</t>
  </si>
  <si>
    <t>Relay</t>
  </si>
  <si>
    <t>Ferrite Bead</t>
  </si>
  <si>
    <t>Inductor</t>
  </si>
  <si>
    <t>LED</t>
  </si>
  <si>
    <t>Transistors</t>
  </si>
  <si>
    <t>Transistor</t>
  </si>
  <si>
    <t>(BJT)</t>
  </si>
  <si>
    <t>Resistor</t>
  </si>
  <si>
    <t>Resistors</t>
  </si>
  <si>
    <t>Switch</t>
  </si>
  <si>
    <t>Microcontrollers</t>
  </si>
  <si>
    <t>IC</t>
  </si>
  <si>
    <t>Optocoupler</t>
  </si>
  <si>
    <t>Crystal</t>
  </si>
  <si>
    <t>Designator</t>
  </si>
  <si>
    <t>C1, C10, C20, C21</t>
  </si>
  <si>
    <t>C2</t>
  </si>
  <si>
    <t>C4, C5</t>
  </si>
  <si>
    <t>C6, C7</t>
  </si>
  <si>
    <t>C8</t>
  </si>
  <si>
    <t>C9, C17, C35, C36, C37, C38</t>
  </si>
  <si>
    <t>C11</t>
  </si>
  <si>
    <t>C12</t>
  </si>
  <si>
    <t>C13, C16, C18</t>
  </si>
  <si>
    <t>C14, C15, C29, C30, C31, C32</t>
  </si>
  <si>
    <t>C19, C33, C34</t>
  </si>
  <si>
    <t>C22</t>
  </si>
  <si>
    <t>C23, C24, C25, C26, C27, C28</t>
  </si>
  <si>
    <t>D1, D26</t>
  </si>
  <si>
    <t>D2, D3</t>
  </si>
  <si>
    <t>D4</t>
  </si>
  <si>
    <t>D5</t>
  </si>
  <si>
    <t>D6, D7, D8, D9</t>
  </si>
  <si>
    <t>D10, D11, D14, D15</t>
  </si>
  <si>
    <t>D12, D13, D16, D17</t>
  </si>
  <si>
    <t>D18, D19, D20, D21, D22, D23, D24, D25</t>
  </si>
  <si>
    <t>F1, F2, F3, F4</t>
  </si>
  <si>
    <t>J1</t>
  </si>
  <si>
    <t>J2, J4</t>
  </si>
  <si>
    <t>J3</t>
  </si>
  <si>
    <t>J5</t>
  </si>
  <si>
    <t>J8, J9, J13, J14</t>
  </si>
  <si>
    <t>J10</t>
  </si>
  <si>
    <t>J11, J12, J16</t>
  </si>
  <si>
    <t>K1, K2, K3, K4</t>
  </si>
  <si>
    <t>L1</t>
  </si>
  <si>
    <t>L2</t>
  </si>
  <si>
    <t>LED1, LED2, LED3</t>
  </si>
  <si>
    <t>Q1, Q2, Q3, Q4</t>
  </si>
  <si>
    <t>Q5, Q7, Q9, Q11</t>
  </si>
  <si>
    <t>Q6, Q8, Q10, Q12</t>
  </si>
  <si>
    <t>R1, R2</t>
  </si>
  <si>
    <t>R3</t>
  </si>
  <si>
    <t>R4, R5</t>
  </si>
  <si>
    <t>R6, R8</t>
  </si>
  <si>
    <t>R7, R57, R62, R63, R65, R70, R71, R73, R78, R79, R81, R86, R87, R94</t>
  </si>
  <si>
    <t>R9</t>
  </si>
  <si>
    <t>R10</t>
  </si>
  <si>
    <t>R11, R31, R45, R52</t>
  </si>
  <si>
    <t>R12, R32, R36, R37, R46, R47, R48, R53, R59, R61, R67, R69, R75, R77, R83, R85</t>
  </si>
  <si>
    <t>R13, R33, R34, R35</t>
  </si>
  <si>
    <t>R14</t>
  </si>
  <si>
    <t>R15, R17</t>
  </si>
  <si>
    <t>R16</t>
  </si>
  <si>
    <t>R18, R19, R20, R21, R22, R26</t>
  </si>
  <si>
    <t>R23, R24, R25, R27</t>
  </si>
  <si>
    <t>R28</t>
  </si>
  <si>
    <t>R38, R39, R40, R41, R42, R49, R50, R51, R54, R55, R56, R58</t>
  </si>
  <si>
    <t>R60</t>
  </si>
  <si>
    <t>R64</t>
  </si>
  <si>
    <t>R66, R68, R72, R74</t>
  </si>
  <si>
    <t>R76</t>
  </si>
  <si>
    <t>SW1</t>
  </si>
  <si>
    <t>U1</t>
  </si>
  <si>
    <t>U2</t>
  </si>
  <si>
    <t>U3</t>
  </si>
  <si>
    <t>U4, U8, U12, U14</t>
  </si>
  <si>
    <t>U5</t>
  </si>
  <si>
    <t>U6</t>
  </si>
  <si>
    <t>U7</t>
  </si>
  <si>
    <t>U16, U17, U18, U19, U20, U21, U22, U23, U24, U25, U26, U27</t>
  </si>
  <si>
    <t>X1</t>
  </si>
  <si>
    <t>X2</t>
  </si>
  <si>
    <t>Description</t>
  </si>
  <si>
    <t>CAP CER 0.1UF 16V X7R 0402</t>
  </si>
  <si>
    <t>CAP CER 4700PF 50V C0G/NPO 0603</t>
  </si>
  <si>
    <t>CAP CER 6.8PF 50V C0G/NPO 0402</t>
  </si>
  <si>
    <t>CAP CER 10PF 50V C0G/NP0 0402</t>
  </si>
  <si>
    <t>CAP CER 4.7UF 10V X5R 0402</t>
  </si>
  <si>
    <t>CAP CER 0.1UF 50V X7R 0402</t>
  </si>
  <si>
    <t>CAP CER 0.1UF 50V X5R 0402</t>
  </si>
  <si>
    <t>CAP CER 47PF 50V C0G/NP0 0402</t>
  </si>
  <si>
    <t>CAP CER 10UF 25V X5R 0603</t>
  </si>
  <si>
    <t>22uF 200V 320mA@100kHz ±20% SMD,D8xL16.5mm Aluminum Electrolytic Capacitors - SMD ROHS</t>
  </si>
  <si>
    <t>CAP ALUM 220UF 20% 50V SMD</t>
  </si>
  <si>
    <t>CAP CER 4700PF 50V X7R 0402</t>
  </si>
  <si>
    <t>CAP CER 0.1UF 100V X5R 0402</t>
  </si>
  <si>
    <t>TVS DIODE 5V 9.8V SOD923</t>
  </si>
  <si>
    <t>TVS SURGE PROTECTOR 1-CH 3.3V</t>
  </si>
  <si>
    <t>TVS DIODE 28VWM 45.4VC SMB</t>
  </si>
  <si>
    <t>TVS DIODE 5VWM 6.3VC DSN0603-2</t>
  </si>
  <si>
    <t>SMB(DO-214AA) TVS ROHS</t>
  </si>
  <si>
    <t>DIODE GEN PURP 75V 150MA SOD323</t>
  </si>
  <si>
    <t>±5% Single 3.1V~3.5V 300mW 3.3V SOD-323 Zener Diodes ROHS</t>
  </si>
  <si>
    <t>TVS DIODE 5VWM SOD523</t>
  </si>
  <si>
    <t>9V 200mA 100A 500mA 0805 Resettable Fuses ROHS</t>
  </si>
  <si>
    <t>5A 1 16P Female Type-C SMD USB Connectors ROHS</t>
  </si>
  <si>
    <t>Gold 250V 3A Straight Square Pins 2.5mm 4P 260℃ 6mm -40℃~+105℃ 3mm 2.54mm Plugin Black Brass 1x4P Plugin,P=2.54mm Pin Headers ROHS</t>
  </si>
  <si>
    <t>CONN HEADER VERT 3POS 2.54MM</t>
  </si>
  <si>
    <t>Gold 250V 3A Square Pins 2.5mm 8P 260℃ 6mm -40℃~+105℃ 3mm 2.54mm Plugin Black Brass 2.54mm 1x8P Plugin,P=2.54mm Pin Headers ROHS</t>
  </si>
  <si>
    <t>1x5P -40℃~+105℃ 15A 250V Green 14~26 Straight pin 5mm 1.5 1 5 Plugin,P=5mm Screw terminal ROHS</t>
  </si>
  <si>
    <t>1x3P 18A -40℃~+105℃ 250V Green 14~30 Straight pin 5.08mm 2.5 1 3 Plugin,P=5.08mm Screw terminal ROHS</t>
  </si>
  <si>
    <t>TERM BLK 2P SIDE ENT 5.08MM PCB</t>
  </si>
  <si>
    <t>24V 10A SPDT (1 Form C) Plugin,10.2x20.5mm Power Relays ROHS</t>
  </si>
  <si>
    <t>FERRITE BEAD 600 OHM 0402 1LN</t>
  </si>
  <si>
    <t>2.7A 6.8uH ±20% 50mΩ SMD Power Inductors ROHS</t>
  </si>
  <si>
    <t>RED LED 0603 Light Emitting Diodes</t>
  </si>
  <si>
    <t>TRANS NPN 65V 0.1A SOT23-3</t>
  </si>
  <si>
    <t>45V 300mW 100@100mA,1V 500mA NPN SOT-23 Bipolar Transistors - BJT ROHS</t>
  </si>
  <si>
    <t>45V 310mW 250@100mA,1V 800mA SOT-23 Bipolar (BJT) ROHS</t>
  </si>
  <si>
    <t>RES 5.1K OHM 1% 1/16W 0402</t>
  </si>
  <si>
    <t>RES SMD 1M OHM 5% 1/16W 0402</t>
  </si>
  <si>
    <t>RES 0 OHM JUMPER 1/10W 0603</t>
  </si>
  <si>
    <t>RES 10K OHM 1% 1/16W 0402</t>
  </si>
  <si>
    <t>RES 158K OHM 0.1% 1/16W 0402</t>
  </si>
  <si>
    <t>RES SMD 30.1KOHM 0.1% 1/16W 0402</t>
  </si>
  <si>
    <t>1W 40mΩ Surface Mount Current Sensing Resistors ±50ppm/℃ ±1% 1206 Current Sense Resistors/Shunt Resistors ROHS</t>
  </si>
  <si>
    <t>RES SMD 1K OHM 1% 1/5W 0402</t>
  </si>
  <si>
    <t>RES SMD 13.7KOHM 0.1% 1/10W 0603</t>
  </si>
  <si>
    <t>RES 33K OHM 1% 1/16W 0402</t>
  </si>
  <si>
    <t>100mW Thick Film Resistors ±100ppm/℃ ±1% 60.4Ω 0603 Chip Resistor - Surface Mount ROHS</t>
  </si>
  <si>
    <t>RES 100K OHM 1% 1/16W 0402</t>
  </si>
  <si>
    <t>RES 4.7K OHM 1% 1/16W 0402</t>
  </si>
  <si>
    <t>RES 22 OHM 1% 1/20W 0201</t>
  </si>
  <si>
    <t>RES 120 OHM 5% 1/10W 0603</t>
  </si>
  <si>
    <t>RES SMD 57.6 OHM 1% 1/10W 0402</t>
  </si>
  <si>
    <t>RES 3.9K OHM 1% 1/16W 0402</t>
  </si>
  <si>
    <t>RES 470 OHM 1% 1/16W 0402</t>
  </si>
  <si>
    <t>RES 200 OHM 1% 1/16W 0402</t>
  </si>
  <si>
    <t>SWITCH TACTILE SPST-NO 0.05A 12V</t>
  </si>
  <si>
    <t>IC MCU 32BIT 512KB FLASH 64LQFP</t>
  </si>
  <si>
    <t>IC REG BUCK ADJ 3A TSOT26</t>
  </si>
  <si>
    <t>70dB@(100Hz) 1.5A Fixed 3.3V~3.3V Positive 6V SOT-223 Linear Voltage Regulators (LDO) ROHS</t>
  </si>
  <si>
    <t>IC CMOS 1 CIRCUIT SC70-5</t>
  </si>
  <si>
    <t>IC TRANSCEIVER HALF 1/1 14VSON</t>
  </si>
  <si>
    <t>250Kbps transceiver 2/2 SOP-16 RS232 ICs ROHS</t>
  </si>
  <si>
    <t>IC TRANSCEIVER HALF 1/1 8SON</t>
  </si>
  <si>
    <t>Optoisolator Transistor Output 3750Vrms 1 Channel</t>
  </si>
  <si>
    <t>32.768kHz 12.5pF ±20ppm MC-306 Crystals ROHS</t>
  </si>
  <si>
    <t>8MHz 18pF ±10ppm SMD5032-4P Crystals ROHS</t>
  </si>
  <si>
    <t>Footprint</t>
  </si>
  <si>
    <t>Cap-0402</t>
  </si>
  <si>
    <t>Cap-0603</t>
  </si>
  <si>
    <t>cap-0402</t>
  </si>
  <si>
    <t>VKMD1652D220MV</t>
  </si>
  <si>
    <t>UCD-220uF-10mmDia</t>
  </si>
  <si>
    <t>SOD-923.</t>
  </si>
  <si>
    <t>SOD-123</t>
  </si>
  <si>
    <t>SMB_</t>
  </si>
  <si>
    <t>DSN0603-2</t>
  </si>
  <si>
    <t>SMB Bi Directional</t>
  </si>
  <si>
    <t>SOD-323</t>
  </si>
  <si>
    <t>SOD-523</t>
  </si>
  <si>
    <t>Fuse-0805</t>
  </si>
  <si>
    <t>HDR1X4_</t>
  </si>
  <si>
    <t>HDR1X3_</t>
  </si>
  <si>
    <t>HDR 1x8 TH male</t>
  </si>
  <si>
    <t>WJ127-5.0-5P</t>
  </si>
  <si>
    <t>WJ500V-5.08-3P</t>
  </si>
  <si>
    <t>HF33F/024-ZS3</t>
  </si>
  <si>
    <t>IND-0402</t>
  </si>
  <si>
    <t>LED-0603</t>
  </si>
  <si>
    <t>SOT-23</t>
  </si>
  <si>
    <t>Res-0402</t>
  </si>
  <si>
    <t>Res-0603</t>
  </si>
  <si>
    <t>Res-1206</t>
  </si>
  <si>
    <t>Res-0201</t>
  </si>
  <si>
    <t>B3U-1000P</t>
  </si>
  <si>
    <t>LQFP-64(10x10)</t>
  </si>
  <si>
    <t>SOT-23-6</t>
  </si>
  <si>
    <t>SOT- 223</t>
  </si>
  <si>
    <t>SC-70-5</t>
  </si>
  <si>
    <t>VSON-14(3x4.5)</t>
  </si>
  <si>
    <t>SO-Narrow-16</t>
  </si>
  <si>
    <t>SON-8-EP(3x3)</t>
  </si>
  <si>
    <t>SOP-4_2.54</t>
  </si>
  <si>
    <t>MC-306</t>
  </si>
  <si>
    <t>Manufacturer Part Number</t>
  </si>
  <si>
    <t>CC0402JRX7R7BB104</t>
  </si>
  <si>
    <t>CC0603JRNPO9BN472</t>
  </si>
  <si>
    <t>CC0402CRNPO9BN6R8</t>
  </si>
  <si>
    <t>GRM1555C1H100JA01D</t>
  </si>
  <si>
    <t>CC0402KRX5R6BB475</t>
  </si>
  <si>
    <t>C1005X7R1H104KT000F</t>
  </si>
  <si>
    <t>C1005X5R1H104K050BB</t>
  </si>
  <si>
    <t>GCM1555C1H470FA16D</t>
  </si>
  <si>
    <t>C1608X5R1E106M080AC</t>
  </si>
  <si>
    <t>UCD1H221MNL1GS</t>
  </si>
  <si>
    <t>CC0402KRX7R9BB472</t>
  </si>
  <si>
    <t>GRM155R62A104KE14D</t>
  </si>
  <si>
    <t>ESD9L5.0ST5G</t>
  </si>
  <si>
    <t>AZ3003-01G</t>
  </si>
  <si>
    <t>SMBJ28A-13-F</t>
  </si>
  <si>
    <t>PESD5V0H1BSFYL</t>
  </si>
  <si>
    <t>SMBJ26CA</t>
  </si>
  <si>
    <t>1N4148WS-7-F</t>
  </si>
  <si>
    <t>MM3Z3V3</t>
  </si>
  <si>
    <t>ESD5B5.0ST1G</t>
  </si>
  <si>
    <t>SMD0805P020TF</t>
  </si>
  <si>
    <t>TYPE-C-31-M-12</t>
  </si>
  <si>
    <t>X6511WV-04H-C60D30</t>
  </si>
  <si>
    <t>X6511WV-08H-C60D30</t>
  </si>
  <si>
    <t>BLM15AG601SN1D</t>
  </si>
  <si>
    <t>LVC505040-6R8M-N</t>
  </si>
  <si>
    <t>NCD0603R3</t>
  </si>
  <si>
    <t>BC846B-7-F</t>
  </si>
  <si>
    <t>BC817 6B 160-400</t>
  </si>
  <si>
    <t>BC807-40</t>
  </si>
  <si>
    <t>RC0402FR-075K1L</t>
  </si>
  <si>
    <t>AF0402JR-071ML</t>
  </si>
  <si>
    <t>RC0603JR-070RL</t>
  </si>
  <si>
    <t>RC0402FR-0710KL</t>
  </si>
  <si>
    <t>RT0402BRE07158KL</t>
  </si>
  <si>
    <t>RT0402BRD0730K1L</t>
  </si>
  <si>
    <t>LR1206-21R040F4</t>
  </si>
  <si>
    <t>CRCW04021K00FKEDHP</t>
  </si>
  <si>
    <t>AT0603BRD0713K7L</t>
  </si>
  <si>
    <t>RC0402FR-0733KL</t>
  </si>
  <si>
    <t>RTT0360R4FTP</t>
  </si>
  <si>
    <t>RC0402FR-07100KL</t>
  </si>
  <si>
    <t>RC0402FR-074K7L</t>
  </si>
  <si>
    <t>RC0201FR-0722RL</t>
  </si>
  <si>
    <t>RC0603JR-07120RL</t>
  </si>
  <si>
    <t>ERJ-2RKF57R6X</t>
  </si>
  <si>
    <t>RC0402FR-073K9L</t>
  </si>
  <si>
    <t>RC0402FR-07470RL</t>
  </si>
  <si>
    <t>RC0402FR-07200RL</t>
  </si>
  <si>
    <t>STM32G0B1RET6</t>
  </si>
  <si>
    <t>AP63300WU-7</t>
  </si>
  <si>
    <t>BL8071CLATR33</t>
  </si>
  <si>
    <t>TLV9001IDCKR</t>
  </si>
  <si>
    <t>TCAN1463DMTRQ1</t>
  </si>
  <si>
    <t>MAX3232ESE</t>
  </si>
  <si>
    <t>THVD2450DRBR</t>
  </si>
  <si>
    <t>IS181GB</t>
  </si>
  <si>
    <t>MC-306 32.7680K-A0:ROHS</t>
  </si>
  <si>
    <t>5TJ480000XYLBC</t>
  </si>
  <si>
    <t>Manufacturer</t>
  </si>
  <si>
    <t>Yageo</t>
  </si>
  <si>
    <t>Murata</t>
  </si>
  <si>
    <t>TDK</t>
  </si>
  <si>
    <t>Ymin</t>
  </si>
  <si>
    <t>Nichicon</t>
  </si>
  <si>
    <t>ON Semiconductor</t>
  </si>
  <si>
    <t>Amazing</t>
  </si>
  <si>
    <t>Diodes</t>
  </si>
  <si>
    <t>Nexperia</t>
  </si>
  <si>
    <t>MSKSEMI</t>
  </si>
  <si>
    <t>JSMSEMI</t>
  </si>
  <si>
    <t>RUILON</t>
  </si>
  <si>
    <t>Korean Hroparts Elec</t>
  </si>
  <si>
    <t>XKB</t>
  </si>
  <si>
    <t>Ningbo Kangnex Elec</t>
  </si>
  <si>
    <t>Phoenix Contact</t>
  </si>
  <si>
    <t>HF(Xiamen Hongfa Electroacoustic)</t>
  </si>
  <si>
    <t>Chlisin Elec</t>
  </si>
  <si>
    <t>Foshan NationStar Optoelectronics</t>
  </si>
  <si>
    <t>DOWO</t>
  </si>
  <si>
    <t>KEXIN</t>
  </si>
  <si>
    <t>RALEC</t>
  </si>
  <si>
    <t>Vishay Dale</t>
  </si>
  <si>
    <t>YAGEO</t>
  </si>
  <si>
    <t>Panasonic</t>
  </si>
  <si>
    <t>Omron</t>
  </si>
  <si>
    <t>STMicroelectronics</t>
  </si>
  <si>
    <t>BL(Shanghai Belling)</t>
  </si>
  <si>
    <t>Texas Instruments</t>
  </si>
  <si>
    <t>UMW</t>
  </si>
  <si>
    <t>Isocom</t>
  </si>
  <si>
    <t>Seiko Epson</t>
  </si>
  <si>
    <t>JYJE</t>
  </si>
  <si>
    <t>LCSC Part Number</t>
  </si>
  <si>
    <t>C541464</t>
  </si>
  <si>
    <t>C576818</t>
  </si>
  <si>
    <t>C189470</t>
  </si>
  <si>
    <t>C76946</t>
  </si>
  <si>
    <t>C326586</t>
  </si>
  <si>
    <t>C361198</t>
  </si>
  <si>
    <t>C2181865</t>
  </si>
  <si>
    <t>C393684</t>
  </si>
  <si>
    <t>C487500</t>
  </si>
  <si>
    <t>C116211</t>
  </si>
  <si>
    <t>C162178</t>
  </si>
  <si>
    <t>C82326</t>
  </si>
  <si>
    <t>-</t>
  </si>
  <si>
    <t>C477989</t>
  </si>
  <si>
    <t>C5331111</t>
  </si>
  <si>
    <t>C60580</t>
  </si>
  <si>
    <t>C123917</t>
  </si>
  <si>
    <t>C93623</t>
  </si>
  <si>
    <t>C20976</t>
  </si>
  <si>
    <t>C165948</t>
  </si>
  <si>
    <t>C706876</t>
  </si>
  <si>
    <t>C706880</t>
  </si>
  <si>
    <t>C192780</t>
  </si>
  <si>
    <t>C72334</t>
  </si>
  <si>
    <t>C36391</t>
  </si>
  <si>
    <t>C76884</t>
  </si>
  <si>
    <t>C285870</t>
  </si>
  <si>
    <t>C3151730</t>
  </si>
  <si>
    <t>C183643</t>
  </si>
  <si>
    <t>C371086</t>
  </si>
  <si>
    <t>C489159</t>
  </si>
  <si>
    <t>C105872</t>
  </si>
  <si>
    <t>C144054</t>
  </si>
  <si>
    <t>C95177</t>
  </si>
  <si>
    <t>C60490</t>
  </si>
  <si>
    <t>C853045</t>
  </si>
  <si>
    <t>C852714</t>
  </si>
  <si>
    <t>C2681030</t>
  </si>
  <si>
    <t>C313354</t>
  </si>
  <si>
    <t>C855608</t>
  </si>
  <si>
    <t>C138003</t>
  </si>
  <si>
    <t>C103744</t>
  </si>
  <si>
    <t>C60491</t>
  </si>
  <si>
    <t>C105871</t>
  </si>
  <si>
    <t>C155743</t>
  </si>
  <si>
    <t>C114681</t>
  </si>
  <si>
    <t>C3025671</t>
  </si>
  <si>
    <t>C131467</t>
  </si>
  <si>
    <t>C114877</t>
  </si>
  <si>
    <t>C114764</t>
  </si>
  <si>
    <t>C231329</t>
  </si>
  <si>
    <t>C2829307</t>
  </si>
  <si>
    <t>C2158012</t>
  </si>
  <si>
    <t>C401677</t>
  </si>
  <si>
    <t>C398362</t>
  </si>
  <si>
    <t>C5215823</t>
  </si>
  <si>
    <t>C2904738</t>
  </si>
  <si>
    <t>C2878080</t>
  </si>
  <si>
    <t>C84196</t>
  </si>
  <si>
    <t>C2650464</t>
  </si>
  <si>
    <t>C2149247</t>
  </si>
  <si>
    <t>0.1uF</t>
  </si>
  <si>
    <t>4.7nF</t>
  </si>
  <si>
    <t>DNP</t>
  </si>
  <si>
    <t>10pF</t>
  </si>
  <si>
    <t>4.7uF</t>
  </si>
  <si>
    <t>100nF</t>
  </si>
  <si>
    <t>47pF</t>
  </si>
  <si>
    <t>10uF</t>
  </si>
  <si>
    <t>22uF</t>
  </si>
  <si>
    <t>220uF</t>
  </si>
  <si>
    <t>0.1uf</t>
  </si>
  <si>
    <t>68000-103HLF</t>
  </si>
  <si>
    <t>6.8uH</t>
  </si>
  <si>
    <t>5.1K</t>
  </si>
  <si>
    <t>1M</t>
  </si>
  <si>
    <t>0R</t>
  </si>
  <si>
    <t>10K</t>
  </si>
  <si>
    <t>158K</t>
  </si>
  <si>
    <t>30.1K</t>
  </si>
  <si>
    <t>40mR</t>
  </si>
  <si>
    <t>1K</t>
  </si>
  <si>
    <t>13.7K</t>
  </si>
  <si>
    <t>33K</t>
  </si>
  <si>
    <t>60.4R</t>
  </si>
  <si>
    <t>100K</t>
  </si>
  <si>
    <t>4.7K</t>
  </si>
  <si>
    <t>22R</t>
  </si>
  <si>
    <t>120R</t>
  </si>
  <si>
    <t>57.6R</t>
  </si>
  <si>
    <t>3.9K</t>
  </si>
  <si>
    <t>470R</t>
  </si>
  <si>
    <t>200R</t>
  </si>
  <si>
    <t>8MHz</t>
  </si>
  <si>
    <t>Quantity</t>
  </si>
  <si>
    <t>Bill of Materials for Project [BLDC-Board-v1.0]</t>
  </si>
  <si>
    <t>BLDC-Board-v1.0</t>
  </si>
  <si>
    <t>Alternate Part Number</t>
  </si>
  <si>
    <t>Value</t>
  </si>
  <si>
    <t xml:space="preserve"> Quantity (5 Boards)</t>
  </si>
  <si>
    <t>MOQ (5 Boards)</t>
  </si>
  <si>
    <t>Links</t>
  </si>
  <si>
    <t>Unit Cost (5 Boards)</t>
  </si>
  <si>
    <t>Total Cost (5 Boards)</t>
  </si>
  <si>
    <t xml:space="preserve"> Remarks</t>
  </si>
  <si>
    <t>Custom</t>
  </si>
  <si>
    <t>DO NOT MOUNT</t>
  </si>
  <si>
    <t>Amphenol</t>
  </si>
  <si>
    <t>C106208</t>
  </si>
  <si>
    <t>C91924</t>
  </si>
  <si>
    <t>C480516</t>
  </si>
  <si>
    <t>LCSC</t>
  </si>
  <si>
    <t>CL10A106MA8NRNC</t>
  </si>
  <si>
    <t>C96446</t>
  </si>
  <si>
    <t>2.54-1*3P</t>
  </si>
  <si>
    <t>C49257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</si>
</sst>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53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10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7" fillId="0" borderId="0" xfId="0" applyFont="1"/>
    <xf numFmtId="0" fontId="12" fillId="3" borderId="0" xfId="0" applyFont="1" applyFill="1" applyBorder="1" applyAlignment="1">
      <alignment horizontal="center"/>
    </xf>
    <xf numFmtId="0" fontId="12" fillId="3" borderId="5" xfId="0" quotePrefix="1" applyFont="1" applyFill="1" applyBorder="1" applyAlignment="1">
      <alignment vertical="center"/>
    </xf>
    <xf numFmtId="0" fontId="9" fillId="3" borderId="5" xfId="0" quotePrefix="1" applyFont="1" applyFill="1" applyBorder="1" applyAlignment="1">
      <alignment horizontal="left"/>
    </xf>
    <xf numFmtId="0" fontId="19" fillId="2" borderId="7" xfId="0" applyFont="1" applyFill="1" applyBorder="1" applyAlignment="1">
      <alignment horizontal="center" vertical="center" wrapText="1"/>
    </xf>
    <xf numFmtId="0" fontId="19" fillId="2" borderId="8" xfId="0" applyFont="1" applyFill="1" applyBorder="1" applyAlignment="1">
      <alignment horizontal="center" vertical="center" wrapText="1"/>
    </xf>
    <xf numFmtId="0" fontId="19" fillId="2" borderId="7" xfId="0" applyFont="1" applyFill="1" applyBorder="1" applyAlignment="1">
      <alignment horizontal="center" vertical="center"/>
    </xf>
    <xf numFmtId="0" fontId="20" fillId="2" borderId="7" xfId="0" applyFont="1" applyFill="1" applyBorder="1" applyAlignment="1">
      <alignment horizontal="center" vertical="center" wrapText="1"/>
    </xf>
    <xf numFmtId="165" fontId="19" fillId="2" borderId="7" xfId="0" applyNumberFormat="1" applyFont="1" applyFill="1" applyBorder="1" applyAlignment="1">
      <alignment horizontal="center" vertical="center" wrapText="1"/>
    </xf>
    <xf numFmtId="0" fontId="21" fillId="2" borderId="7" xfId="0" applyFont="1" applyFill="1" applyBorder="1" applyAlignment="1">
      <alignment horizontal="center" vertical="center"/>
    </xf>
    <xf numFmtId="0" fontId="22" fillId="2" borderId="7" xfId="1" applyFill="1" applyBorder="1" applyAlignment="1">
      <alignment horizontal="center" vertical="center" wrapText="1"/>
    </xf>
    <xf numFmtId="0" fontId="22" fillId="2" borderId="8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8" fillId="3" borderId="9" xfId="0" applyFont="1" applyFill="1" applyBorder="1" applyAlignment="1" applyProtection="1">
      <alignment horizontal="center" vertical="top"/>
      <protection locked="0"/>
    </xf>
    <xf numFmtId="0" fontId="18" fillId="3" borderId="5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ESD-and-Surge-Protection-TVS-ESD_onsemi-ESD9L5-0ST5G_C82326.html" TargetMode="External"/><Relationship Id="rId18" Type="http://schemas.openxmlformats.org/officeDocument/2006/relationships/hyperlink" Target="https://www.lcsc.com/product-detail/Zener-Diodes_Shandong-Jingdao-Microelectronics-MM3Z3V3_C123917.html" TargetMode="External"/><Relationship Id="rId26" Type="http://schemas.openxmlformats.org/officeDocument/2006/relationships/hyperlink" Target="https://www.lcsc.com/product-detail/Screw-Terminal-Blocks_Phoenix-Contact-1715721_C480516.html" TargetMode="External"/><Relationship Id="rId39" Type="http://schemas.openxmlformats.org/officeDocument/2006/relationships/hyperlink" Target="https://www.lcsc.com/product-detail/Chip-Resistor-Surface-Mount_YAGEO-RT0402BRD0730K1L_C852714.html" TargetMode="External"/><Relationship Id="rId21" Type="http://schemas.openxmlformats.org/officeDocument/2006/relationships/hyperlink" Target="https://www.lcsc.com/product-detail/USB-Connectors_Korean-Hroparts-Elec-TYPE-C-31-M-12_C165948.html" TargetMode="External"/><Relationship Id="rId34" Type="http://schemas.openxmlformats.org/officeDocument/2006/relationships/hyperlink" Target="https://www.lcsc.com/product-detail/Chip-Resistor-Surface-Mount_YAGEO-RC0402FR-075K1L_C105872.html" TargetMode="External"/><Relationship Id="rId42" Type="http://schemas.openxmlformats.org/officeDocument/2006/relationships/hyperlink" Target="https://www.lcsc.com/product-detail/Chip-Resistor-Surface-Mount_YAGEO-AT0603BRD0713K7L_C855608.html" TargetMode="External"/><Relationship Id="rId47" Type="http://schemas.openxmlformats.org/officeDocument/2006/relationships/hyperlink" Target="https://www.lcsc.com/product-detail/Chip-Resistor-Surface-Mount_YAGEO-RC0201FR-0722RL_C155743.html" TargetMode="External"/><Relationship Id="rId50" Type="http://schemas.openxmlformats.org/officeDocument/2006/relationships/hyperlink" Target="https://www.lcsc.com/product-detail/Chip-Resistor-Surface-Mount_YAGEO-RC0402FR-073K9L_C131467.html" TargetMode="External"/><Relationship Id="rId55" Type="http://schemas.openxmlformats.org/officeDocument/2006/relationships/hyperlink" Target="https://www.lcsc.com/product-detail/DC-DC-Converters_Diodes-Incorporated-AP63300WU-7_C2158012.html" TargetMode="External"/><Relationship Id="rId63" Type="http://schemas.openxmlformats.org/officeDocument/2006/relationships/hyperlink" Target="https://www.lcsc.com/product-detail/Pin-Headers_BOOMELE-Boom-Precision-Elec-2-54-1-3P_C49257.html" TargetMode="External"/><Relationship Id="rId7" Type="http://schemas.openxmlformats.org/officeDocument/2006/relationships/hyperlink" Target="https://www.lcsc.com/product-detail/Multilayer-Ceramic-Capacitors-MLCC-SMD-SMT_Murata-Electronics-GCM1555C1H470FA16D_C393684.html" TargetMode="External"/><Relationship Id="rId2" Type="http://schemas.openxmlformats.org/officeDocument/2006/relationships/hyperlink" Target="https://www.lcsc.com/product-detail/Multilayer-Ceramic-Capacitors-MLCC-SMD-SMT_YAGEO-CC0603JRNPO9BN472_C576818.html" TargetMode="External"/><Relationship Id="rId16" Type="http://schemas.openxmlformats.org/officeDocument/2006/relationships/hyperlink" Target="https://www.lcsc.com/product-detail/ESD-and-Surge-Protection-TVS-ESD_MSKSEMI-SMBJ26CA_C5331111.html" TargetMode="External"/><Relationship Id="rId29" Type="http://schemas.openxmlformats.org/officeDocument/2006/relationships/hyperlink" Target="https://www.lcsc.com/product-detail/Power-Inductors_Chilisin-Elec-LVC505040-6R8M-N_C285870.html" TargetMode="External"/><Relationship Id="rId11" Type="http://schemas.openxmlformats.org/officeDocument/2006/relationships/hyperlink" Target="https://www.lcsc.com/product-detail/Multilayer-Ceramic-Capacitors-MLCC-SMD-SMT_YAGEO-CC0402KRX7R9BB472_C106208.html" TargetMode="External"/><Relationship Id="rId24" Type="http://schemas.openxmlformats.org/officeDocument/2006/relationships/hyperlink" Target="https://www.lcsc.com/product-detail/Screw-Terminal-Blocks_Ningbo-Kangnex-Elec-WJ127-5-0-5P_C192780.html" TargetMode="External"/><Relationship Id="rId32" Type="http://schemas.openxmlformats.org/officeDocument/2006/relationships/hyperlink" Target="https://www.lcsc.com/product-detail/Bipolar-BJT_DOWO-BC817-6B-160-400_C371086.html" TargetMode="External"/><Relationship Id="rId37" Type="http://schemas.openxmlformats.org/officeDocument/2006/relationships/hyperlink" Target="https://www.lcsc.com/product-detail/Chip-Resistor-Surface-Mount_YAGEO-RC0402FR-0710KL_C60490.html" TargetMode="External"/><Relationship Id="rId40" Type="http://schemas.openxmlformats.org/officeDocument/2006/relationships/hyperlink" Target="https://www.lcsc.com/product-detail/Chip-Resistor-Surface-Mount_RALEC-LR1206-21R040F4_C2681030.html" TargetMode="External"/><Relationship Id="rId45" Type="http://schemas.openxmlformats.org/officeDocument/2006/relationships/hyperlink" Target="https://www.lcsc.com/product-detail/Chip-Resistor-Surface-Mount_YAGEO-RC0402FR-07100KL_C60491.html" TargetMode="External"/><Relationship Id="rId53" Type="http://schemas.openxmlformats.org/officeDocument/2006/relationships/hyperlink" Target="https://www.lcsc.com/product-detail/Tactile-Switches_Omron-Electronics-B3U-1000P_C231329.html" TargetMode="External"/><Relationship Id="rId58" Type="http://schemas.openxmlformats.org/officeDocument/2006/relationships/hyperlink" Target="https://www.lcsc.com/product-detail/CAN-Transceivers_Texas-Instruments-TCAN1463DMTRQ1_C5215823.html" TargetMode="External"/><Relationship Id="rId5" Type="http://schemas.openxmlformats.org/officeDocument/2006/relationships/hyperlink" Target="https://www.lcsc.com/product-detail/Multilayer-Ceramic-Capacitors-MLCC-SMD-SMT_TDK-C1005X7R1H104KT000F_C361198.html" TargetMode="External"/><Relationship Id="rId61" Type="http://schemas.openxmlformats.org/officeDocument/2006/relationships/hyperlink" Target="https://www.lcsc.com/product-detail/Transistor-Photovoltaic-Output-Optoisolators_Isocom-Components-IS181GB_C84196.html" TargetMode="External"/><Relationship Id="rId19" Type="http://schemas.openxmlformats.org/officeDocument/2006/relationships/hyperlink" Target="https://www.lcsc.com/product-detail/ESD-and-Surge-Protection-TVS-ESD_onsemi-ESD5B5-0ST1G_C93623.html" TargetMode="External"/><Relationship Id="rId14" Type="http://schemas.openxmlformats.org/officeDocument/2006/relationships/hyperlink" Target="https://www.lcsc.com/product-detail/ESD-and-Surge-Protection-TVS-ESD_Diodes-Incorporated-SMBJ28A-13-F_C91924.html" TargetMode="External"/><Relationship Id="rId22" Type="http://schemas.openxmlformats.org/officeDocument/2006/relationships/hyperlink" Target="https://www.lcsc.com/product-detail/Pin-Headers_XKB-Connection-X6511WV-04H-C60D30_C706876.html" TargetMode="External"/><Relationship Id="rId27" Type="http://schemas.openxmlformats.org/officeDocument/2006/relationships/hyperlink" Target="https://www.lcsc.com/product-detail/Power-Relays_HF-Xiamen-Hongfa-Electroacoustic-HF33F-024-ZS3_C36391.html" TargetMode="External"/><Relationship Id="rId30" Type="http://schemas.openxmlformats.org/officeDocument/2006/relationships/hyperlink" Target="https://www.lcsc.com/product-detail/LED-Indication-Discrete_Foshan-NationStar-Optoelectronics-NCD0603R3_C3151730.html" TargetMode="External"/><Relationship Id="rId35" Type="http://schemas.openxmlformats.org/officeDocument/2006/relationships/hyperlink" Target="https://www.lcsc.com/product-detail/Chip-Resistor-Surface-Mount_YAGEO-AF0402JR-071ML_C144054.html" TargetMode="External"/><Relationship Id="rId43" Type="http://schemas.openxmlformats.org/officeDocument/2006/relationships/hyperlink" Target="https://www.lcsc.com/product-detail/Chip-Resistor-Surface-Mount_YAGEO-RC0402FR-0733KL_C138003.html" TargetMode="External"/><Relationship Id="rId48" Type="http://schemas.openxmlformats.org/officeDocument/2006/relationships/hyperlink" Target="https://www.lcsc.com/product-detail/Chip-Resistor-Surface-Mount_YAGEO-RC0603JR-07120RL_C114681.html" TargetMode="External"/><Relationship Id="rId56" Type="http://schemas.openxmlformats.org/officeDocument/2006/relationships/hyperlink" Target="https://www.lcsc.com/product-detail/Voltage-Regulators-Linear-Low-Drop-Out-LDO-Regulators_BL-Shanghai-Belling-BL8071CLATR33_C401677.html" TargetMode="External"/><Relationship Id="rId64" Type="http://schemas.openxmlformats.org/officeDocument/2006/relationships/printerSettings" Target="../printerSettings/printerSettings1.bin"/><Relationship Id="rId8" Type="http://schemas.openxmlformats.org/officeDocument/2006/relationships/hyperlink" Target="https://www.lcsc.com/product-detail/Multilayer-Ceramic-Capacitors-MLCC-SMD-SMT_Samsung-Electro-Mechanics-CL10A106MA8NRNC_C96446.html" TargetMode="External"/><Relationship Id="rId51" Type="http://schemas.openxmlformats.org/officeDocument/2006/relationships/hyperlink" Target="https://www.lcsc.com/product-detail/Chip-Resistor-Surface-Mount_YAGEO-RC0402FR-07470RL_C114877.html" TargetMode="External"/><Relationship Id="rId3" Type="http://schemas.openxmlformats.org/officeDocument/2006/relationships/hyperlink" Target="https://www.lcsc.com/product-detail/Multilayer-Ceramic-Capacitors-MLCC-SMD-SMT_Murata-Electronics-GRM1555C1H100JA01D_C76946.html" TargetMode="External"/><Relationship Id="rId12" Type="http://schemas.openxmlformats.org/officeDocument/2006/relationships/hyperlink" Target="https://www.lcsc.com/product-detail/Multilayer-Ceramic-Capacitors-MLCC-SMD-SMT_Murata-Electronics-GRM155R62A104KE14D_C162178.html" TargetMode="External"/><Relationship Id="rId17" Type="http://schemas.openxmlformats.org/officeDocument/2006/relationships/hyperlink" Target="https://www.lcsc.com/product-detail/Switching-Diodes_Diodes-Incorporated-1N4148WS-7-F_C60580.html" TargetMode="External"/><Relationship Id="rId25" Type="http://schemas.openxmlformats.org/officeDocument/2006/relationships/hyperlink" Target="https://www.lcsc.com/product-detail/Screw-Terminal-Blocks_Ningbo-Kangnex-Elec-WJ500V-5-08-3P_C72334.html" TargetMode="External"/><Relationship Id="rId33" Type="http://schemas.openxmlformats.org/officeDocument/2006/relationships/hyperlink" Target="https://www.lcsc.com/product-detail/Bipolar-BJT_KEXIN-BC807-40_C489159.html" TargetMode="External"/><Relationship Id="rId38" Type="http://schemas.openxmlformats.org/officeDocument/2006/relationships/hyperlink" Target="https://www.lcsc.com/product-detail/Chip-Resistor-Surface-Mount_YAGEO-RT0402BRE07158KL_C853045.html" TargetMode="External"/><Relationship Id="rId46" Type="http://schemas.openxmlformats.org/officeDocument/2006/relationships/hyperlink" Target="https://www.lcsc.com/product-detail/Chip-Resistor-Surface-Mount_YAGEO-RC0402FR-074K7L_C105871.html" TargetMode="External"/><Relationship Id="rId59" Type="http://schemas.openxmlformats.org/officeDocument/2006/relationships/hyperlink" Target="https://www.lcsc.com/product-detail/RS232-ICs_UMW-Youtai-Semiconductor-Co-Ltd-MAX3232ESE_C2904738.html" TargetMode="External"/><Relationship Id="rId20" Type="http://schemas.openxmlformats.org/officeDocument/2006/relationships/hyperlink" Target="https://www.lcsc.com/product-detail/Resettable-Fuses_RUILON-Shenzhen-Ruilongyuan-Elec-SMD0805P020TF_C20976.html" TargetMode="External"/><Relationship Id="rId41" Type="http://schemas.openxmlformats.org/officeDocument/2006/relationships/hyperlink" Target="https://www.lcsc.com/product-detail/Chip-Resistor-Surface-Mount_Vishay-Intertech-CRCW04021K00FKEDHP_C313354.html" TargetMode="External"/><Relationship Id="rId54" Type="http://schemas.openxmlformats.org/officeDocument/2006/relationships/hyperlink" Target="https://www.lcsc.com/product-detail/Microcontrollers-MCU-MPU-SOC_STMicroelectronics-STM32G0B1RET6_C2829307.html" TargetMode="External"/><Relationship Id="rId62" Type="http://schemas.openxmlformats.org/officeDocument/2006/relationships/hyperlink" Target="https://www.lcsc.com/product-detail/Crystals_Seiko-Epson-MC-306-32-7680K-A0-ROHS_C2650464.html" TargetMode="External"/><Relationship Id="rId1" Type="http://schemas.openxmlformats.org/officeDocument/2006/relationships/hyperlink" Target="https://www.lcsc.com/product-detail/Multilayer-Ceramic-Capacitors-MLCC-SMD-SMT_YAGEO-CC0402JRX7R7BB104_C541464.html" TargetMode="External"/><Relationship Id="rId6" Type="http://schemas.openxmlformats.org/officeDocument/2006/relationships/hyperlink" Target="https://www.lcsc.com/product-detail/Multilayer-Ceramic-Capacitors-MLCC-SMD-SMT_TDK-C1005X5R1H104K050BB_C2181865.html" TargetMode="External"/><Relationship Id="rId15" Type="http://schemas.openxmlformats.org/officeDocument/2006/relationships/hyperlink" Target="https://www.lcsc.com/product-detail/ESD-and-Surge-Protection-TVS-ESD_Nexperia-PESD5V0H1BSF_C477989.html" TargetMode="External"/><Relationship Id="rId23" Type="http://schemas.openxmlformats.org/officeDocument/2006/relationships/hyperlink" Target="https://www.lcsc.com/product-detail/Pin-Headers_XKB-Connection-X6511WV-08H-C60D30_C706880.html" TargetMode="External"/><Relationship Id="rId28" Type="http://schemas.openxmlformats.org/officeDocument/2006/relationships/hyperlink" Target="https://www.lcsc.com/product-detail/Ferrite-Beads_Murata-Electronics-BLM15AG601SN1D_C76884.html" TargetMode="External"/><Relationship Id="rId36" Type="http://schemas.openxmlformats.org/officeDocument/2006/relationships/hyperlink" Target="https://www.lcsc.com/product-detail/Chip-Resistor-Surface-Mount_YAGEO-RC0603JR-070RL_C95177.html" TargetMode="External"/><Relationship Id="rId49" Type="http://schemas.openxmlformats.org/officeDocument/2006/relationships/hyperlink" Target="https://www.lcsc.com/product-detail/Chip-Resistor-Surface-Mount_PANASONIC-ERJ2RKF57R6X_C3025671.html" TargetMode="External"/><Relationship Id="rId57" Type="http://schemas.openxmlformats.org/officeDocument/2006/relationships/hyperlink" Target="https://www.lcsc.com/product-detail/Operational-Amplifier_Texas-Instruments-TLV9001IDCKR_C398362.html" TargetMode="External"/><Relationship Id="rId10" Type="http://schemas.openxmlformats.org/officeDocument/2006/relationships/hyperlink" Target="https://www.lcsc.com/product-detail/Aluminum-Electrolytic-Capacitors-SMD_Nichicon-UCD1H221MNL1GS_C116211.html" TargetMode="External"/><Relationship Id="rId31" Type="http://schemas.openxmlformats.org/officeDocument/2006/relationships/hyperlink" Target="https://www.lcsc.com/product-detail/Bipolar-BJT_Diodes-Incorporated-BC846B-7-F_C183643.html" TargetMode="External"/><Relationship Id="rId44" Type="http://schemas.openxmlformats.org/officeDocument/2006/relationships/hyperlink" Target="https://www.lcsc.com/product-detail/Chip-Resistor-Surface-Mount_RALEC-RTT0360R4FTP_C103744.html" TargetMode="External"/><Relationship Id="rId52" Type="http://schemas.openxmlformats.org/officeDocument/2006/relationships/hyperlink" Target="https://www.lcsc.com/product-detail/Chip-Resistor-Surface-Mount_YAGEO-RC0402FR-07200RL_C114764.html" TargetMode="External"/><Relationship Id="rId60" Type="http://schemas.openxmlformats.org/officeDocument/2006/relationships/hyperlink" Target="https://www.lcsc.com/product-detail/RS-485-RS-422-ICs_Texas-Instruments-THVD2450DRBR_C2878080.html" TargetMode="External"/><Relationship Id="rId4" Type="http://schemas.openxmlformats.org/officeDocument/2006/relationships/hyperlink" Target="https://www.lcsc.com/product-detail/Multilayer-Ceramic-Capacitors-MLCC-SMD-SMT_YAGEO-CC0402KRX5R6BB475_C326586.html" TargetMode="External"/><Relationship Id="rId9" Type="http://schemas.openxmlformats.org/officeDocument/2006/relationships/hyperlink" Target="https://www.lcsc.com/product-detail/Aluminum-Electrolytic-Capacitors-SMD_Ymin-VKMD1652D220MV_C48750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89"/>
  <sheetViews>
    <sheetView tabSelected="1" topLeftCell="E64" workbookViewId="0">
      <selection activeCell="Q90" sqref="Q90"/>
    </sheetView>
  </sheetViews>
  <sheetFormatPr defaultRowHeight="15" x14ac:dyDescent="0.2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17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710937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20" max="20" width="10.5703125" bestFit="1" customWidth="1"/>
    <col min="21" max="21" width="25.28515625" bestFit="1" customWidth="1"/>
    <col min="22" max="22" width="8.7109375" bestFit="1" customWidth="1"/>
  </cols>
  <sheetData>
    <row r="1" spans="1:18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50"/>
      <c r="L1" s="50"/>
      <c r="M1" s="50"/>
      <c r="N1" s="50"/>
      <c r="O1" s="50"/>
      <c r="P1" s="50"/>
      <c r="Q1" s="50"/>
      <c r="R1" s="50"/>
    </row>
    <row r="2" spans="1:18" ht="32.25" thickBot="1" x14ac:dyDescent="0.3">
      <c r="A2" s="1"/>
      <c r="B2" s="7"/>
      <c r="C2" s="13"/>
      <c r="D2" s="4" t="s">
        <v>0</v>
      </c>
      <c r="E2" s="4"/>
      <c r="F2" s="40" t="s">
        <v>393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 x14ac:dyDescent="0.3">
      <c r="A3" s="1"/>
      <c r="B3" s="8"/>
      <c r="C3" s="26"/>
      <c r="D3" s="39" t="s">
        <v>1</v>
      </c>
      <c r="E3" s="27"/>
      <c r="F3" s="41" t="s">
        <v>394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 ht="15" customHeight="1" x14ac:dyDescent="0.25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 ht="15" customHeight="1" x14ac:dyDescent="0.25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customHeight="1" thickBot="1" x14ac:dyDescent="0.3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 x14ac:dyDescent="0.3">
      <c r="A7" s="1"/>
      <c r="B7" s="12" t="s">
        <v>2</v>
      </c>
      <c r="C7" s="12" t="s">
        <v>5</v>
      </c>
      <c r="D7" s="12" t="s">
        <v>30</v>
      </c>
      <c r="E7" s="12" t="s">
        <v>99</v>
      </c>
      <c r="F7" s="12" t="s">
        <v>166</v>
      </c>
      <c r="G7" s="12" t="s">
        <v>203</v>
      </c>
      <c r="H7" s="12" t="s">
        <v>263</v>
      </c>
      <c r="I7" s="12" t="s">
        <v>395</v>
      </c>
      <c r="J7" s="12" t="s">
        <v>297</v>
      </c>
      <c r="K7" s="12" t="s">
        <v>396</v>
      </c>
      <c r="L7" s="12" t="s">
        <v>392</v>
      </c>
      <c r="M7" s="12" t="s">
        <v>397</v>
      </c>
      <c r="N7" s="12" t="s">
        <v>398</v>
      </c>
      <c r="O7" s="12" t="s">
        <v>399</v>
      </c>
      <c r="P7" s="12" t="s">
        <v>400</v>
      </c>
      <c r="Q7" s="12" t="s">
        <v>401</v>
      </c>
      <c r="R7" s="12" t="s">
        <v>402</v>
      </c>
    </row>
    <row r="8" spans="1:18" x14ac:dyDescent="0.25">
      <c r="A8" s="1"/>
      <c r="B8" s="16">
        <f>ROW(B8) - ROW($B$7)</f>
        <v>1</v>
      </c>
      <c r="C8" s="22" t="s">
        <v>6</v>
      </c>
      <c r="D8" s="14" t="s">
        <v>31</v>
      </c>
      <c r="E8" s="14" t="s">
        <v>100</v>
      </c>
      <c r="F8" s="14" t="s">
        <v>167</v>
      </c>
      <c r="G8" s="14" t="s">
        <v>204</v>
      </c>
      <c r="H8" s="14" t="s">
        <v>264</v>
      </c>
      <c r="I8" s="14" t="s">
        <v>310</v>
      </c>
      <c r="J8" s="14" t="s">
        <v>298</v>
      </c>
      <c r="K8" s="14" t="s">
        <v>359</v>
      </c>
      <c r="L8" s="14">
        <v>4</v>
      </c>
      <c r="M8" s="14">
        <f>L8*5</f>
        <v>20</v>
      </c>
      <c r="N8" s="14">
        <v>100</v>
      </c>
      <c r="O8" s="48" t="s">
        <v>409</v>
      </c>
      <c r="P8" s="15">
        <v>1.6000000000000001E-3</v>
      </c>
      <c r="Q8" s="15">
        <f>P8*N8</f>
        <v>0.16</v>
      </c>
      <c r="R8" s="14"/>
    </row>
    <row r="9" spans="1:18" x14ac:dyDescent="0.25">
      <c r="A9" s="1"/>
      <c r="B9" s="17">
        <f t="shared" ref="B9:B75" si="0">ROW(B9) - ROW($B$7)</f>
        <v>2</v>
      </c>
      <c r="C9" s="23" t="s">
        <v>6</v>
      </c>
      <c r="D9" s="20" t="s">
        <v>32</v>
      </c>
      <c r="E9" s="20" t="s">
        <v>101</v>
      </c>
      <c r="F9" s="20" t="s">
        <v>168</v>
      </c>
      <c r="G9" s="20" t="s">
        <v>205</v>
      </c>
      <c r="H9" s="20" t="s">
        <v>264</v>
      </c>
      <c r="I9" s="14" t="s">
        <v>310</v>
      </c>
      <c r="J9" s="20" t="s">
        <v>299</v>
      </c>
      <c r="K9" s="20" t="s">
        <v>360</v>
      </c>
      <c r="L9" s="20">
        <v>1</v>
      </c>
      <c r="M9" s="20">
        <f t="shared" ref="M9" si="1">L9*5</f>
        <v>5</v>
      </c>
      <c r="N9" s="20">
        <v>20</v>
      </c>
      <c r="O9" s="49" t="s">
        <v>409</v>
      </c>
      <c r="P9" s="21">
        <v>2.0799999999999999E-2</v>
      </c>
      <c r="Q9" s="21">
        <f t="shared" ref="Q9" si="2">P9*N9</f>
        <v>0.41599999999999998</v>
      </c>
      <c r="R9" s="20"/>
    </row>
    <row r="10" spans="1:18" x14ac:dyDescent="0.25">
      <c r="A10" s="1"/>
      <c r="B10" s="16">
        <f>ROW(B10) - ROW($B$7)</f>
        <v>3</v>
      </c>
      <c r="C10" s="22" t="s">
        <v>6</v>
      </c>
      <c r="D10" s="45" t="s">
        <v>33</v>
      </c>
      <c r="E10" s="45" t="s">
        <v>102</v>
      </c>
      <c r="F10" s="44" t="s">
        <v>167</v>
      </c>
      <c r="G10" s="45" t="s">
        <v>206</v>
      </c>
      <c r="H10" s="45" t="s">
        <v>264</v>
      </c>
      <c r="I10" s="14" t="s">
        <v>310</v>
      </c>
      <c r="J10" s="45" t="s">
        <v>300</v>
      </c>
      <c r="K10" s="45" t="s">
        <v>361</v>
      </c>
      <c r="L10" s="45">
        <v>2</v>
      </c>
      <c r="M10" s="45">
        <f>L10*5</f>
        <v>10</v>
      </c>
      <c r="N10" s="42" t="s">
        <v>310</v>
      </c>
      <c r="O10" s="43" t="s">
        <v>409</v>
      </c>
      <c r="P10" s="46" t="s">
        <v>310</v>
      </c>
      <c r="Q10" s="46" t="s">
        <v>310</v>
      </c>
      <c r="R10" s="47" t="s">
        <v>404</v>
      </c>
    </row>
    <row r="11" spans="1:18" x14ac:dyDescent="0.25">
      <c r="A11" s="1"/>
      <c r="B11" s="17">
        <f t="shared" si="0"/>
        <v>4</v>
      </c>
      <c r="C11" s="23" t="s">
        <v>6</v>
      </c>
      <c r="D11" s="20" t="s">
        <v>34</v>
      </c>
      <c r="E11" s="20" t="s">
        <v>103</v>
      </c>
      <c r="F11" s="20" t="s">
        <v>167</v>
      </c>
      <c r="G11" s="20" t="s">
        <v>207</v>
      </c>
      <c r="H11" s="20" t="s">
        <v>265</v>
      </c>
      <c r="I11" s="14" t="s">
        <v>310</v>
      </c>
      <c r="J11" s="20" t="s">
        <v>301</v>
      </c>
      <c r="K11" s="20" t="s">
        <v>362</v>
      </c>
      <c r="L11" s="20">
        <v>2</v>
      </c>
      <c r="M11" s="20">
        <f t="shared" ref="M11" si="3">L11*5</f>
        <v>10</v>
      </c>
      <c r="N11" s="20">
        <v>100</v>
      </c>
      <c r="O11" s="49" t="s">
        <v>409</v>
      </c>
      <c r="P11" s="21">
        <v>2.0999999999999999E-3</v>
      </c>
      <c r="Q11" s="21">
        <f t="shared" ref="Q11" si="4">P11*N11</f>
        <v>0.21</v>
      </c>
      <c r="R11" s="20"/>
    </row>
    <row r="12" spans="1:18" x14ac:dyDescent="0.25">
      <c r="A12" s="1"/>
      <c r="B12" s="16">
        <f>ROW(B12) - ROW($B$7)</f>
        <v>5</v>
      </c>
      <c r="C12" s="23" t="s">
        <v>6</v>
      </c>
      <c r="D12" s="14" t="s">
        <v>35</v>
      </c>
      <c r="E12" s="14" t="s">
        <v>104</v>
      </c>
      <c r="F12" s="14" t="s">
        <v>167</v>
      </c>
      <c r="G12" s="14" t="s">
        <v>208</v>
      </c>
      <c r="H12" s="14" t="s">
        <v>264</v>
      </c>
      <c r="I12" s="14" t="s">
        <v>310</v>
      </c>
      <c r="J12" s="14" t="s">
        <v>302</v>
      </c>
      <c r="K12" s="14" t="s">
        <v>363</v>
      </c>
      <c r="L12" s="14">
        <v>1</v>
      </c>
      <c r="M12" s="14">
        <f>L12*5</f>
        <v>5</v>
      </c>
      <c r="N12" s="14">
        <v>50</v>
      </c>
      <c r="O12" s="49" t="s">
        <v>409</v>
      </c>
      <c r="P12" s="15">
        <v>1.7500000000000002E-2</v>
      </c>
      <c r="Q12" s="15">
        <f>P12*N12</f>
        <v>0.87500000000000011</v>
      </c>
      <c r="R12" s="14"/>
    </row>
    <row r="13" spans="1:18" x14ac:dyDescent="0.25">
      <c r="A13" s="1"/>
      <c r="B13" s="17">
        <f t="shared" si="0"/>
        <v>6</v>
      </c>
      <c r="C13" s="23" t="s">
        <v>6</v>
      </c>
      <c r="D13" s="20" t="s">
        <v>36</v>
      </c>
      <c r="E13" s="20" t="s">
        <v>105</v>
      </c>
      <c r="F13" s="20" t="s">
        <v>169</v>
      </c>
      <c r="G13" s="20" t="s">
        <v>209</v>
      </c>
      <c r="H13" s="20" t="s">
        <v>266</v>
      </c>
      <c r="I13" s="14" t="s">
        <v>310</v>
      </c>
      <c r="J13" s="20" t="s">
        <v>303</v>
      </c>
      <c r="K13" s="20" t="s">
        <v>364</v>
      </c>
      <c r="L13" s="20">
        <v>6</v>
      </c>
      <c r="M13" s="20">
        <f t="shared" ref="M13" si="5">L13*5</f>
        <v>30</v>
      </c>
      <c r="N13" s="20">
        <v>40</v>
      </c>
      <c r="O13" s="49" t="s">
        <v>409</v>
      </c>
      <c r="P13" s="21">
        <v>1.32E-2</v>
      </c>
      <c r="Q13" s="21">
        <f t="shared" ref="Q13" si="6">P13*N13</f>
        <v>0.52800000000000002</v>
      </c>
      <c r="R13" s="20"/>
    </row>
    <row r="14" spans="1:18" x14ac:dyDescent="0.25">
      <c r="A14" s="1"/>
      <c r="B14" s="16">
        <f>ROW(B14) - ROW($B$7)</f>
        <v>7</v>
      </c>
      <c r="C14" s="23" t="s">
        <v>6</v>
      </c>
      <c r="D14" s="14" t="s">
        <v>37</v>
      </c>
      <c r="E14" s="14" t="s">
        <v>106</v>
      </c>
      <c r="F14" s="14" t="s">
        <v>167</v>
      </c>
      <c r="G14" s="14" t="s">
        <v>210</v>
      </c>
      <c r="H14" s="14" t="s">
        <v>266</v>
      </c>
      <c r="I14" s="14" t="s">
        <v>310</v>
      </c>
      <c r="J14" s="14" t="s">
        <v>304</v>
      </c>
      <c r="K14" s="14" t="s">
        <v>359</v>
      </c>
      <c r="L14" s="14">
        <v>1</v>
      </c>
      <c r="M14" s="14">
        <f>L14*5</f>
        <v>5</v>
      </c>
      <c r="N14" s="14">
        <v>10</v>
      </c>
      <c r="O14" s="49" t="s">
        <v>409</v>
      </c>
      <c r="P14" s="15">
        <v>9.4500000000000001E-2</v>
      </c>
      <c r="Q14" s="15">
        <f>P14*N14</f>
        <v>0.94500000000000006</v>
      </c>
      <c r="R14" s="14"/>
    </row>
    <row r="15" spans="1:18" x14ac:dyDescent="0.25">
      <c r="A15" s="1"/>
      <c r="B15" s="17">
        <f t="shared" si="0"/>
        <v>8</v>
      </c>
      <c r="C15" s="23" t="s">
        <v>6</v>
      </c>
      <c r="D15" s="20" t="s">
        <v>38</v>
      </c>
      <c r="E15" s="20" t="s">
        <v>107</v>
      </c>
      <c r="F15" s="20" t="s">
        <v>167</v>
      </c>
      <c r="G15" s="20" t="s">
        <v>211</v>
      </c>
      <c r="H15" s="20" t="s">
        <v>265</v>
      </c>
      <c r="I15" s="14" t="s">
        <v>310</v>
      </c>
      <c r="J15" s="20" t="s">
        <v>305</v>
      </c>
      <c r="K15" s="20" t="s">
        <v>365</v>
      </c>
      <c r="L15" s="20">
        <v>1</v>
      </c>
      <c r="M15" s="20">
        <f t="shared" ref="M15" si="7">L15*5</f>
        <v>5</v>
      </c>
      <c r="N15" s="20">
        <v>20</v>
      </c>
      <c r="O15" s="49" t="s">
        <v>409</v>
      </c>
      <c r="P15" s="21">
        <v>2.1100000000000001E-2</v>
      </c>
      <c r="Q15" s="21">
        <f t="shared" ref="Q15" si="8">P15*N15</f>
        <v>0.42200000000000004</v>
      </c>
      <c r="R15" s="20"/>
    </row>
    <row r="16" spans="1:18" x14ac:dyDescent="0.25">
      <c r="A16" s="1"/>
      <c r="B16" s="16">
        <f>ROW(B16) - ROW($B$7)</f>
        <v>9</v>
      </c>
      <c r="C16" s="22" t="s">
        <v>6</v>
      </c>
      <c r="D16" s="14" t="s">
        <v>39</v>
      </c>
      <c r="E16" s="14" t="s">
        <v>108</v>
      </c>
      <c r="F16" s="14" t="s">
        <v>168</v>
      </c>
      <c r="G16" s="42" t="s">
        <v>212</v>
      </c>
      <c r="H16" s="14" t="s">
        <v>266</v>
      </c>
      <c r="I16" s="14" t="s">
        <v>410</v>
      </c>
      <c r="J16" s="14" t="s">
        <v>411</v>
      </c>
      <c r="K16" s="14" t="s">
        <v>366</v>
      </c>
      <c r="L16" s="14">
        <v>3</v>
      </c>
      <c r="M16" s="14">
        <f>L16*5</f>
        <v>15</v>
      </c>
      <c r="N16" s="14">
        <v>50</v>
      </c>
      <c r="O16" s="49" t="s">
        <v>409</v>
      </c>
      <c r="P16" s="15">
        <v>1.67E-2</v>
      </c>
      <c r="Q16" s="15">
        <f>P16*N16</f>
        <v>0.83499999999999996</v>
      </c>
      <c r="R16" s="14"/>
    </row>
    <row r="17" spans="1:18" ht="36" x14ac:dyDescent="0.25">
      <c r="A17" s="1"/>
      <c r="B17" s="17">
        <f t="shared" si="0"/>
        <v>10</v>
      </c>
      <c r="C17" s="23" t="s">
        <v>7</v>
      </c>
      <c r="D17" s="20" t="s">
        <v>40</v>
      </c>
      <c r="E17" s="20" t="s">
        <v>109</v>
      </c>
      <c r="F17" s="20" t="s">
        <v>403</v>
      </c>
      <c r="G17" s="20" t="s">
        <v>170</v>
      </c>
      <c r="H17" s="20" t="s">
        <v>267</v>
      </c>
      <c r="I17" s="20" t="s">
        <v>310</v>
      </c>
      <c r="J17" s="20" t="s">
        <v>306</v>
      </c>
      <c r="K17" s="20" t="s">
        <v>367</v>
      </c>
      <c r="L17" s="20">
        <v>6</v>
      </c>
      <c r="M17" s="20">
        <f t="shared" ref="M17" si="9">L17*5</f>
        <v>30</v>
      </c>
      <c r="N17" s="20">
        <v>31</v>
      </c>
      <c r="O17" s="49" t="s">
        <v>409</v>
      </c>
      <c r="P17" s="21">
        <v>0.16900000000000001</v>
      </c>
      <c r="Q17" s="21">
        <f t="shared" ref="Q17" si="10">P17*N17</f>
        <v>5.2390000000000008</v>
      </c>
      <c r="R17" s="20"/>
    </row>
    <row r="18" spans="1:18" x14ac:dyDescent="0.25">
      <c r="A18" s="1"/>
      <c r="B18" s="16">
        <f>ROW(B18) - ROW($B$7)</f>
        <v>11</v>
      </c>
      <c r="C18" s="22" t="s">
        <v>6</v>
      </c>
      <c r="D18" s="14" t="s">
        <v>41</v>
      </c>
      <c r="E18" s="14" t="s">
        <v>110</v>
      </c>
      <c r="F18" s="14" t="s">
        <v>171</v>
      </c>
      <c r="G18" s="14" t="s">
        <v>213</v>
      </c>
      <c r="H18" s="14" t="s">
        <v>268</v>
      </c>
      <c r="I18" s="20" t="s">
        <v>310</v>
      </c>
      <c r="J18" s="14" t="s">
        <v>307</v>
      </c>
      <c r="K18" s="14" t="s">
        <v>368</v>
      </c>
      <c r="L18" s="14">
        <v>3</v>
      </c>
      <c r="M18" s="14">
        <f>L18*5</f>
        <v>15</v>
      </c>
      <c r="N18" s="14">
        <v>20</v>
      </c>
      <c r="O18" s="49" t="s">
        <v>409</v>
      </c>
      <c r="P18" s="15">
        <v>0.29310000000000003</v>
      </c>
      <c r="Q18" s="15">
        <f>P18*N18</f>
        <v>5.8620000000000001</v>
      </c>
      <c r="R18" s="14"/>
    </row>
    <row r="19" spans="1:18" x14ac:dyDescent="0.25">
      <c r="A19" s="1"/>
      <c r="B19" s="17">
        <f t="shared" si="0"/>
        <v>12</v>
      </c>
      <c r="C19" s="23" t="s">
        <v>6</v>
      </c>
      <c r="D19" s="20" t="s">
        <v>42</v>
      </c>
      <c r="E19" s="20" t="s">
        <v>111</v>
      </c>
      <c r="F19" s="20" t="s">
        <v>167</v>
      </c>
      <c r="G19" s="20" t="s">
        <v>214</v>
      </c>
      <c r="H19" s="20" t="s">
        <v>264</v>
      </c>
      <c r="I19" s="20" t="s">
        <v>310</v>
      </c>
      <c r="J19" s="20" t="s">
        <v>406</v>
      </c>
      <c r="K19" s="20" t="s">
        <v>360</v>
      </c>
      <c r="L19" s="20">
        <v>1</v>
      </c>
      <c r="M19" s="20">
        <f t="shared" ref="M19" si="11">L19*5</f>
        <v>5</v>
      </c>
      <c r="N19" s="20">
        <v>100</v>
      </c>
      <c r="O19" s="49" t="s">
        <v>409</v>
      </c>
      <c r="P19" s="21">
        <v>1E-3</v>
      </c>
      <c r="Q19" s="21">
        <f t="shared" ref="Q19" si="12">P19*N19</f>
        <v>0.1</v>
      </c>
      <c r="R19" s="20"/>
    </row>
    <row r="20" spans="1:18" x14ac:dyDescent="0.25">
      <c r="A20" s="1"/>
      <c r="B20" s="16">
        <f>ROW(B20) - ROW($B$7)</f>
        <v>13</v>
      </c>
      <c r="C20" s="22" t="s">
        <v>6</v>
      </c>
      <c r="D20" s="14" t="s">
        <v>43</v>
      </c>
      <c r="E20" s="14" t="s">
        <v>112</v>
      </c>
      <c r="F20" s="14" t="s">
        <v>167</v>
      </c>
      <c r="G20" s="14" t="s">
        <v>215</v>
      </c>
      <c r="H20" s="14" t="s">
        <v>265</v>
      </c>
      <c r="I20" s="20" t="s">
        <v>310</v>
      </c>
      <c r="J20" s="14" t="s">
        <v>308</v>
      </c>
      <c r="K20" s="14" t="s">
        <v>369</v>
      </c>
      <c r="L20" s="14">
        <v>6</v>
      </c>
      <c r="M20" s="14">
        <f>L20*5</f>
        <v>30</v>
      </c>
      <c r="N20" s="14">
        <v>50</v>
      </c>
      <c r="O20" s="49" t="s">
        <v>409</v>
      </c>
      <c r="P20" s="15">
        <v>8.3999999999999995E-3</v>
      </c>
      <c r="Q20" s="15">
        <f>P20*N20</f>
        <v>0.42</v>
      </c>
      <c r="R20" s="14"/>
    </row>
    <row r="21" spans="1:18" x14ac:dyDescent="0.25">
      <c r="A21" s="1"/>
      <c r="B21" s="17">
        <f t="shared" si="0"/>
        <v>14</v>
      </c>
      <c r="C21" s="22" t="s">
        <v>8</v>
      </c>
      <c r="D21" s="20" t="s">
        <v>44</v>
      </c>
      <c r="E21" s="20" t="s">
        <v>113</v>
      </c>
      <c r="F21" s="20" t="s">
        <v>172</v>
      </c>
      <c r="G21" s="20" t="s">
        <v>216</v>
      </c>
      <c r="H21" s="20" t="s">
        <v>269</v>
      </c>
      <c r="I21" s="20" t="s">
        <v>310</v>
      </c>
      <c r="J21" s="20" t="s">
        <v>309</v>
      </c>
      <c r="K21" s="20" t="s">
        <v>310</v>
      </c>
      <c r="L21" s="20">
        <v>2</v>
      </c>
      <c r="M21" s="20">
        <f t="shared" ref="M21" si="13">L21*5</f>
        <v>10</v>
      </c>
      <c r="N21" s="20">
        <v>15</v>
      </c>
      <c r="O21" s="49" t="s">
        <v>409</v>
      </c>
      <c r="P21" s="21">
        <v>0.10249999999999999</v>
      </c>
      <c r="Q21" s="21">
        <f t="shared" ref="Q21" si="14">P21*N21</f>
        <v>1.5374999999999999</v>
      </c>
      <c r="R21" s="20"/>
    </row>
    <row r="22" spans="1:18" x14ac:dyDescent="0.25">
      <c r="A22" s="1"/>
      <c r="B22" s="16">
        <f>ROW(B22) - ROW($B$7)</f>
        <v>15</v>
      </c>
      <c r="C22" s="22" t="s">
        <v>8</v>
      </c>
      <c r="D22" s="14" t="s">
        <v>45</v>
      </c>
      <c r="E22" s="14" t="s">
        <v>114</v>
      </c>
      <c r="F22" s="14" t="s">
        <v>173</v>
      </c>
      <c r="G22" s="42" t="s">
        <v>217</v>
      </c>
      <c r="H22" s="14" t="s">
        <v>270</v>
      </c>
      <c r="I22" s="20" t="s">
        <v>310</v>
      </c>
      <c r="J22" s="14"/>
      <c r="K22" s="20" t="s">
        <v>310</v>
      </c>
      <c r="L22" s="14">
        <v>2</v>
      </c>
      <c r="M22" s="14">
        <f>L22*5</f>
        <v>10</v>
      </c>
      <c r="N22" s="14">
        <v>20</v>
      </c>
      <c r="O22" s="49"/>
      <c r="P22" s="15"/>
      <c r="Q22" s="15">
        <f>P22*N22</f>
        <v>0</v>
      </c>
      <c r="R22" s="14"/>
    </row>
    <row r="23" spans="1:18" x14ac:dyDescent="0.25">
      <c r="A23" s="1"/>
      <c r="B23" s="17">
        <f t="shared" si="0"/>
        <v>16</v>
      </c>
      <c r="C23" s="23" t="s">
        <v>8</v>
      </c>
      <c r="D23" s="20" t="s">
        <v>46</v>
      </c>
      <c r="E23" s="20" t="s">
        <v>115</v>
      </c>
      <c r="F23" s="20" t="s">
        <v>174</v>
      </c>
      <c r="G23" s="20" t="s">
        <v>218</v>
      </c>
      <c r="H23" s="20" t="s">
        <v>271</v>
      </c>
      <c r="I23" s="20" t="s">
        <v>310</v>
      </c>
      <c r="J23" s="20" t="s">
        <v>407</v>
      </c>
      <c r="K23" s="20" t="s">
        <v>310</v>
      </c>
      <c r="L23" s="20">
        <v>1</v>
      </c>
      <c r="M23" s="20">
        <f t="shared" ref="M23" si="15">L23*5</f>
        <v>5</v>
      </c>
      <c r="N23" s="20">
        <v>10</v>
      </c>
      <c r="O23" s="49" t="s">
        <v>409</v>
      </c>
      <c r="P23" s="21">
        <v>0.153</v>
      </c>
      <c r="Q23" s="21">
        <f t="shared" ref="Q23" si="16">P23*N23</f>
        <v>1.53</v>
      </c>
      <c r="R23" s="20"/>
    </row>
    <row r="24" spans="1:18" x14ac:dyDescent="0.25">
      <c r="A24" s="1"/>
      <c r="B24" s="16">
        <f>ROW(B24) - ROW($B$7)</f>
        <v>17</v>
      </c>
      <c r="C24" s="22" t="s">
        <v>8</v>
      </c>
      <c r="D24" s="14" t="s">
        <v>47</v>
      </c>
      <c r="E24" s="14" t="s">
        <v>116</v>
      </c>
      <c r="F24" s="14" t="s">
        <v>175</v>
      </c>
      <c r="G24" s="14" t="s">
        <v>219</v>
      </c>
      <c r="H24" s="14" t="s">
        <v>272</v>
      </c>
      <c r="I24" s="20" t="s">
        <v>310</v>
      </c>
      <c r="J24" s="14" t="s">
        <v>311</v>
      </c>
      <c r="K24" s="20" t="s">
        <v>310</v>
      </c>
      <c r="L24" s="14">
        <v>1</v>
      </c>
      <c r="M24" s="14">
        <f>L24*5</f>
        <v>5</v>
      </c>
      <c r="N24" s="14">
        <v>20</v>
      </c>
      <c r="O24" s="49" t="s">
        <v>409</v>
      </c>
      <c r="P24" s="15">
        <v>3.0800000000000001E-2</v>
      </c>
      <c r="Q24" s="15">
        <f>P24*N24</f>
        <v>0.61599999999999999</v>
      </c>
      <c r="R24" s="14"/>
    </row>
    <row r="25" spans="1:18" x14ac:dyDescent="0.25">
      <c r="A25" s="1"/>
      <c r="B25" s="17">
        <f t="shared" si="0"/>
        <v>18</v>
      </c>
      <c r="C25" s="23" t="s">
        <v>8</v>
      </c>
      <c r="D25" s="20" t="s">
        <v>48</v>
      </c>
      <c r="E25" s="20" t="s">
        <v>117</v>
      </c>
      <c r="F25" s="20" t="s">
        <v>176</v>
      </c>
      <c r="G25" s="20" t="s">
        <v>220</v>
      </c>
      <c r="H25" s="20" t="s">
        <v>273</v>
      </c>
      <c r="I25" s="20" t="s">
        <v>310</v>
      </c>
      <c r="J25" s="20" t="s">
        <v>312</v>
      </c>
      <c r="K25" s="20" t="s">
        <v>310</v>
      </c>
      <c r="L25" s="20">
        <v>4</v>
      </c>
      <c r="M25" s="20">
        <f t="shared" ref="M25" si="17">L25*5</f>
        <v>20</v>
      </c>
      <c r="N25" s="20">
        <v>30</v>
      </c>
      <c r="O25" s="49" t="s">
        <v>409</v>
      </c>
      <c r="P25" s="21">
        <v>2.6700000000000002E-2</v>
      </c>
      <c r="Q25" s="21">
        <f t="shared" ref="Q25" si="18">P25*N25</f>
        <v>0.80100000000000005</v>
      </c>
      <c r="R25" s="20"/>
    </row>
    <row r="26" spans="1:18" x14ac:dyDescent="0.25">
      <c r="A26" s="1"/>
      <c r="B26" s="16">
        <f>ROW(B26) - ROW($B$7)</f>
        <v>19</v>
      </c>
      <c r="C26" s="22" t="s">
        <v>8</v>
      </c>
      <c r="D26" s="14" t="s">
        <v>49</v>
      </c>
      <c r="E26" s="14" t="s">
        <v>118</v>
      </c>
      <c r="F26" s="14" t="s">
        <v>177</v>
      </c>
      <c r="G26" s="14" t="s">
        <v>221</v>
      </c>
      <c r="H26" s="14" t="s">
        <v>271</v>
      </c>
      <c r="I26" s="20" t="s">
        <v>310</v>
      </c>
      <c r="J26" s="14" t="s">
        <v>313</v>
      </c>
      <c r="K26" s="20" t="s">
        <v>310</v>
      </c>
      <c r="L26" s="14">
        <v>4</v>
      </c>
      <c r="M26" s="14">
        <f>L26*5</f>
        <v>20</v>
      </c>
      <c r="N26" s="14">
        <v>50</v>
      </c>
      <c r="O26" s="49" t="s">
        <v>409</v>
      </c>
      <c r="P26" s="15">
        <v>1.29E-2</v>
      </c>
      <c r="Q26" s="15">
        <f>P26*N26</f>
        <v>0.64500000000000002</v>
      </c>
      <c r="R26" s="14"/>
    </row>
    <row r="27" spans="1:18" ht="24" x14ac:dyDescent="0.25">
      <c r="A27" s="1"/>
      <c r="B27" s="17">
        <f t="shared" si="0"/>
        <v>20</v>
      </c>
      <c r="C27" s="23" t="s">
        <v>8</v>
      </c>
      <c r="D27" s="20" t="s">
        <v>50</v>
      </c>
      <c r="E27" s="20" t="s">
        <v>119</v>
      </c>
      <c r="F27" s="20" t="s">
        <v>177</v>
      </c>
      <c r="G27" s="20" t="s">
        <v>222</v>
      </c>
      <c r="H27" s="20" t="s">
        <v>274</v>
      </c>
      <c r="I27" s="20" t="s">
        <v>310</v>
      </c>
      <c r="J27" s="20" t="s">
        <v>314</v>
      </c>
      <c r="K27" s="20" t="s">
        <v>310</v>
      </c>
      <c r="L27" s="20">
        <v>4</v>
      </c>
      <c r="M27" s="20">
        <f t="shared" ref="M27" si="19">L27*5</f>
        <v>20</v>
      </c>
      <c r="N27" s="20">
        <v>50</v>
      </c>
      <c r="O27" s="49" t="s">
        <v>409</v>
      </c>
      <c r="P27" s="21">
        <v>1.29E-2</v>
      </c>
      <c r="Q27" s="21">
        <f t="shared" ref="Q27" si="20">P27*N27</f>
        <v>0.64500000000000002</v>
      </c>
      <c r="R27" s="20"/>
    </row>
    <row r="28" spans="1:18" ht="25.5" x14ac:dyDescent="0.25">
      <c r="A28" s="1"/>
      <c r="B28" s="16">
        <f>ROW(B28) - ROW($B$7)</f>
        <v>21</v>
      </c>
      <c r="C28" s="22" t="s">
        <v>9</v>
      </c>
      <c r="D28" s="14" t="s">
        <v>51</v>
      </c>
      <c r="E28" s="14" t="s">
        <v>120</v>
      </c>
      <c r="F28" s="14" t="s">
        <v>178</v>
      </c>
      <c r="G28" s="14" t="s">
        <v>223</v>
      </c>
      <c r="H28" s="14" t="s">
        <v>269</v>
      </c>
      <c r="I28" s="20" t="s">
        <v>310</v>
      </c>
      <c r="J28" s="14" t="s">
        <v>315</v>
      </c>
      <c r="K28" s="20" t="s">
        <v>310</v>
      </c>
      <c r="L28" s="14">
        <v>8</v>
      </c>
      <c r="M28" s="14">
        <f>L28*5</f>
        <v>40</v>
      </c>
      <c r="N28" s="14">
        <v>50</v>
      </c>
      <c r="O28" s="49" t="s">
        <v>409</v>
      </c>
      <c r="P28" s="15">
        <v>4.5999999999999999E-2</v>
      </c>
      <c r="Q28" s="15">
        <f>P28*N28</f>
        <v>2.2999999999999998</v>
      </c>
      <c r="R28" s="14"/>
    </row>
    <row r="29" spans="1:18" ht="24" x14ac:dyDescent="0.25">
      <c r="A29" s="1"/>
      <c r="B29" s="17">
        <f t="shared" si="0"/>
        <v>22</v>
      </c>
      <c r="C29" s="23" t="s">
        <v>10</v>
      </c>
      <c r="D29" s="20" t="s">
        <v>52</v>
      </c>
      <c r="E29" s="20" t="s">
        <v>121</v>
      </c>
      <c r="F29" s="20" t="s">
        <v>179</v>
      </c>
      <c r="G29" s="20" t="s">
        <v>224</v>
      </c>
      <c r="H29" s="20" t="s">
        <v>275</v>
      </c>
      <c r="I29" s="20" t="s">
        <v>310</v>
      </c>
      <c r="J29" s="20" t="s">
        <v>316</v>
      </c>
      <c r="K29" s="20" t="s">
        <v>310</v>
      </c>
      <c r="L29" s="20">
        <v>4</v>
      </c>
      <c r="M29" s="20">
        <f t="shared" ref="M29" si="21">L29*5</f>
        <v>20</v>
      </c>
      <c r="N29" s="20">
        <v>30</v>
      </c>
      <c r="O29" s="49" t="s">
        <v>409</v>
      </c>
      <c r="P29" s="21">
        <v>5.45E-2</v>
      </c>
      <c r="Q29" s="21">
        <f t="shared" ref="Q29" si="22">P29*N29</f>
        <v>1.635</v>
      </c>
      <c r="R29" s="20"/>
    </row>
    <row r="30" spans="1:18" ht="24" x14ac:dyDescent="0.25">
      <c r="A30" s="1"/>
      <c r="B30" s="16">
        <f>ROW(B30) - ROW($B$7)</f>
        <v>23</v>
      </c>
      <c r="C30" s="22" t="s">
        <v>11</v>
      </c>
      <c r="D30" s="14" t="s">
        <v>53</v>
      </c>
      <c r="E30" s="14" t="s">
        <v>122</v>
      </c>
      <c r="F30" s="20" t="s">
        <v>403</v>
      </c>
      <c r="G30" s="14" t="s">
        <v>225</v>
      </c>
      <c r="H30" s="14" t="s">
        <v>276</v>
      </c>
      <c r="I30" s="20" t="s">
        <v>310</v>
      </c>
      <c r="J30" s="14" t="s">
        <v>317</v>
      </c>
      <c r="K30" s="20" t="s">
        <v>310</v>
      </c>
      <c r="L30" s="14">
        <v>1</v>
      </c>
      <c r="M30" s="14">
        <f>L30*5</f>
        <v>5</v>
      </c>
      <c r="N30" s="14">
        <v>10</v>
      </c>
      <c r="O30" s="49" t="s">
        <v>409</v>
      </c>
      <c r="P30" s="15">
        <v>0.1482</v>
      </c>
      <c r="Q30" s="15">
        <f>P30*N30</f>
        <v>1.482</v>
      </c>
      <c r="R30" s="14"/>
    </row>
    <row r="31" spans="1:18" ht="48" x14ac:dyDescent="0.25">
      <c r="A31" s="1"/>
      <c r="B31" s="17">
        <f t="shared" si="0"/>
        <v>24</v>
      </c>
      <c r="C31" s="23" t="s">
        <v>12</v>
      </c>
      <c r="D31" s="20" t="s">
        <v>54</v>
      </c>
      <c r="E31" s="20" t="s">
        <v>123</v>
      </c>
      <c r="F31" s="20" t="s">
        <v>180</v>
      </c>
      <c r="G31" s="20" t="s">
        <v>226</v>
      </c>
      <c r="H31" s="20" t="s">
        <v>277</v>
      </c>
      <c r="I31" s="20" t="s">
        <v>310</v>
      </c>
      <c r="J31" s="20" t="s">
        <v>318</v>
      </c>
      <c r="K31" s="20" t="s">
        <v>310</v>
      </c>
      <c r="L31" s="20">
        <v>2</v>
      </c>
      <c r="M31" s="20">
        <f t="shared" ref="M31" si="23">L31*5</f>
        <v>10</v>
      </c>
      <c r="N31" s="20">
        <v>20</v>
      </c>
      <c r="O31" s="49" t="s">
        <v>409</v>
      </c>
      <c r="P31" s="21">
        <v>5.1299999999999998E-2</v>
      </c>
      <c r="Q31" s="21">
        <f t="shared" ref="Q31" si="24">P31*N31</f>
        <v>1.026</v>
      </c>
      <c r="R31" s="20"/>
    </row>
    <row r="32" spans="1:18" x14ac:dyDescent="0.25">
      <c r="A32" s="1"/>
      <c r="B32" s="16">
        <f>ROW(B32) - ROW($B$7)</f>
        <v>25</v>
      </c>
      <c r="C32" s="22" t="s">
        <v>12</v>
      </c>
      <c r="D32" s="14" t="s">
        <v>55</v>
      </c>
      <c r="E32" s="14" t="s">
        <v>124</v>
      </c>
      <c r="F32" s="14" t="s">
        <v>181</v>
      </c>
      <c r="G32" s="42" t="s">
        <v>370</v>
      </c>
      <c r="H32" s="14" t="s">
        <v>405</v>
      </c>
      <c r="I32" s="20" t="s">
        <v>412</v>
      </c>
      <c r="J32" s="14" t="s">
        <v>413</v>
      </c>
      <c r="K32" s="20" t="s">
        <v>310</v>
      </c>
      <c r="L32" s="14">
        <v>1</v>
      </c>
      <c r="M32" s="14">
        <f>L32*5</f>
        <v>5</v>
      </c>
      <c r="N32" s="14">
        <v>50</v>
      </c>
      <c r="O32" s="49" t="s">
        <v>409</v>
      </c>
      <c r="P32" s="15">
        <v>1.4500000000000001E-2</v>
      </c>
      <c r="Q32" s="15">
        <f>P32*N32</f>
        <v>0.72500000000000009</v>
      </c>
      <c r="R32" s="14"/>
    </row>
    <row r="33" spans="1:18" ht="48" x14ac:dyDescent="0.25">
      <c r="A33" s="1"/>
      <c r="B33" s="17">
        <f t="shared" si="0"/>
        <v>26</v>
      </c>
      <c r="C33" s="23" t="s">
        <v>12</v>
      </c>
      <c r="D33" s="20" t="s">
        <v>56</v>
      </c>
      <c r="E33" s="20" t="s">
        <v>125</v>
      </c>
      <c r="F33" s="20" t="s">
        <v>182</v>
      </c>
      <c r="G33" s="20" t="s">
        <v>227</v>
      </c>
      <c r="H33" s="20" t="s">
        <v>277</v>
      </c>
      <c r="I33" s="20" t="s">
        <v>310</v>
      </c>
      <c r="J33" s="20" t="s">
        <v>319</v>
      </c>
      <c r="K33" s="20" t="s">
        <v>310</v>
      </c>
      <c r="L33" s="20">
        <v>1</v>
      </c>
      <c r="M33" s="20">
        <f t="shared" ref="M33" si="25">L33*5</f>
        <v>5</v>
      </c>
      <c r="N33" s="20">
        <v>10</v>
      </c>
      <c r="O33" s="49" t="s">
        <v>409</v>
      </c>
      <c r="P33" s="21">
        <v>0.10249999999999999</v>
      </c>
      <c r="Q33" s="21">
        <f t="shared" ref="Q33" si="26">P33*N33</f>
        <v>1.0249999999999999</v>
      </c>
      <c r="R33" s="20"/>
    </row>
    <row r="34" spans="1:18" ht="36" x14ac:dyDescent="0.25">
      <c r="A34" s="1"/>
      <c r="B34" s="16">
        <f>ROW(B34) - ROW($B$7)</f>
        <v>27</v>
      </c>
      <c r="C34" s="22" t="s">
        <v>13</v>
      </c>
      <c r="D34" s="14" t="s">
        <v>57</v>
      </c>
      <c r="E34" s="14" t="s">
        <v>126</v>
      </c>
      <c r="F34" s="20" t="s">
        <v>403</v>
      </c>
      <c r="G34" s="14" t="s">
        <v>183</v>
      </c>
      <c r="H34" s="14" t="s">
        <v>278</v>
      </c>
      <c r="I34" s="20" t="s">
        <v>310</v>
      </c>
      <c r="J34" s="14" t="s">
        <v>320</v>
      </c>
      <c r="K34" s="20" t="s">
        <v>310</v>
      </c>
      <c r="L34" s="14">
        <v>4</v>
      </c>
      <c r="M34" s="14">
        <f>L34*5</f>
        <v>20</v>
      </c>
      <c r="N34" s="14">
        <v>25</v>
      </c>
      <c r="O34" s="49" t="s">
        <v>409</v>
      </c>
      <c r="P34" s="15">
        <v>0.26019999999999999</v>
      </c>
      <c r="Q34" s="15">
        <f>P34*N34</f>
        <v>6.5049999999999999</v>
      </c>
      <c r="R34" s="14"/>
    </row>
    <row r="35" spans="1:18" ht="48" x14ac:dyDescent="0.25">
      <c r="A35" s="1"/>
      <c r="B35" s="17">
        <f t="shared" si="0"/>
        <v>28</v>
      </c>
      <c r="C35" s="23" t="s">
        <v>14</v>
      </c>
      <c r="D35" s="20" t="s">
        <v>58</v>
      </c>
      <c r="E35" s="20" t="s">
        <v>127</v>
      </c>
      <c r="F35" s="20" t="s">
        <v>403</v>
      </c>
      <c r="G35" s="20" t="s">
        <v>184</v>
      </c>
      <c r="H35" s="20" t="s">
        <v>278</v>
      </c>
      <c r="I35" s="20" t="s">
        <v>310</v>
      </c>
      <c r="J35" s="20" t="s">
        <v>321</v>
      </c>
      <c r="K35" s="20" t="s">
        <v>310</v>
      </c>
      <c r="L35" s="20">
        <v>1</v>
      </c>
      <c r="M35" s="20">
        <f t="shared" ref="M35" si="27">L35*5</f>
        <v>5</v>
      </c>
      <c r="N35" s="20">
        <v>10</v>
      </c>
      <c r="O35" s="49" t="s">
        <v>409</v>
      </c>
      <c r="P35" s="21">
        <v>0.16550000000000001</v>
      </c>
      <c r="Q35" s="21">
        <f t="shared" ref="Q35" si="28">P35*N35</f>
        <v>1.655</v>
      </c>
      <c r="R35" s="20"/>
    </row>
    <row r="36" spans="1:18" x14ac:dyDescent="0.25">
      <c r="A36" s="1"/>
      <c r="B36" s="16">
        <f>ROW(B36) - ROW($B$7)</f>
        <v>29</v>
      </c>
      <c r="C36" s="22" t="s">
        <v>15</v>
      </c>
      <c r="D36" s="14" t="s">
        <v>59</v>
      </c>
      <c r="E36" s="14" t="s">
        <v>128</v>
      </c>
      <c r="F36" s="20" t="s">
        <v>403</v>
      </c>
      <c r="G36" s="14">
        <v>1715721</v>
      </c>
      <c r="H36" s="14" t="s">
        <v>279</v>
      </c>
      <c r="I36" s="20" t="s">
        <v>310</v>
      </c>
      <c r="J36" s="14" t="s">
        <v>408</v>
      </c>
      <c r="K36" s="20" t="s">
        <v>310</v>
      </c>
      <c r="L36" s="14">
        <v>3</v>
      </c>
      <c r="M36" s="14">
        <f>L36*5</f>
        <v>15</v>
      </c>
      <c r="N36" s="14">
        <v>16</v>
      </c>
      <c r="O36" s="49" t="s">
        <v>409</v>
      </c>
      <c r="P36" s="15">
        <v>0.30509999999999998</v>
      </c>
      <c r="Q36" s="15">
        <f>P36*N36</f>
        <v>4.8815999999999997</v>
      </c>
      <c r="R36" s="14"/>
    </row>
    <row r="37" spans="1:18" ht="36" x14ac:dyDescent="0.25">
      <c r="A37" s="1"/>
      <c r="B37" s="17">
        <f t="shared" si="0"/>
        <v>30</v>
      </c>
      <c r="C37" s="23" t="s">
        <v>16</v>
      </c>
      <c r="D37" s="20" t="s">
        <v>60</v>
      </c>
      <c r="E37" s="20" t="s">
        <v>129</v>
      </c>
      <c r="F37" s="20" t="s">
        <v>403</v>
      </c>
      <c r="G37" s="20" t="s">
        <v>185</v>
      </c>
      <c r="H37" s="20" t="s">
        <v>280</v>
      </c>
      <c r="I37" s="20" t="s">
        <v>310</v>
      </c>
      <c r="J37" s="20" t="s">
        <v>322</v>
      </c>
      <c r="K37" s="20" t="s">
        <v>310</v>
      </c>
      <c r="L37" s="20">
        <v>4</v>
      </c>
      <c r="M37" s="20">
        <f t="shared" ref="M37" si="29">L37*5</f>
        <v>20</v>
      </c>
      <c r="N37" s="20">
        <v>21</v>
      </c>
      <c r="O37" s="49" t="s">
        <v>409</v>
      </c>
      <c r="P37" s="21">
        <v>0.76639999999999997</v>
      </c>
      <c r="Q37" s="21">
        <f t="shared" ref="Q37" si="30">P37*N37</f>
        <v>16.0944</v>
      </c>
      <c r="R37" s="20"/>
    </row>
    <row r="38" spans="1:18" x14ac:dyDescent="0.25">
      <c r="A38" s="1"/>
      <c r="B38" s="16">
        <f>ROW(B38) - ROW($B$7)</f>
        <v>31</v>
      </c>
      <c r="C38" s="22" t="s">
        <v>17</v>
      </c>
      <c r="D38" s="14" t="s">
        <v>61</v>
      </c>
      <c r="E38" s="14" t="s">
        <v>130</v>
      </c>
      <c r="F38" s="14" t="s">
        <v>186</v>
      </c>
      <c r="G38" s="14" t="s">
        <v>228</v>
      </c>
      <c r="H38" s="14" t="s">
        <v>265</v>
      </c>
      <c r="I38" s="20" t="s">
        <v>310</v>
      </c>
      <c r="J38" s="14" t="s">
        <v>323</v>
      </c>
      <c r="K38" s="20" t="s">
        <v>310</v>
      </c>
      <c r="L38" s="14">
        <v>1</v>
      </c>
      <c r="M38" s="14">
        <f>L38*5</f>
        <v>5</v>
      </c>
      <c r="N38" s="14">
        <v>100</v>
      </c>
      <c r="O38" s="49" t="s">
        <v>409</v>
      </c>
      <c r="P38" s="15">
        <v>3.3E-3</v>
      </c>
      <c r="Q38" s="15">
        <f>P38*N38</f>
        <v>0.33</v>
      </c>
      <c r="R38" s="14"/>
    </row>
    <row r="39" spans="1:18" ht="24" x14ac:dyDescent="0.25">
      <c r="A39" s="1"/>
      <c r="B39" s="17">
        <f t="shared" si="0"/>
        <v>32</v>
      </c>
      <c r="C39" s="23" t="s">
        <v>18</v>
      </c>
      <c r="D39" s="20" t="s">
        <v>62</v>
      </c>
      <c r="E39" s="20" t="s">
        <v>131</v>
      </c>
      <c r="F39" s="20" t="s">
        <v>403</v>
      </c>
      <c r="G39" s="20" t="s">
        <v>229</v>
      </c>
      <c r="H39" s="20" t="s">
        <v>281</v>
      </c>
      <c r="I39" s="20" t="s">
        <v>310</v>
      </c>
      <c r="J39" s="20" t="s">
        <v>324</v>
      </c>
      <c r="K39" s="20" t="s">
        <v>371</v>
      </c>
      <c r="L39" s="20">
        <v>1</v>
      </c>
      <c r="M39" s="20">
        <f t="shared" ref="M39" si="31">L39*5</f>
        <v>5</v>
      </c>
      <c r="N39" s="20">
        <v>10</v>
      </c>
      <c r="O39" s="49" t="s">
        <v>409</v>
      </c>
      <c r="P39" s="21">
        <v>8.9499999999999996E-2</v>
      </c>
      <c r="Q39" s="21">
        <f t="shared" ref="Q39" si="32">P39*N39</f>
        <v>0.89500000000000002</v>
      </c>
      <c r="R39" s="20"/>
    </row>
    <row r="40" spans="1:18" ht="24" x14ac:dyDescent="0.25">
      <c r="A40" s="1"/>
      <c r="B40" s="16">
        <f>ROW(B40) - ROW($B$7)</f>
        <v>33</v>
      </c>
      <c r="C40" s="22" t="s">
        <v>19</v>
      </c>
      <c r="D40" s="14" t="s">
        <v>63</v>
      </c>
      <c r="E40" s="14" t="s">
        <v>132</v>
      </c>
      <c r="F40" s="14" t="s">
        <v>187</v>
      </c>
      <c r="G40" s="14" t="s">
        <v>230</v>
      </c>
      <c r="H40" s="14" t="s">
        <v>282</v>
      </c>
      <c r="I40" s="20" t="s">
        <v>310</v>
      </c>
      <c r="J40" s="14" t="s">
        <v>325</v>
      </c>
      <c r="K40" s="14" t="s">
        <v>310</v>
      </c>
      <c r="L40" s="14">
        <v>3</v>
      </c>
      <c r="M40" s="14">
        <f>L40*5</f>
        <v>15</v>
      </c>
      <c r="N40" s="14">
        <v>20</v>
      </c>
      <c r="O40" s="49" t="s">
        <v>409</v>
      </c>
      <c r="P40" s="15">
        <v>2.2700000000000001E-2</v>
      </c>
      <c r="Q40" s="15">
        <f>P40*N40</f>
        <v>0.45400000000000001</v>
      </c>
      <c r="R40" s="14"/>
    </row>
    <row r="41" spans="1:18" x14ac:dyDescent="0.25">
      <c r="A41" s="1"/>
      <c r="B41" s="17">
        <f t="shared" si="0"/>
        <v>34</v>
      </c>
      <c r="C41" s="23" t="s">
        <v>20</v>
      </c>
      <c r="D41" s="20" t="s">
        <v>64</v>
      </c>
      <c r="E41" s="20" t="s">
        <v>133</v>
      </c>
      <c r="F41" s="20" t="s">
        <v>188</v>
      </c>
      <c r="G41" s="20" t="s">
        <v>231</v>
      </c>
      <c r="H41" s="20" t="s">
        <v>271</v>
      </c>
      <c r="I41" s="20" t="s">
        <v>310</v>
      </c>
      <c r="J41" s="20" t="s">
        <v>326</v>
      </c>
      <c r="K41" s="14" t="s">
        <v>310</v>
      </c>
      <c r="L41" s="20">
        <v>4</v>
      </c>
      <c r="M41" s="20">
        <f t="shared" ref="M41" si="33">L41*5</f>
        <v>20</v>
      </c>
      <c r="N41" s="20">
        <v>40</v>
      </c>
      <c r="O41" s="49" t="s">
        <v>409</v>
      </c>
      <c r="P41" s="21">
        <v>2.12E-2</v>
      </c>
      <c r="Q41" s="21">
        <f t="shared" ref="Q41" si="34">P41*N41</f>
        <v>0.84799999999999998</v>
      </c>
      <c r="R41" s="20"/>
    </row>
    <row r="42" spans="1:18" ht="36" x14ac:dyDescent="0.25">
      <c r="A42" s="1"/>
      <c r="B42" s="16">
        <f>ROW(B42) - ROW($B$7)</f>
        <v>35</v>
      </c>
      <c r="C42" s="22" t="s">
        <v>21</v>
      </c>
      <c r="D42" s="14" t="s">
        <v>65</v>
      </c>
      <c r="E42" s="14" t="s">
        <v>134</v>
      </c>
      <c r="F42" s="14" t="s">
        <v>188</v>
      </c>
      <c r="G42" s="14" t="s">
        <v>232</v>
      </c>
      <c r="H42" s="14" t="s">
        <v>283</v>
      </c>
      <c r="I42" s="20" t="s">
        <v>310</v>
      </c>
      <c r="J42" s="14" t="s">
        <v>327</v>
      </c>
      <c r="K42" s="14" t="s">
        <v>310</v>
      </c>
      <c r="L42" s="14">
        <v>4</v>
      </c>
      <c r="M42" s="14">
        <f>L42*5</f>
        <v>20</v>
      </c>
      <c r="N42" s="14">
        <v>50</v>
      </c>
      <c r="O42" s="49" t="s">
        <v>409</v>
      </c>
      <c r="P42" s="15">
        <v>1.3299999999999999E-2</v>
      </c>
      <c r="Q42" s="15">
        <f>P42*N42</f>
        <v>0.66499999999999992</v>
      </c>
      <c r="R42" s="14"/>
    </row>
    <row r="43" spans="1:18" ht="24" x14ac:dyDescent="0.25">
      <c r="A43" s="1"/>
      <c r="B43" s="17">
        <f t="shared" si="0"/>
        <v>36</v>
      </c>
      <c r="C43" s="23" t="s">
        <v>22</v>
      </c>
      <c r="D43" s="20" t="s">
        <v>66</v>
      </c>
      <c r="E43" s="20" t="s">
        <v>135</v>
      </c>
      <c r="F43" s="20" t="s">
        <v>188</v>
      </c>
      <c r="G43" s="20" t="s">
        <v>233</v>
      </c>
      <c r="H43" s="20" t="s">
        <v>284</v>
      </c>
      <c r="I43" s="20" t="s">
        <v>310</v>
      </c>
      <c r="J43" s="20" t="s">
        <v>328</v>
      </c>
      <c r="K43" s="14" t="s">
        <v>310</v>
      </c>
      <c r="L43" s="20">
        <v>4</v>
      </c>
      <c r="M43" s="20">
        <f t="shared" ref="M43" si="35">L43*5</f>
        <v>20</v>
      </c>
      <c r="N43" s="20">
        <v>50</v>
      </c>
      <c r="O43" s="49" t="s">
        <v>409</v>
      </c>
      <c r="P43" s="21">
        <v>1.5800000000000002E-2</v>
      </c>
      <c r="Q43" s="21">
        <f t="shared" ref="Q43" si="36">P43*N43</f>
        <v>0.79</v>
      </c>
      <c r="R43" s="20"/>
    </row>
    <row r="44" spans="1:18" x14ac:dyDescent="0.25">
      <c r="A44" s="1"/>
      <c r="B44" s="16">
        <f>ROW(B44) - ROW($B$7)</f>
        <v>37</v>
      </c>
      <c r="C44" s="22" t="s">
        <v>23</v>
      </c>
      <c r="D44" s="14" t="s">
        <v>67</v>
      </c>
      <c r="E44" s="14" t="s">
        <v>136</v>
      </c>
      <c r="F44" s="14" t="s">
        <v>189</v>
      </c>
      <c r="G44" s="14" t="s">
        <v>234</v>
      </c>
      <c r="H44" s="14" t="s">
        <v>264</v>
      </c>
      <c r="I44" s="20" t="s">
        <v>310</v>
      </c>
      <c r="J44" s="14" t="s">
        <v>329</v>
      </c>
      <c r="K44" s="14" t="s">
        <v>372</v>
      </c>
      <c r="L44" s="14">
        <v>2</v>
      </c>
      <c r="M44" s="14">
        <f>L44*5</f>
        <v>10</v>
      </c>
      <c r="N44" s="14">
        <v>100</v>
      </c>
      <c r="O44" s="49" t="s">
        <v>409</v>
      </c>
      <c r="P44" s="15">
        <v>6.9999999999999999E-4</v>
      </c>
      <c r="Q44" s="15">
        <f>P44*N44</f>
        <v>6.9999999999999993E-2</v>
      </c>
      <c r="R44" s="14"/>
    </row>
    <row r="45" spans="1:18" x14ac:dyDescent="0.25">
      <c r="A45" s="1"/>
      <c r="B45" s="17">
        <f t="shared" si="0"/>
        <v>38</v>
      </c>
      <c r="C45" s="23" t="s">
        <v>23</v>
      </c>
      <c r="D45" s="20" t="s">
        <v>68</v>
      </c>
      <c r="E45" s="20" t="s">
        <v>137</v>
      </c>
      <c r="F45" s="20" t="s">
        <v>189</v>
      </c>
      <c r="G45" s="20" t="s">
        <v>235</v>
      </c>
      <c r="H45" s="20" t="s">
        <v>264</v>
      </c>
      <c r="I45" s="20" t="s">
        <v>310</v>
      </c>
      <c r="J45" s="20" t="s">
        <v>330</v>
      </c>
      <c r="K45" s="20" t="s">
        <v>373</v>
      </c>
      <c r="L45" s="20">
        <v>1</v>
      </c>
      <c r="M45" s="20">
        <f t="shared" ref="M45" si="37">L45*5</f>
        <v>5</v>
      </c>
      <c r="N45" s="20">
        <v>100</v>
      </c>
      <c r="O45" s="49" t="s">
        <v>409</v>
      </c>
      <c r="P45" s="21">
        <v>2.8E-3</v>
      </c>
      <c r="Q45" s="21">
        <f t="shared" ref="Q45" si="38">P45*N45</f>
        <v>0.27999999999999997</v>
      </c>
      <c r="R45" s="20"/>
    </row>
    <row r="46" spans="1:18" x14ac:dyDescent="0.25">
      <c r="A46" s="1"/>
      <c r="B46" s="16">
        <f>ROW(B46) - ROW($B$7)</f>
        <v>39</v>
      </c>
      <c r="C46" s="22" t="s">
        <v>23</v>
      </c>
      <c r="D46" s="42" t="s">
        <v>69</v>
      </c>
      <c r="E46" s="42" t="s">
        <v>138</v>
      </c>
      <c r="F46" s="44" t="s">
        <v>190</v>
      </c>
      <c r="G46" s="42" t="s">
        <v>236</v>
      </c>
      <c r="H46" s="42" t="s">
        <v>264</v>
      </c>
      <c r="I46" s="42" t="s">
        <v>310</v>
      </c>
      <c r="J46" s="42" t="s">
        <v>331</v>
      </c>
      <c r="K46" s="42" t="s">
        <v>361</v>
      </c>
      <c r="L46" s="42">
        <v>2</v>
      </c>
      <c r="M46" s="42">
        <f>L46*5</f>
        <v>10</v>
      </c>
      <c r="N46" s="42" t="s">
        <v>310</v>
      </c>
      <c r="O46" s="43" t="s">
        <v>409</v>
      </c>
      <c r="P46" s="46" t="s">
        <v>310</v>
      </c>
      <c r="Q46" s="46" t="s">
        <v>310</v>
      </c>
      <c r="R46" s="47" t="s">
        <v>404</v>
      </c>
    </row>
    <row r="47" spans="1:18" x14ac:dyDescent="0.25">
      <c r="A47" s="1"/>
      <c r="B47" s="17">
        <f t="shared" si="0"/>
        <v>40</v>
      </c>
      <c r="C47" s="23" t="s">
        <v>23</v>
      </c>
      <c r="D47" s="20" t="s">
        <v>70</v>
      </c>
      <c r="E47" s="20" t="s">
        <v>138</v>
      </c>
      <c r="F47" s="20" t="s">
        <v>190</v>
      </c>
      <c r="G47" s="20" t="s">
        <v>236</v>
      </c>
      <c r="H47" s="20" t="s">
        <v>264</v>
      </c>
      <c r="I47" s="20" t="s">
        <v>310</v>
      </c>
      <c r="J47" s="20" t="s">
        <v>331</v>
      </c>
      <c r="K47" s="20" t="s">
        <v>374</v>
      </c>
      <c r="L47" s="20">
        <v>2</v>
      </c>
      <c r="M47" s="20">
        <f t="shared" ref="M47" si="39">L47*5</f>
        <v>10</v>
      </c>
      <c r="N47" s="20">
        <v>100</v>
      </c>
      <c r="O47" s="49" t="s">
        <v>409</v>
      </c>
      <c r="P47" s="21">
        <v>1E-3</v>
      </c>
      <c r="Q47" s="21">
        <f t="shared" ref="Q47" si="40">P47*N47</f>
        <v>0.1</v>
      </c>
      <c r="R47" s="20"/>
    </row>
    <row r="48" spans="1:18" ht="24" x14ac:dyDescent="0.25">
      <c r="A48" s="1"/>
      <c r="B48" s="16">
        <f>ROW(B48) - ROW($B$7)</f>
        <v>41</v>
      </c>
      <c r="C48" s="22" t="s">
        <v>23</v>
      </c>
      <c r="D48" s="14" t="s">
        <v>71</v>
      </c>
      <c r="E48" s="14" t="s">
        <v>139</v>
      </c>
      <c r="F48" s="14" t="s">
        <v>189</v>
      </c>
      <c r="G48" s="14" t="s">
        <v>237</v>
      </c>
      <c r="H48" s="14" t="s">
        <v>264</v>
      </c>
      <c r="I48" s="20" t="s">
        <v>310</v>
      </c>
      <c r="J48" s="14" t="s">
        <v>332</v>
      </c>
      <c r="K48" s="14" t="s">
        <v>375</v>
      </c>
      <c r="L48" s="14">
        <v>14</v>
      </c>
      <c r="M48" s="14">
        <f>L48*5</f>
        <v>70</v>
      </c>
      <c r="N48" s="14">
        <v>100</v>
      </c>
      <c r="O48" s="49" t="s">
        <v>409</v>
      </c>
      <c r="P48" s="15">
        <v>5.0000000000000001E-4</v>
      </c>
      <c r="Q48" s="15">
        <f>P48*N48</f>
        <v>0.05</v>
      </c>
      <c r="R48" s="14"/>
    </row>
    <row r="49" spans="1:18" x14ac:dyDescent="0.25">
      <c r="A49" s="1"/>
      <c r="B49" s="17">
        <f t="shared" si="0"/>
        <v>42</v>
      </c>
      <c r="C49" s="23" t="s">
        <v>23</v>
      </c>
      <c r="D49" s="20" t="s">
        <v>72</v>
      </c>
      <c r="E49" s="20" t="s">
        <v>140</v>
      </c>
      <c r="F49" s="20" t="s">
        <v>189</v>
      </c>
      <c r="G49" s="20" t="s">
        <v>238</v>
      </c>
      <c r="H49" s="20" t="s">
        <v>264</v>
      </c>
      <c r="I49" s="20" t="s">
        <v>310</v>
      </c>
      <c r="J49" s="20" t="s">
        <v>333</v>
      </c>
      <c r="K49" s="20" t="s">
        <v>376</v>
      </c>
      <c r="L49" s="20">
        <v>1</v>
      </c>
      <c r="M49" s="20">
        <f t="shared" ref="M49" si="41">L49*5</f>
        <v>5</v>
      </c>
      <c r="N49" s="20">
        <v>20</v>
      </c>
      <c r="O49" s="49" t="s">
        <v>409</v>
      </c>
      <c r="P49" s="21">
        <v>2.7400000000000001E-2</v>
      </c>
      <c r="Q49" s="21">
        <f t="shared" ref="Q49" si="42">P49*N49</f>
        <v>0.54800000000000004</v>
      </c>
      <c r="R49" s="20"/>
    </row>
    <row r="50" spans="1:18" x14ac:dyDescent="0.25">
      <c r="A50" s="1"/>
      <c r="B50" s="16">
        <f>ROW(B50) - ROW($B$7)</f>
        <v>43</v>
      </c>
      <c r="C50" s="22" t="s">
        <v>23</v>
      </c>
      <c r="D50" s="14" t="s">
        <v>73</v>
      </c>
      <c r="E50" s="14" t="s">
        <v>141</v>
      </c>
      <c r="F50" s="14" t="s">
        <v>189</v>
      </c>
      <c r="G50" s="14" t="s">
        <v>239</v>
      </c>
      <c r="H50" s="14" t="s">
        <v>264</v>
      </c>
      <c r="I50" s="20" t="s">
        <v>310</v>
      </c>
      <c r="J50" s="14" t="s">
        <v>334</v>
      </c>
      <c r="K50" s="14" t="s">
        <v>377</v>
      </c>
      <c r="L50" s="14">
        <v>1</v>
      </c>
      <c r="M50" s="14">
        <f>L50*5</f>
        <v>5</v>
      </c>
      <c r="N50" s="14">
        <v>50</v>
      </c>
      <c r="O50" s="49" t="s">
        <v>409</v>
      </c>
      <c r="P50" s="15">
        <v>1.8200000000000001E-2</v>
      </c>
      <c r="Q50" s="15">
        <f>P50*N50</f>
        <v>0.91</v>
      </c>
      <c r="R50" s="14"/>
    </row>
    <row r="51" spans="1:18" ht="48" x14ac:dyDescent="0.25">
      <c r="A51" s="1"/>
      <c r="B51" s="17">
        <f t="shared" si="0"/>
        <v>44</v>
      </c>
      <c r="C51" s="23" t="s">
        <v>23</v>
      </c>
      <c r="D51" s="20" t="s">
        <v>74</v>
      </c>
      <c r="E51" s="20" t="s">
        <v>142</v>
      </c>
      <c r="F51" s="20" t="s">
        <v>191</v>
      </c>
      <c r="G51" s="20" t="s">
        <v>240</v>
      </c>
      <c r="H51" s="20" t="s">
        <v>285</v>
      </c>
      <c r="I51" s="20" t="s">
        <v>310</v>
      </c>
      <c r="J51" s="20" t="s">
        <v>335</v>
      </c>
      <c r="K51" s="20" t="s">
        <v>378</v>
      </c>
      <c r="L51" s="20">
        <v>4</v>
      </c>
      <c r="M51" s="20">
        <f t="shared" ref="M51" si="43">L51*5</f>
        <v>20</v>
      </c>
      <c r="N51" s="20">
        <v>25</v>
      </c>
      <c r="O51" s="49" t="s">
        <v>409</v>
      </c>
      <c r="P51" s="21">
        <v>8.5000000000000006E-2</v>
      </c>
      <c r="Q51" s="21">
        <f t="shared" ref="Q51" si="44">P51*N51</f>
        <v>2.125</v>
      </c>
      <c r="R51" s="20"/>
    </row>
    <row r="52" spans="1:18" ht="36" x14ac:dyDescent="0.25">
      <c r="A52" s="1"/>
      <c r="B52" s="16">
        <f>ROW(B52) - ROW($B$7)</f>
        <v>45</v>
      </c>
      <c r="C52" s="23" t="s">
        <v>23</v>
      </c>
      <c r="D52" s="14" t="s">
        <v>75</v>
      </c>
      <c r="E52" s="14" t="s">
        <v>143</v>
      </c>
      <c r="F52" s="14" t="s">
        <v>189</v>
      </c>
      <c r="G52" s="14" t="s">
        <v>241</v>
      </c>
      <c r="H52" s="14" t="s">
        <v>286</v>
      </c>
      <c r="I52" s="20" t="s">
        <v>310</v>
      </c>
      <c r="J52" s="14" t="s">
        <v>336</v>
      </c>
      <c r="K52" s="14" t="s">
        <v>379</v>
      </c>
      <c r="L52" s="14">
        <v>16</v>
      </c>
      <c r="M52" s="14">
        <f>L52*5</f>
        <v>80</v>
      </c>
      <c r="N52" s="14">
        <v>100</v>
      </c>
      <c r="O52" s="49" t="s">
        <v>409</v>
      </c>
      <c r="P52" s="15">
        <v>2.07E-2</v>
      </c>
      <c r="Q52" s="15">
        <f>P52*N52</f>
        <v>2.0699999999999998</v>
      </c>
      <c r="R52" s="14"/>
    </row>
    <row r="53" spans="1:18" x14ac:dyDescent="0.25">
      <c r="A53" s="1"/>
      <c r="B53" s="17">
        <f t="shared" si="0"/>
        <v>46</v>
      </c>
      <c r="C53" s="23" t="s">
        <v>23</v>
      </c>
      <c r="D53" s="20" t="s">
        <v>76</v>
      </c>
      <c r="E53" s="20" t="s">
        <v>144</v>
      </c>
      <c r="F53" s="20" t="s">
        <v>190</v>
      </c>
      <c r="G53" s="20" t="s">
        <v>242</v>
      </c>
      <c r="H53" s="20" t="s">
        <v>264</v>
      </c>
      <c r="I53" s="20" t="s">
        <v>310</v>
      </c>
      <c r="J53" s="20" t="s">
        <v>337</v>
      </c>
      <c r="K53" s="20" t="s">
        <v>380</v>
      </c>
      <c r="L53" s="20">
        <v>4</v>
      </c>
      <c r="M53" s="20">
        <f t="shared" ref="M53" si="45">L53*5</f>
        <v>20</v>
      </c>
      <c r="N53" s="20">
        <v>30</v>
      </c>
      <c r="O53" s="49" t="s">
        <v>409</v>
      </c>
      <c r="P53" s="21">
        <v>5.57E-2</v>
      </c>
      <c r="Q53" s="21">
        <f t="shared" ref="Q53" si="46">P53*N53</f>
        <v>1.671</v>
      </c>
      <c r="R53" s="20"/>
    </row>
    <row r="54" spans="1:18" x14ac:dyDescent="0.25">
      <c r="A54" s="1"/>
      <c r="B54" s="16">
        <f>ROW(B54) - ROW($B$7)</f>
        <v>47</v>
      </c>
      <c r="C54" s="23" t="s">
        <v>23</v>
      </c>
      <c r="D54" s="14" t="s">
        <v>77</v>
      </c>
      <c r="E54" s="14" t="s">
        <v>145</v>
      </c>
      <c r="F54" s="14" t="s">
        <v>189</v>
      </c>
      <c r="G54" s="14" t="s">
        <v>243</v>
      </c>
      <c r="H54" s="14" t="s">
        <v>287</v>
      </c>
      <c r="I54" s="20" t="s">
        <v>310</v>
      </c>
      <c r="J54" s="14" t="s">
        <v>338</v>
      </c>
      <c r="K54" s="14" t="s">
        <v>381</v>
      </c>
      <c r="L54" s="14">
        <v>1</v>
      </c>
      <c r="M54" s="14">
        <f>L54*5</f>
        <v>5</v>
      </c>
      <c r="N54" s="14">
        <v>100</v>
      </c>
      <c r="O54" s="49" t="s">
        <v>409</v>
      </c>
      <c r="P54" s="15">
        <v>6.9999999999999999E-4</v>
      </c>
      <c r="Q54" s="15">
        <f>P54*N54</f>
        <v>6.9999999999999993E-2</v>
      </c>
      <c r="R54" s="14"/>
    </row>
    <row r="55" spans="1:18" ht="36" x14ac:dyDescent="0.25">
      <c r="A55" s="1"/>
      <c r="B55" s="17">
        <f t="shared" si="0"/>
        <v>48</v>
      </c>
      <c r="C55" s="23" t="s">
        <v>23</v>
      </c>
      <c r="D55" s="20" t="s">
        <v>78</v>
      </c>
      <c r="E55" s="20" t="s">
        <v>146</v>
      </c>
      <c r="F55" s="20" t="s">
        <v>190</v>
      </c>
      <c r="G55" s="20" t="s">
        <v>244</v>
      </c>
      <c r="H55" s="20"/>
      <c r="I55" s="20" t="s">
        <v>310</v>
      </c>
      <c r="J55" s="20" t="s">
        <v>339</v>
      </c>
      <c r="K55" s="20" t="s">
        <v>382</v>
      </c>
      <c r="L55" s="20">
        <v>2</v>
      </c>
      <c r="M55" s="20">
        <f t="shared" ref="M55" si="47">L55*5</f>
        <v>10</v>
      </c>
      <c r="N55" s="20">
        <v>100</v>
      </c>
      <c r="O55" s="49" t="s">
        <v>409</v>
      </c>
      <c r="P55" s="21">
        <v>5.9999999999999995E-4</v>
      </c>
      <c r="Q55" s="21">
        <f t="shared" ref="Q55" si="48">P55*N55</f>
        <v>0.06</v>
      </c>
      <c r="R55" s="20"/>
    </row>
    <row r="56" spans="1:18" x14ac:dyDescent="0.25">
      <c r="A56" s="1"/>
      <c r="B56" s="16">
        <f>ROW(B56) - ROW($B$7)</f>
        <v>49</v>
      </c>
      <c r="C56" s="22" t="s">
        <v>23</v>
      </c>
      <c r="D56" s="14" t="s">
        <v>79</v>
      </c>
      <c r="E56" s="14" t="s">
        <v>147</v>
      </c>
      <c r="F56" s="14" t="s">
        <v>189</v>
      </c>
      <c r="G56" s="14" t="s">
        <v>245</v>
      </c>
      <c r="H56" s="14" t="s">
        <v>264</v>
      </c>
      <c r="I56" s="20" t="s">
        <v>310</v>
      </c>
      <c r="J56" s="14" t="s">
        <v>340</v>
      </c>
      <c r="K56" s="14" t="s">
        <v>383</v>
      </c>
      <c r="L56" s="14">
        <v>1</v>
      </c>
      <c r="M56" s="14">
        <f>L56*5</f>
        <v>5</v>
      </c>
      <c r="N56" s="14">
        <v>100</v>
      </c>
      <c r="O56" s="49" t="s">
        <v>409</v>
      </c>
      <c r="P56" s="15">
        <v>5.9999999999999995E-4</v>
      </c>
      <c r="Q56" s="15">
        <f>P56*N56</f>
        <v>0.06</v>
      </c>
      <c r="R56" s="14"/>
    </row>
    <row r="57" spans="1:18" x14ac:dyDescent="0.25">
      <c r="A57" s="1"/>
      <c r="B57" s="17">
        <f t="shared" si="0"/>
        <v>50</v>
      </c>
      <c r="C57" s="23" t="s">
        <v>23</v>
      </c>
      <c r="D57" s="20" t="s">
        <v>80</v>
      </c>
      <c r="E57" s="20" t="s">
        <v>148</v>
      </c>
      <c r="F57" s="20" t="s">
        <v>189</v>
      </c>
      <c r="G57" s="20" t="s">
        <v>246</v>
      </c>
      <c r="H57" s="20" t="s">
        <v>264</v>
      </c>
      <c r="I57" s="20" t="s">
        <v>310</v>
      </c>
      <c r="J57" s="20" t="s">
        <v>341</v>
      </c>
      <c r="K57" s="20" t="s">
        <v>384</v>
      </c>
      <c r="L57" s="20">
        <v>6</v>
      </c>
      <c r="M57" s="20">
        <f t="shared" ref="M57" si="49">L57*5</f>
        <v>30</v>
      </c>
      <c r="N57" s="20">
        <v>100</v>
      </c>
      <c r="O57" s="49" t="s">
        <v>409</v>
      </c>
      <c r="P57" s="21">
        <v>6.9999999999999999E-4</v>
      </c>
      <c r="Q57" s="21">
        <f t="shared" ref="Q57" si="50">P57*N57</f>
        <v>6.9999999999999993E-2</v>
      </c>
      <c r="R57" s="20"/>
    </row>
    <row r="58" spans="1:18" x14ac:dyDescent="0.25">
      <c r="A58" s="1"/>
      <c r="B58" s="16">
        <f>ROW(B58) - ROW($B$7)</f>
        <v>51</v>
      </c>
      <c r="C58" s="22" t="s">
        <v>23</v>
      </c>
      <c r="D58" s="14" t="s">
        <v>81</v>
      </c>
      <c r="E58" s="14" t="s">
        <v>149</v>
      </c>
      <c r="F58" s="14" t="s">
        <v>192</v>
      </c>
      <c r="G58" s="14" t="s">
        <v>247</v>
      </c>
      <c r="H58" s="14" t="s">
        <v>264</v>
      </c>
      <c r="I58" s="20" t="s">
        <v>310</v>
      </c>
      <c r="J58" s="14" t="s">
        <v>342</v>
      </c>
      <c r="K58" s="14" t="s">
        <v>385</v>
      </c>
      <c r="L58" s="14">
        <v>4</v>
      </c>
      <c r="M58" s="14">
        <f>L58*5</f>
        <v>20</v>
      </c>
      <c r="N58" s="14">
        <v>100</v>
      </c>
      <c r="O58" s="49" t="s">
        <v>409</v>
      </c>
      <c r="P58" s="15">
        <v>8.9999999999999998E-4</v>
      </c>
      <c r="Q58" s="15">
        <f>P58*N58</f>
        <v>0.09</v>
      </c>
      <c r="R58" s="14"/>
    </row>
    <row r="59" spans="1:18" x14ac:dyDescent="0.25">
      <c r="A59" s="1"/>
      <c r="B59" s="17">
        <f t="shared" si="0"/>
        <v>52</v>
      </c>
      <c r="C59" s="23" t="s">
        <v>23</v>
      </c>
      <c r="D59" s="20" t="s">
        <v>82</v>
      </c>
      <c r="E59" s="20" t="s">
        <v>150</v>
      </c>
      <c r="F59" s="20" t="s">
        <v>190</v>
      </c>
      <c r="G59" s="20" t="s">
        <v>248</v>
      </c>
      <c r="H59" s="20" t="s">
        <v>264</v>
      </c>
      <c r="I59" s="20" t="s">
        <v>310</v>
      </c>
      <c r="J59" s="20" t="s">
        <v>343</v>
      </c>
      <c r="K59" s="20" t="s">
        <v>386</v>
      </c>
      <c r="L59" s="20">
        <v>1</v>
      </c>
      <c r="M59" s="20">
        <f t="shared" ref="M59" si="51">L59*5</f>
        <v>5</v>
      </c>
      <c r="N59" s="20">
        <v>100</v>
      </c>
      <c r="O59" s="49" t="s">
        <v>409</v>
      </c>
      <c r="P59" s="21">
        <v>1E-3</v>
      </c>
      <c r="Q59" s="21">
        <f t="shared" ref="Q59" si="52">P59*N59</f>
        <v>0.1</v>
      </c>
      <c r="R59" s="20"/>
    </row>
    <row r="60" spans="1:18" ht="24" x14ac:dyDescent="0.25">
      <c r="A60" s="1"/>
      <c r="B60" s="16">
        <f>ROW(B60) - ROW($B$7)</f>
        <v>53</v>
      </c>
      <c r="C60" s="22" t="s">
        <v>24</v>
      </c>
      <c r="D60" s="14" t="s">
        <v>83</v>
      </c>
      <c r="E60" s="14" t="s">
        <v>151</v>
      </c>
      <c r="F60" s="14" t="s">
        <v>189</v>
      </c>
      <c r="G60" s="14" t="s">
        <v>249</v>
      </c>
      <c r="H60" s="14" t="s">
        <v>288</v>
      </c>
      <c r="I60" s="20" t="s">
        <v>310</v>
      </c>
      <c r="J60" s="14" t="s">
        <v>344</v>
      </c>
      <c r="K60" s="14" t="s">
        <v>387</v>
      </c>
      <c r="L60" s="14">
        <v>12</v>
      </c>
      <c r="M60" s="14">
        <f>L60*5</f>
        <v>60</v>
      </c>
      <c r="N60" s="14">
        <v>100</v>
      </c>
      <c r="O60" s="49" t="s">
        <v>409</v>
      </c>
      <c r="P60" s="15">
        <v>4.8999999999999998E-3</v>
      </c>
      <c r="Q60" s="15">
        <f>P60*N60</f>
        <v>0.49</v>
      </c>
      <c r="R60" s="14"/>
    </row>
    <row r="61" spans="1:18" x14ac:dyDescent="0.25">
      <c r="A61" s="1"/>
      <c r="B61" s="17">
        <f t="shared" si="0"/>
        <v>54</v>
      </c>
      <c r="C61" s="23" t="s">
        <v>23</v>
      </c>
      <c r="D61" s="20" t="s">
        <v>84</v>
      </c>
      <c r="E61" s="20" t="s">
        <v>152</v>
      </c>
      <c r="F61" s="20" t="s">
        <v>189</v>
      </c>
      <c r="G61" s="20" t="s">
        <v>250</v>
      </c>
      <c r="H61" s="20" t="s">
        <v>264</v>
      </c>
      <c r="I61" s="20" t="s">
        <v>310</v>
      </c>
      <c r="J61" s="20" t="s">
        <v>345</v>
      </c>
      <c r="K61" s="20" t="s">
        <v>388</v>
      </c>
      <c r="L61" s="20">
        <v>1</v>
      </c>
      <c r="M61" s="20">
        <f t="shared" ref="M61" si="53">L61*5</f>
        <v>5</v>
      </c>
      <c r="N61" s="20">
        <v>100</v>
      </c>
      <c r="O61" s="49" t="s">
        <v>409</v>
      </c>
      <c r="P61" s="21">
        <v>5.9999999999999995E-4</v>
      </c>
      <c r="Q61" s="21">
        <f t="shared" ref="Q61" si="54">P61*N61</f>
        <v>0.06</v>
      </c>
      <c r="R61" s="20"/>
    </row>
    <row r="62" spans="1:18" x14ac:dyDescent="0.25">
      <c r="A62" s="1"/>
      <c r="B62" s="16">
        <f>ROW(B62) - ROW($B$7)</f>
        <v>55</v>
      </c>
      <c r="C62" s="22" t="s">
        <v>23</v>
      </c>
      <c r="D62" s="14" t="s">
        <v>85</v>
      </c>
      <c r="E62" s="14" t="s">
        <v>153</v>
      </c>
      <c r="F62" s="14" t="s">
        <v>189</v>
      </c>
      <c r="G62" s="14" t="s">
        <v>251</v>
      </c>
      <c r="H62" s="14" t="s">
        <v>264</v>
      </c>
      <c r="I62" s="20" t="s">
        <v>310</v>
      </c>
      <c r="J62" s="14" t="s">
        <v>346</v>
      </c>
      <c r="K62" s="14" t="s">
        <v>389</v>
      </c>
      <c r="L62" s="14">
        <v>1</v>
      </c>
      <c r="M62" s="14">
        <f>L62*5</f>
        <v>5</v>
      </c>
      <c r="N62" s="14">
        <v>100</v>
      </c>
      <c r="O62" s="49" t="s">
        <v>409</v>
      </c>
      <c r="P62" s="15">
        <v>6.9999999999999999E-4</v>
      </c>
      <c r="Q62" s="15">
        <f>P62*N62</f>
        <v>6.9999999999999993E-2</v>
      </c>
      <c r="R62" s="14"/>
    </row>
    <row r="63" spans="1:18" x14ac:dyDescent="0.25">
      <c r="A63" s="1"/>
      <c r="B63" s="17">
        <f t="shared" si="0"/>
        <v>56</v>
      </c>
      <c r="C63" s="23" t="s">
        <v>23</v>
      </c>
      <c r="D63" s="42" t="s">
        <v>86</v>
      </c>
      <c r="E63" s="42" t="s">
        <v>139</v>
      </c>
      <c r="F63" s="44" t="s">
        <v>189</v>
      </c>
      <c r="G63" s="42" t="s">
        <v>237</v>
      </c>
      <c r="H63" s="42" t="s">
        <v>264</v>
      </c>
      <c r="I63" s="42" t="s">
        <v>310</v>
      </c>
      <c r="J63" s="42" t="s">
        <v>332</v>
      </c>
      <c r="K63" s="42" t="s">
        <v>361</v>
      </c>
      <c r="L63" s="42">
        <v>4</v>
      </c>
      <c r="M63" s="42">
        <f t="shared" ref="M63" si="55">L63*5</f>
        <v>20</v>
      </c>
      <c r="N63" s="42" t="s">
        <v>310</v>
      </c>
      <c r="O63" s="43" t="s">
        <v>409</v>
      </c>
      <c r="P63" s="46" t="s">
        <v>310</v>
      </c>
      <c r="Q63" s="46" t="s">
        <v>310</v>
      </c>
      <c r="R63" s="47" t="s">
        <v>404</v>
      </c>
    </row>
    <row r="64" spans="1:18" x14ac:dyDescent="0.25">
      <c r="A64" s="1"/>
      <c r="B64" s="16">
        <f>ROW(B64) - ROW($B$7)</f>
        <v>57</v>
      </c>
      <c r="C64" s="23" t="s">
        <v>23</v>
      </c>
      <c r="D64" s="14" t="s">
        <v>87</v>
      </c>
      <c r="E64" s="14" t="s">
        <v>154</v>
      </c>
      <c r="F64" s="14" t="s">
        <v>189</v>
      </c>
      <c r="G64" s="14" t="s">
        <v>252</v>
      </c>
      <c r="H64" s="14" t="s">
        <v>264</v>
      </c>
      <c r="I64" s="14" t="s">
        <v>310</v>
      </c>
      <c r="J64" s="14" t="s">
        <v>347</v>
      </c>
      <c r="K64" s="14" t="s">
        <v>390</v>
      </c>
      <c r="L64" s="14">
        <v>1</v>
      </c>
      <c r="M64" s="14">
        <f>L64*5</f>
        <v>5</v>
      </c>
      <c r="N64" s="14">
        <v>100</v>
      </c>
      <c r="O64" s="49" t="s">
        <v>409</v>
      </c>
      <c r="P64" s="15">
        <v>5.9999999999999995E-4</v>
      </c>
      <c r="Q64" s="15">
        <f>P64*N64</f>
        <v>0.06</v>
      </c>
      <c r="R64" s="14"/>
    </row>
    <row r="65" spans="1:18" x14ac:dyDescent="0.25">
      <c r="A65" s="1"/>
      <c r="B65" s="17">
        <f t="shared" si="0"/>
        <v>58</v>
      </c>
      <c r="C65" s="23" t="s">
        <v>25</v>
      </c>
      <c r="D65" s="20" t="s">
        <v>88</v>
      </c>
      <c r="E65" s="20" t="s">
        <v>155</v>
      </c>
      <c r="F65" s="20" t="s">
        <v>403</v>
      </c>
      <c r="G65" s="20" t="s">
        <v>193</v>
      </c>
      <c r="H65" s="20" t="s">
        <v>289</v>
      </c>
      <c r="I65" s="14" t="s">
        <v>310</v>
      </c>
      <c r="J65" s="20" t="s">
        <v>348</v>
      </c>
      <c r="K65" s="20" t="s">
        <v>310</v>
      </c>
      <c r="L65" s="20">
        <v>1</v>
      </c>
      <c r="M65" s="20">
        <f t="shared" ref="M65" si="56">L65*5</f>
        <v>5</v>
      </c>
      <c r="N65" s="20">
        <v>10</v>
      </c>
      <c r="O65" s="49" t="s">
        <v>409</v>
      </c>
      <c r="P65" s="21">
        <v>0.1552</v>
      </c>
      <c r="Q65" s="21">
        <f t="shared" ref="Q65" si="57">P65*N65</f>
        <v>1.552</v>
      </c>
      <c r="R65" s="20"/>
    </row>
    <row r="66" spans="1:18" x14ac:dyDescent="0.25">
      <c r="A66" s="1"/>
      <c r="B66" s="16">
        <f>ROW(B66) - ROW($B$7)</f>
        <v>59</v>
      </c>
      <c r="C66" s="22" t="s">
        <v>26</v>
      </c>
      <c r="D66" s="14" t="s">
        <v>89</v>
      </c>
      <c r="E66" s="14" t="s">
        <v>156</v>
      </c>
      <c r="F66" s="14" t="s">
        <v>194</v>
      </c>
      <c r="G66" s="14" t="s">
        <v>253</v>
      </c>
      <c r="H66" s="14" t="s">
        <v>290</v>
      </c>
      <c r="I66" s="14" t="s">
        <v>310</v>
      </c>
      <c r="J66" s="14" t="s">
        <v>349</v>
      </c>
      <c r="K66" s="20" t="s">
        <v>310</v>
      </c>
      <c r="L66" s="14">
        <v>1</v>
      </c>
      <c r="M66" s="14">
        <f>L66*5</f>
        <v>5</v>
      </c>
      <c r="N66" s="14">
        <v>6</v>
      </c>
      <c r="O66" s="49" t="s">
        <v>409</v>
      </c>
      <c r="P66" s="15">
        <v>2.6966000000000001</v>
      </c>
      <c r="Q66" s="15">
        <f>P66*N66</f>
        <v>16.179600000000001</v>
      </c>
      <c r="R66" s="14"/>
    </row>
    <row r="67" spans="1:18" x14ac:dyDescent="0.25">
      <c r="A67" s="1"/>
      <c r="B67" s="17">
        <f t="shared" si="0"/>
        <v>60</v>
      </c>
      <c r="C67" s="23" t="s">
        <v>27</v>
      </c>
      <c r="D67" s="20" t="s">
        <v>90</v>
      </c>
      <c r="E67" s="20" t="s">
        <v>157</v>
      </c>
      <c r="F67" s="20" t="s">
        <v>195</v>
      </c>
      <c r="G67" s="20" t="s">
        <v>254</v>
      </c>
      <c r="H67" s="20" t="s">
        <v>271</v>
      </c>
      <c r="I67" s="14" t="s">
        <v>310</v>
      </c>
      <c r="J67" s="20" t="s">
        <v>350</v>
      </c>
      <c r="K67" s="20" t="s">
        <v>310</v>
      </c>
      <c r="L67" s="20">
        <v>1</v>
      </c>
      <c r="M67" s="20">
        <f t="shared" ref="M67" si="58">L67*5</f>
        <v>5</v>
      </c>
      <c r="N67" s="20">
        <v>6</v>
      </c>
      <c r="O67" s="49" t="s">
        <v>409</v>
      </c>
      <c r="P67" s="21">
        <v>0.41870000000000002</v>
      </c>
      <c r="Q67" s="21">
        <f t="shared" ref="Q67" si="59">P67*N67</f>
        <v>2.5122</v>
      </c>
      <c r="R67" s="20"/>
    </row>
    <row r="68" spans="1:18" ht="36" x14ac:dyDescent="0.25">
      <c r="A68" s="1"/>
      <c r="B68" s="16">
        <f>ROW(B68) - ROW($B$7)</f>
        <v>61</v>
      </c>
      <c r="C68" s="22" t="s">
        <v>27</v>
      </c>
      <c r="D68" s="14" t="s">
        <v>91</v>
      </c>
      <c r="E68" s="14" t="s">
        <v>158</v>
      </c>
      <c r="F68" s="14" t="s">
        <v>196</v>
      </c>
      <c r="G68" s="14" t="s">
        <v>255</v>
      </c>
      <c r="H68" s="14" t="s">
        <v>291</v>
      </c>
      <c r="I68" s="14" t="s">
        <v>310</v>
      </c>
      <c r="J68" s="14" t="s">
        <v>351</v>
      </c>
      <c r="K68" s="20" t="s">
        <v>310</v>
      </c>
      <c r="L68" s="14">
        <v>1</v>
      </c>
      <c r="M68" s="14">
        <f>L68*5</f>
        <v>5</v>
      </c>
      <c r="N68" s="14">
        <v>10</v>
      </c>
      <c r="O68" s="49" t="s">
        <v>409</v>
      </c>
      <c r="P68" s="15">
        <v>0.1706</v>
      </c>
      <c r="Q68" s="15">
        <f>P68*N68</f>
        <v>1.706</v>
      </c>
      <c r="R68" s="14"/>
    </row>
    <row r="69" spans="1:18" x14ac:dyDescent="0.25">
      <c r="A69" s="1"/>
      <c r="B69" s="17">
        <f t="shared" si="0"/>
        <v>62</v>
      </c>
      <c r="C69" s="23" t="s">
        <v>27</v>
      </c>
      <c r="D69" s="20" t="s">
        <v>92</v>
      </c>
      <c r="E69" s="20" t="s">
        <v>159</v>
      </c>
      <c r="F69" s="20" t="s">
        <v>197</v>
      </c>
      <c r="G69" s="20" t="s">
        <v>256</v>
      </c>
      <c r="H69" s="20" t="s">
        <v>292</v>
      </c>
      <c r="I69" s="14" t="s">
        <v>310</v>
      </c>
      <c r="J69" s="20" t="s">
        <v>352</v>
      </c>
      <c r="K69" s="20" t="s">
        <v>310</v>
      </c>
      <c r="L69" s="20">
        <v>4</v>
      </c>
      <c r="M69" s="20">
        <f t="shared" ref="M69" si="60">L69*5</f>
        <v>20</v>
      </c>
      <c r="N69" s="20">
        <v>25</v>
      </c>
      <c r="O69" s="49" t="s">
        <v>409</v>
      </c>
      <c r="P69" s="21">
        <v>0.22259999999999999</v>
      </c>
      <c r="Q69" s="21">
        <f t="shared" ref="Q69" si="61">P69*N69</f>
        <v>5.5649999999999995</v>
      </c>
      <c r="R69" s="20"/>
    </row>
    <row r="70" spans="1:18" x14ac:dyDescent="0.25">
      <c r="A70" s="1"/>
      <c r="B70" s="16">
        <f>ROW(B70) - ROW($B$7)</f>
        <v>63</v>
      </c>
      <c r="C70" s="22" t="s">
        <v>27</v>
      </c>
      <c r="D70" s="14" t="s">
        <v>93</v>
      </c>
      <c r="E70" s="14" t="s">
        <v>160</v>
      </c>
      <c r="F70" s="14" t="s">
        <v>198</v>
      </c>
      <c r="G70" s="14" t="s">
        <v>257</v>
      </c>
      <c r="H70" s="14" t="s">
        <v>292</v>
      </c>
      <c r="I70" s="14" t="s">
        <v>310</v>
      </c>
      <c r="J70" s="14" t="s">
        <v>353</v>
      </c>
      <c r="K70" s="20" t="s">
        <v>310</v>
      </c>
      <c r="L70" s="14">
        <v>1</v>
      </c>
      <c r="M70" s="14">
        <f>L70*5</f>
        <v>5</v>
      </c>
      <c r="N70" s="14">
        <v>6</v>
      </c>
      <c r="O70" s="49" t="s">
        <v>409</v>
      </c>
      <c r="P70" s="15">
        <v>2.9133</v>
      </c>
      <c r="Q70" s="15">
        <f>P70*N70</f>
        <v>17.479800000000001</v>
      </c>
      <c r="R70" s="14"/>
    </row>
    <row r="71" spans="1:18" ht="24" x14ac:dyDescent="0.25">
      <c r="A71" s="1"/>
      <c r="B71" s="17">
        <f t="shared" si="0"/>
        <v>64</v>
      </c>
      <c r="C71" s="23" t="s">
        <v>27</v>
      </c>
      <c r="D71" s="20" t="s">
        <v>94</v>
      </c>
      <c r="E71" s="20" t="s">
        <v>161</v>
      </c>
      <c r="F71" s="20" t="s">
        <v>199</v>
      </c>
      <c r="G71" s="20" t="s">
        <v>258</v>
      </c>
      <c r="H71" s="20" t="s">
        <v>293</v>
      </c>
      <c r="I71" s="14" t="s">
        <v>310</v>
      </c>
      <c r="J71" s="20" t="s">
        <v>354</v>
      </c>
      <c r="K71" s="20" t="s">
        <v>310</v>
      </c>
      <c r="L71" s="20">
        <v>1</v>
      </c>
      <c r="M71" s="20">
        <f t="shared" ref="M71" si="62">L71*5</f>
        <v>5</v>
      </c>
      <c r="N71" s="20">
        <v>6</v>
      </c>
      <c r="O71" s="49" t="s">
        <v>409</v>
      </c>
      <c r="P71" s="21">
        <v>0.33610000000000001</v>
      </c>
      <c r="Q71" s="21">
        <f t="shared" ref="Q71" si="63">P71*N71</f>
        <v>2.0165999999999999</v>
      </c>
      <c r="R71" s="20"/>
    </row>
    <row r="72" spans="1:18" x14ac:dyDescent="0.25">
      <c r="A72" s="1"/>
      <c r="B72" s="16">
        <f>ROW(B72) - ROW($B$7)</f>
        <v>65</v>
      </c>
      <c r="C72" s="22" t="s">
        <v>27</v>
      </c>
      <c r="D72" s="14" t="s">
        <v>95</v>
      </c>
      <c r="E72" s="14" t="s">
        <v>162</v>
      </c>
      <c r="F72" s="14" t="s">
        <v>200</v>
      </c>
      <c r="G72" s="14" t="s">
        <v>259</v>
      </c>
      <c r="H72" s="14" t="s">
        <v>292</v>
      </c>
      <c r="I72" s="14" t="s">
        <v>310</v>
      </c>
      <c r="J72" s="14" t="s">
        <v>355</v>
      </c>
      <c r="K72" s="20" t="s">
        <v>310</v>
      </c>
      <c r="L72" s="14">
        <v>1</v>
      </c>
      <c r="M72" s="14">
        <f>L72*5</f>
        <v>5</v>
      </c>
      <c r="N72" s="14">
        <v>6</v>
      </c>
      <c r="O72" s="49" t="s">
        <v>409</v>
      </c>
      <c r="P72" s="15">
        <v>3.4409999999999998</v>
      </c>
      <c r="Q72" s="15">
        <f>P72*N72</f>
        <v>20.646000000000001</v>
      </c>
      <c r="R72" s="14"/>
    </row>
    <row r="73" spans="1:18" ht="24" x14ac:dyDescent="0.25">
      <c r="A73" s="1"/>
      <c r="B73" s="17">
        <f t="shared" si="0"/>
        <v>66</v>
      </c>
      <c r="C73" s="23" t="s">
        <v>28</v>
      </c>
      <c r="D73" s="20" t="s">
        <v>96</v>
      </c>
      <c r="E73" s="20" t="s">
        <v>163</v>
      </c>
      <c r="F73" s="20" t="s">
        <v>201</v>
      </c>
      <c r="G73" s="20" t="s">
        <v>260</v>
      </c>
      <c r="H73" s="20" t="s">
        <v>294</v>
      </c>
      <c r="I73" s="14" t="s">
        <v>310</v>
      </c>
      <c r="J73" s="20" t="s">
        <v>356</v>
      </c>
      <c r="K73" s="20" t="s">
        <v>310</v>
      </c>
      <c r="L73" s="20">
        <v>12</v>
      </c>
      <c r="M73" s="20">
        <f t="shared" ref="M73" si="64">L73*5</f>
        <v>60</v>
      </c>
      <c r="N73" s="20">
        <v>65</v>
      </c>
      <c r="O73" s="49" t="s">
        <v>409</v>
      </c>
      <c r="P73" s="21">
        <v>8.8300000000000003E-2</v>
      </c>
      <c r="Q73" s="21">
        <f t="shared" ref="Q73" si="65">P73*N73</f>
        <v>5.7395000000000005</v>
      </c>
      <c r="R73" s="20"/>
    </row>
    <row r="74" spans="1:18" ht="24" x14ac:dyDescent="0.25">
      <c r="A74" s="1"/>
      <c r="B74" s="16">
        <f>ROW(B74) - ROW($B$7)</f>
        <v>67</v>
      </c>
      <c r="C74" s="22" t="s">
        <v>29</v>
      </c>
      <c r="D74" s="42" t="s">
        <v>97</v>
      </c>
      <c r="E74" s="42" t="s">
        <v>164</v>
      </c>
      <c r="F74" s="43" t="s">
        <v>202</v>
      </c>
      <c r="G74" s="42" t="s">
        <v>261</v>
      </c>
      <c r="H74" s="42" t="s">
        <v>295</v>
      </c>
      <c r="I74" s="42" t="s">
        <v>310</v>
      </c>
      <c r="J74" s="42" t="s">
        <v>357</v>
      </c>
      <c r="K74" s="42" t="s">
        <v>361</v>
      </c>
      <c r="L74" s="42">
        <v>1</v>
      </c>
      <c r="M74" s="42">
        <f>L74*5</f>
        <v>5</v>
      </c>
      <c r="N74" s="42" t="s">
        <v>310</v>
      </c>
      <c r="O74" s="43" t="s">
        <v>409</v>
      </c>
      <c r="P74" s="46" t="s">
        <v>310</v>
      </c>
      <c r="Q74" s="46" t="s">
        <v>310</v>
      </c>
      <c r="R74" s="47" t="s">
        <v>404</v>
      </c>
    </row>
    <row r="75" spans="1:18" ht="24.75" thickBot="1" x14ac:dyDescent="0.3">
      <c r="A75" s="1"/>
      <c r="B75" s="17">
        <f t="shared" si="0"/>
        <v>68</v>
      </c>
      <c r="C75" s="23" t="s">
        <v>29</v>
      </c>
      <c r="D75" s="20" t="s">
        <v>98</v>
      </c>
      <c r="E75" s="20" t="s">
        <v>165</v>
      </c>
      <c r="F75" s="20" t="s">
        <v>403</v>
      </c>
      <c r="G75" s="20" t="s">
        <v>262</v>
      </c>
      <c r="H75" s="20" t="s">
        <v>296</v>
      </c>
      <c r="I75" s="20" t="s">
        <v>310</v>
      </c>
      <c r="J75" s="20" t="s">
        <v>358</v>
      </c>
      <c r="K75" s="20" t="s">
        <v>391</v>
      </c>
      <c r="L75" s="20">
        <v>1</v>
      </c>
      <c r="M75" s="20">
        <f t="shared" ref="M75" si="66">L75*5</f>
        <v>5</v>
      </c>
      <c r="N75" s="20">
        <v>10</v>
      </c>
      <c r="O75" s="49" t="s">
        <v>409</v>
      </c>
      <c r="P75" s="21">
        <v>0.27510000000000001</v>
      </c>
      <c r="Q75" s="21">
        <f t="shared" ref="Q75" si="67">P75*N75</f>
        <v>2.7510000000000003</v>
      </c>
      <c r="R75" s="20"/>
    </row>
    <row r="76" spans="1:18" ht="19.5" thickBo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51" t="s">
        <v>3</v>
      </c>
      <c r="O76" s="52"/>
      <c r="P76" s="52"/>
      <c r="Q76" s="18">
        <f>SUM(Q8:Q75)</f>
        <v>148.19919999999999</v>
      </c>
      <c r="R76" s="1"/>
    </row>
    <row r="77" spans="1:18" ht="19.5" thickBo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51" t="s">
        <v>4</v>
      </c>
      <c r="O77" s="52"/>
      <c r="P77" s="52"/>
      <c r="Q77" s="19">
        <f>Q76/5</f>
        <v>29.63984</v>
      </c>
      <c r="R77" s="1"/>
    </row>
    <row r="89" spans="13:13" x14ac:dyDescent="0.25">
      <c r="M89" s="38"/>
    </row>
  </sheetData>
  <mergeCells count="3">
    <mergeCell ref="K1:R1"/>
    <mergeCell ref="N76:P76"/>
    <mergeCell ref="N77:P77"/>
  </mergeCells>
  <hyperlinks>
    <hyperlink ref="O8" r:id="rId1"/>
    <hyperlink ref="O9" r:id="rId2"/>
    <hyperlink ref="O11" r:id="rId3"/>
    <hyperlink ref="O12" r:id="rId4"/>
    <hyperlink ref="O13" r:id="rId5"/>
    <hyperlink ref="O14" r:id="rId6"/>
    <hyperlink ref="O15" r:id="rId7"/>
    <hyperlink ref="O16" r:id="rId8"/>
    <hyperlink ref="O17" r:id="rId9"/>
    <hyperlink ref="O18" r:id="rId10"/>
    <hyperlink ref="O19" r:id="rId11"/>
    <hyperlink ref="O20" r:id="rId12"/>
    <hyperlink ref="O21" r:id="rId13"/>
    <hyperlink ref="O23" r:id="rId14"/>
    <hyperlink ref="O24" r:id="rId15"/>
    <hyperlink ref="O25" r:id="rId16"/>
    <hyperlink ref="O26" r:id="rId17"/>
    <hyperlink ref="O27" r:id="rId18"/>
    <hyperlink ref="O28" r:id="rId19"/>
    <hyperlink ref="O29" r:id="rId20"/>
    <hyperlink ref="O30" r:id="rId21"/>
    <hyperlink ref="O31" r:id="rId22"/>
    <hyperlink ref="O33" r:id="rId23"/>
    <hyperlink ref="O34" r:id="rId24"/>
    <hyperlink ref="O35" r:id="rId25"/>
    <hyperlink ref="O36" r:id="rId26"/>
    <hyperlink ref="O37" r:id="rId27"/>
    <hyperlink ref="O38" r:id="rId28"/>
    <hyperlink ref="O39" r:id="rId29"/>
    <hyperlink ref="O40" r:id="rId30"/>
    <hyperlink ref="O41" r:id="rId31"/>
    <hyperlink ref="O42" r:id="rId32"/>
    <hyperlink ref="O43" r:id="rId33"/>
    <hyperlink ref="O44" r:id="rId34"/>
    <hyperlink ref="O45" r:id="rId35"/>
    <hyperlink ref="O47" r:id="rId36"/>
    <hyperlink ref="O48" r:id="rId37"/>
    <hyperlink ref="O49" r:id="rId38"/>
    <hyperlink ref="O50" r:id="rId39"/>
    <hyperlink ref="O51" r:id="rId40"/>
    <hyperlink ref="O52" r:id="rId41"/>
    <hyperlink ref="O53" r:id="rId42"/>
    <hyperlink ref="O54" r:id="rId43"/>
    <hyperlink ref="O55" r:id="rId44"/>
    <hyperlink ref="O56" r:id="rId45"/>
    <hyperlink ref="O57" r:id="rId46"/>
    <hyperlink ref="O58" r:id="rId47"/>
    <hyperlink ref="O59" r:id="rId48"/>
    <hyperlink ref="O60" r:id="rId49"/>
    <hyperlink ref="O61" r:id="rId50"/>
    <hyperlink ref="O62" r:id="rId51"/>
    <hyperlink ref="O64" r:id="rId52"/>
    <hyperlink ref="O65" r:id="rId53"/>
    <hyperlink ref="O66" r:id="rId54"/>
    <hyperlink ref="O67" r:id="rId55"/>
    <hyperlink ref="O68" r:id="rId56"/>
    <hyperlink ref="O69" r:id="rId57"/>
    <hyperlink ref="O70" r:id="rId58"/>
    <hyperlink ref="O71" r:id="rId59"/>
    <hyperlink ref="O72" r:id="rId60"/>
    <hyperlink ref="O73" r:id="rId61"/>
    <hyperlink ref="O75" r:id="rId62"/>
    <hyperlink ref="O32" r:id="rId63"/>
  </hyperlinks>
  <pageMargins left="0.7" right="0.7" top="0.75" bottom="0.75" header="0.3" footer="0.3"/>
  <pageSetup paperSize="9" orientation="portrait" r:id="rId6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2024-08-26T13:24:03Z</dcterms:modified>
</cp:coreProperties>
</file>