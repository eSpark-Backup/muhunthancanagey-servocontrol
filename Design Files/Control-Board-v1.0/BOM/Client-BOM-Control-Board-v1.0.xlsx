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7" i="1" l="1"/>
  <c r="B120" i="1" l="1"/>
  <c r="B121" i="1"/>
  <c r="B122" i="1"/>
  <c r="B123" i="1"/>
  <c r="B119" i="1" l="1"/>
  <c r="B118" i="1" l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<sst xmlns="http://schemas.openxmlformats.org/spreadsheetml/2006/main" count="859" uniqueCount="544">
  <si>
    <t>#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</si>
  <si>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</si>
  <si>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</si>
  <si>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</si>
  <si>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</si>
  <si>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</si>
  <si>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</si>
  <si>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</si>
  <si>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</si>
  <si>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</si>
  <si>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</si>
  <si>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</si>
  <si>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</si>
  <si>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</si>
  <si>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</si>
  <si>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</si>
  <si>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</si>
  <si>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</si>
  <si>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</si>
  <si>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</si>
  <si>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</si>
  <si>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</si>
  <si>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</si>
  <si>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</si>
  <si>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</si>
  <si>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</si>
  <si>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</si>
  <si>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</si>
  <si>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</si>
  <si>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</si>
  <si>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</si>
  <si>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</si>
  <si>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</si>
  <si>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</si>
  <si>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</si>
  <si>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</si>
  <si>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</si>
  <si>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</si>
  <si>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</si>
  <si>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</si>
  <si>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</si>
  <si>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</si>
  <si>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</si>
  <si>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</si>
  <si>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</si>
  <si>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</si>
  <si>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</si>
  <si>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</si>
  <si>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</si>
  <si>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</si>
  <si>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</si>
  <si>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</si>
  <si>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</si>
  <si>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</si>
  <si>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</si>
  <si>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</si>
  <si>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</si>
  <si>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</si>
  <si>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</si>
  <si>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</si>
  <si>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</si>
  <si>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</si>
  <si>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</si>
  <si>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</si>
  <si>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</si>
  <si>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</si>
  <si>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</si>
  <si>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</si>
  <si>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</si>
  <si>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</si>
  <si>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</si>
  <si>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</si>
  <si>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</si>
  <si>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</si>
  <si>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</si>
  <si>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</si>
  <si>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</si>
  <si>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</si>
  <si>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</si>
  <si>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</si>
  <si>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</si>
  <si>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</si>
  <si>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</si>
  <si>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</si>
  <si>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</si>
  <si>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</si>
  <si>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</si>
  <si>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</si>
  <si>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</si>
  <si>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</si>
  <si>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</si>
  <si>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</si>
  <si>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</si>
  <si>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</si>
  <si>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</si>
  <si>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</si>
  <si>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</si>
  <si>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</si>
  <si>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</si>
  <si>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</si>
  <si>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</si>
  <si>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</si>
  <si>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</si>
  <si>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</si>
  <si>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</si>
  <si>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</si>
  <si>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</si>
  <si>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</si>
  <si>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</si>
  <si>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</si>
  <si>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</si>
  <si>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</si>
  <si>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</si>
  <si>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</si>
  <si>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</si>
  <si>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</si>
  <si>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</si>
  <si>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</si>
  <si>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</si>
  <si>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</si>
  <si>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</si>
  <si>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</si>
  <si>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</si>
  <si>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</si>
  <si>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</si>
  <si>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</si>
  <si>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</si>
  <si>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</si>
  <si>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</si>
  <si>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</si>
  <si>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</si>
  <si>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</si>
  <si>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</si>
  <si>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</si>
  <si>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</si>
  <si>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</si>
  <si>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</si>
  <si>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</si>
  <si>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</si>
  <si>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</si>
  <si>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</si>
  <si>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</si>
  <si>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</si>
  <si>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</si>
  <si>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</si>
  <si>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</si>
  <si>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</si>
  <si>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</si>
  <si>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</si>
  <si>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</si>
  <si>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</si>
  <si>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</si>
  <si>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</si>
  <si>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</si>
  <si>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</si>
  <si>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</si>
  <si>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</si>
  <si>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</si>
  <si>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</si>
  <si>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</si>
  <si>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</si>
  <si>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</si>
  <si>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</si>
  <si>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</si>
  <si>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</si>
  <si>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</si>
  <si>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</si>
  <si>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</si>
  <si>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</si>
  <si>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</si>
  <si>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</si>
  <si>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</si>
  <si>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</si>
  <si>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</si>
  <si>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</si>
  <si>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</si>
  <si>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</si>
  <si>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</si>
  <si>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</si>
  <si>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</si>
  <si>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</si>
  <si>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</si>
  <si>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</si>
  <si>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</si>
  <si>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</si>
  <si>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</si>
  <si>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</si>
  <si>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</si>
  <si>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</si>
  <si>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</si>
  <si>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</si>
  <si>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</si>
  <si>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</si>
  <si>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</si>
  <si>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</si>
  <si>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</si>
  <si>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</si>
  <si>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</si>
  <si>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</si>
  <si>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</si>
  <si>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</si>
  <si>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</si>
  <si>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</si>
  <si>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</si>
  <si>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</si>
  <si>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</si>
  <si>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</si>
  <si>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</si>
  <si>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</si>
  <si>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</si>
  <si>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</si>
  <si>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</si>
  <si>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</si>
  <si>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</si>
  <si>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</si>
  <si>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</si>
  <si>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</si>
  <si>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</si>
  <si>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</si>
  <si>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</si>
  <si>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</si>
  <si>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</si>
  <si>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</si>
  <si>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</si>
  <si>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</si>
  <si>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</si>
  <si>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</si>
  <si>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</si>
  <si>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</si>
  <si>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</si>
  <si>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</si>
  <si>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</si>
  <si>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</si>
  <si>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</si>
  <si>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</si>
  <si>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</si>
  <si>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</si>
  <si>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</si>
  <si>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</si>
  <si>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</si>
  <si>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</si>
  <si>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</si>
  <si>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</si>
  <si>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</si>
  <si>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</si>
  <si>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</si>
  <si>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</si>
  <si>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</si>
  <si>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</si>
  <si>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</si>
  <si>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</si>
  <si>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</si>
  <si>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</si>
  <si>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</si>
  <si>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</si>
  <si>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</si>
  <si>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</si>
  <si>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</si>
  <si>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</si>
  <si>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</si>
  <si>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</si>
  <si>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</si>
  <si>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</si>
  <si>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</si>
  <si>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</si>
  <si>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</si>
  <si>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</si>
  <si>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</si>
  <si>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</si>
  <si>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</si>
  <si>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</si>
  <si>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</si>
  <si>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</si>
  <si>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</si>
  <si>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</si>
  <si>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</si>
  <si>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</si>
  <si>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</si>
  <si>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</si>
  <si>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</si>
  <si>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</si>
  <si>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</si>
  <si>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</si>
  <si>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</si>
  <si>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</si>
  <si>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</si>
  <si>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</si>
  <si>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</si>
  <si>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</si>
  <si>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</si>
  <si>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</si>
  <si>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</si>
  <si>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</si>
  <si>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</si>
  <si>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</si>
  <si>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</si>
  <si>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</si>
  <si>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</si>
  <si>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</si>
  <si>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</si>
  <si>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</si>
  <si>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</si>
  <si>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</si>
  <si>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</si>
  <si>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</si>
  <si>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</si>
  <si>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</si>
  <si>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</si>
  <si>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</si>
  <si>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</si>
  <si>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</si>
  <si>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</si>
  <si>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</si>
  <si>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</si>
  <si>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</si>
  <si>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</si>
  <si>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</si>
  <si>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</si>
  <si>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</si>
  <si>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</si>
  <si>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</si>
  <si>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</si>
  <si>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</si>
  <si>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</si>
  <si>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</si>
  <si>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</si>
  <si>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</si>
  <si>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</si>
  <si>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</si>
  <si>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</si>
  <si>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</si>
  <si>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</si>
  <si>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</si>
  <si>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</si>
  <si>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</si>
  <si>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</si>
  <si>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</si>
  <si>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</si>
  <si>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</si>
  <si>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</si>
  <si>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</si>
  <si>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</si>
  <si>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</si>
  <si>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</si>
  <si>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</si>
  <si>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</si>
  <si>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</si>
  <si>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</si>
  <si>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</si>
  <si>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</si>
  <si>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</si>
  <si>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</si>
  <si>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</si>
  <si>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</si>
  <si>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</si>
  <si>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</si>
  <si>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</si>
  <si>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</si>
  <si>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</si>
  <si>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</si>
  <si>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</si>
  <si>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</si>
  <si>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</si>
  <si>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</si>
  <si>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</si>
  <si>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</si>
  <si>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</si>
  <si>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</si>
  <si>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</si>
  <si>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</si>
  <si>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</si>
  <si>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</si>
  <si>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</si>
  <si>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</si>
  <si>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</si>
  <si>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</si>
  <si>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</si>
  <si>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</si>
  <si>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</si>
  <si>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</si>
  <si>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</si>
  <si>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</si>
  <si>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</si>
  <si>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</si>
  <si>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</si>
  <si>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</si>
  <si>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</si>
  <si>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</si>
  <si>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</si>
  <si>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</si>
  <si>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</si>
  <si>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</si>
  <si>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</si>
  <si>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</si>
  <si>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</si>
  <si>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</si>
  <si>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</si>
  <si>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</si>
  <si>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</si>
  <si>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</si>
  <si>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</si>
  <si>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</si>
  <si>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</si>
  <si>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</si>
  <si>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</si>
  <si>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</si>
  <si>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</si>
  <si>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</si>
  <si>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</si>
  <si>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</si>
  <si>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</si>
  <si>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</si>
  <si>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</si>
  <si>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</si>
  <si>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</si>
  <si>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</si>
  <si>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</si>
  <si>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</si>
  <si>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</si>
  <si>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</si>
  <si>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</si>
  <si>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</si>
  <si>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</si>
  <si>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</si>
  <si>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</si>
  <si>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</si>
  <si>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</si>
  <si>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</si>
  <si>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</si>
  <si>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</si>
  <si>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</si>
  <si>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</si>
  <si>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</si>
  <si>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</si>
  <si>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</si>
  <si>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</si>
  <si>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</si>
  <si>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</si>
  <si>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</si>
  <si>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</si>
  <si>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</si>
  <si>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</si>
  <si>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</si>
  <si>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</si>
  <si>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</si>
  <si>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</si>
  <si>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</si>
  <si>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</si>
  <si>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</si>
  <si>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</si>
  <si>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</si>
  <si>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</si>
  <si>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</si>
  <si>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</si>
  <si>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</si>
  <si>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</si>
  <si>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</si>
  <si>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</si>
  <si>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</si>
  <si>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</si>
  <si>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</si>
  <si>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</si>
  <si>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</si>
  <si>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</si>
  <si>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</si>
  <si>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</si>
  <si>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</si>
  <si>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</si>
  <si>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</si>
  <si>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</si>
  <si>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</si>
  <si>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</si>
  <si>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</si>
  <si>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</si>
  <si>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</si>
  <si>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</si>
  <si>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</si>
  <si>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</si>
  <si>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</si>
  <si>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</si>
  <si>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</si>
  <si>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</si>
  <si>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</si>
  <si>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</si>
  <si>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</si>
  <si>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</si>
  <si>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</si>
  <si>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</si>
  <si>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</si>
  <si>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</si>
  <si>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</si>
  <si>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</si>
  <si>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</si>
  <si>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</si>
  <si>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</si>
  <si>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</si>
  <si>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</si>
  <si>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</si>
  <si>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</si>
  <si>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</si>
  <si>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</si>
  <si>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</si>
  <si>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</si>
  <si>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</si>
  <si>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</si>
  <si>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</si>
  <si>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</si>
  <si>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</si>
  <si>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</si>
  <si>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</si>
  <si>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</si>
  <si>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</si>
  <si>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</si>
  <si>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</si>
  <si>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</si>
  <si>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</si>
  <si>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</si>
  <si>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</si>
  <si>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Amphenol</t>
  </si>
  <si>
    <t>Value</t>
  </si>
  <si>
    <t>Remarks</t>
  </si>
  <si>
    <t>Custom</t>
  </si>
  <si>
    <t>DO NOT PLACE</t>
  </si>
  <si>
    <t>-</t>
  </si>
  <si>
    <t>Peripheral</t>
  </si>
  <si>
    <t>3.5" inch 320*480 32P/0.5 ST7796 8/16 MCU Parallel 3/4 SPI TFT Color LCD Module Display Screen Resistive Capacitive Touch Panel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</si>
  <si>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</si>
  <si>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</si>
  <si>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</si>
  <si>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</si>
  <si>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</si>
  <si>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</si>
  <si>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</si>
  <si>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TFT Module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</si>
  <si>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</si>
  <si>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</si>
  <si>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</si>
  <si>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</si>
  <si>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</si>
  <si>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</si>
  <si>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</si>
  <si>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CS-IPS-ST7796-NTP</t>
  </si>
  <si>
    <t>LED4, LED6</t>
  </si>
  <si>
    <t>R89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</si>
</sst>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4" fillId="2" borderId="6" xfId="0" quotePrefix="1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7990405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25"/>
  <sheetViews>
    <sheetView tabSelected="1" workbookViewId="0">
      <selection activeCell="R25" sqref="R25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18.42578125" bestFit="1" customWidth="1"/>
    <col min="7" max="7" width="25.28515625" bestFit="1" customWidth="1"/>
    <col min="8" max="8" width="19.85546875" bestFit="1" customWidth="1"/>
    <col min="9" max="9" width="6.85546875" bestFit="1" customWidth="1"/>
    <col min="10" max="10" width="16.7109375" bestFit="1" customWidth="1"/>
    <col min="11" max="11" width="14.140625" customWidth="1"/>
    <col min="13" max="13" width="36" bestFit="1" customWidth="1"/>
    <col min="14" max="14" width="33.42578125" bestFit="1" customWidth="1"/>
    <col min="15" max="15" width="16.710937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24"/>
      <c r="J1" s="24"/>
      <c r="K1" s="24"/>
      <c r="M1" s="2"/>
      <c r="N1" s="2"/>
      <c r="O1" s="23"/>
    </row>
    <row r="2" spans="1:15" ht="15.75" thickBot="1" x14ac:dyDescent="0.3">
      <c r="A2" s="1"/>
      <c r="B2" s="5" t="s">
        <v>0</v>
      </c>
      <c r="C2" s="5" t="s">
        <v>1</v>
      </c>
      <c r="D2" s="5" t="s">
        <v>32</v>
      </c>
      <c r="E2" s="6" t="s">
        <v>147</v>
      </c>
      <c r="F2" s="5" t="s">
        <v>261</v>
      </c>
      <c r="G2" s="6" t="s">
        <v>318</v>
      </c>
      <c r="H2" s="5" t="s">
        <v>418</v>
      </c>
      <c r="I2" s="6" t="s">
        <v>519</v>
      </c>
      <c r="J2" s="5" t="s">
        <v>517</v>
      </c>
      <c r="K2" s="5" t="s">
        <v>520</v>
      </c>
    </row>
    <row r="3" spans="1:15" ht="15.75" thickBot="1" x14ac:dyDescent="0.3">
      <c r="A3" s="1"/>
      <c r="B3" s="11">
        <f>ROW(B3) - ROW($B$2)</f>
        <v>1</v>
      </c>
      <c r="C3" s="12" t="s">
        <v>2</v>
      </c>
      <c r="D3" s="7" t="s">
        <v>33</v>
      </c>
      <c r="E3" s="8" t="s">
        <v>148</v>
      </c>
      <c r="F3" s="7" t="s">
        <v>262</v>
      </c>
      <c r="G3" s="8" t="s">
        <v>319</v>
      </c>
      <c r="H3" s="7" t="s">
        <v>419</v>
      </c>
      <c r="I3" s="8" t="s">
        <v>470</v>
      </c>
      <c r="J3" s="7">
        <v>2</v>
      </c>
      <c r="K3" s="7"/>
    </row>
    <row r="4" spans="1:15" ht="15.75" thickBot="1" x14ac:dyDescent="0.3">
      <c r="A4" s="1"/>
      <c r="B4" s="11">
        <f t="shared" ref="B4:B120" si="0">ROW(B4) - ROW($B$2)</f>
        <v>2</v>
      </c>
      <c r="C4" s="13" t="s">
        <v>2</v>
      </c>
      <c r="D4" s="9" t="s">
        <v>34</v>
      </c>
      <c r="E4" s="10" t="s">
        <v>149</v>
      </c>
      <c r="F4" s="9" t="s">
        <v>262</v>
      </c>
      <c r="G4" s="10" t="s">
        <v>320</v>
      </c>
      <c r="H4" s="9" t="s">
        <v>419</v>
      </c>
      <c r="I4" s="10" t="s">
        <v>471</v>
      </c>
      <c r="J4" s="9">
        <v>3</v>
      </c>
      <c r="K4" s="9"/>
    </row>
    <row r="5" spans="1:15" ht="24.75" thickBot="1" x14ac:dyDescent="0.3">
      <c r="A5" s="1"/>
      <c r="B5" s="11">
        <f>ROW(B5) - ROW($B$2)</f>
        <v>3</v>
      </c>
      <c r="C5" s="12" t="s">
        <v>2</v>
      </c>
      <c r="D5" s="7" t="s">
        <v>35</v>
      </c>
      <c r="E5" s="8" t="s">
        <v>150</v>
      </c>
      <c r="F5" s="7" t="s">
        <v>263</v>
      </c>
      <c r="G5" s="8" t="s">
        <v>321</v>
      </c>
      <c r="H5" s="7" t="s">
        <v>419</v>
      </c>
      <c r="I5" s="8" t="s">
        <v>472</v>
      </c>
      <c r="J5" s="7">
        <v>13</v>
      </c>
      <c r="K5" s="7"/>
    </row>
    <row r="6" spans="1:15" ht="15.75" thickBot="1" x14ac:dyDescent="0.3">
      <c r="A6" s="1"/>
      <c r="B6" s="11">
        <f t="shared" si="0"/>
        <v>4</v>
      </c>
      <c r="C6" s="13" t="s">
        <v>2</v>
      </c>
      <c r="D6" s="14" t="s">
        <v>36</v>
      </c>
      <c r="E6" s="15" t="s">
        <v>151</v>
      </c>
      <c r="F6" s="14" t="s">
        <v>263</v>
      </c>
      <c r="G6" s="15" t="s">
        <v>322</v>
      </c>
      <c r="H6" s="14" t="s">
        <v>419</v>
      </c>
      <c r="I6" s="15" t="s">
        <v>473</v>
      </c>
      <c r="J6" s="14">
        <v>2</v>
      </c>
      <c r="K6" s="16" t="s">
        <v>522</v>
      </c>
    </row>
    <row r="7" spans="1:15" ht="15.75" thickBot="1" x14ac:dyDescent="0.3">
      <c r="A7" s="1"/>
      <c r="B7" s="11">
        <f>ROW(B7) - ROW($B$2)</f>
        <v>5</v>
      </c>
      <c r="C7" s="12" t="s">
        <v>2</v>
      </c>
      <c r="D7" s="7" t="s">
        <v>37</v>
      </c>
      <c r="E7" s="8" t="s">
        <v>152</v>
      </c>
      <c r="F7" s="7" t="s">
        <v>263</v>
      </c>
      <c r="G7" s="8" t="s">
        <v>323</v>
      </c>
      <c r="H7" s="7" t="s">
        <v>419</v>
      </c>
      <c r="I7" s="8" t="s">
        <v>474</v>
      </c>
      <c r="J7" s="7">
        <v>4</v>
      </c>
      <c r="K7" s="7"/>
    </row>
    <row r="8" spans="1:15" ht="15.75" thickBot="1" x14ac:dyDescent="0.3">
      <c r="A8" s="1"/>
      <c r="B8" s="11">
        <f t="shared" si="0"/>
        <v>6</v>
      </c>
      <c r="C8" s="12" t="s">
        <v>2</v>
      </c>
      <c r="D8" s="9" t="s">
        <v>38</v>
      </c>
      <c r="E8" s="10" t="s">
        <v>153</v>
      </c>
      <c r="F8" s="9" t="s">
        <v>263</v>
      </c>
      <c r="G8" s="10" t="s">
        <v>324</v>
      </c>
      <c r="H8" s="9" t="s">
        <v>419</v>
      </c>
      <c r="I8" s="10" t="s">
        <v>475</v>
      </c>
      <c r="J8" s="9">
        <v>1</v>
      </c>
      <c r="K8" s="9"/>
    </row>
    <row r="9" spans="1:15" ht="24.75" thickBot="1" x14ac:dyDescent="0.3">
      <c r="A9" s="1"/>
      <c r="B9" s="11">
        <f>ROW(B9) - ROW($B$2)</f>
        <v>7</v>
      </c>
      <c r="C9" s="12" t="s">
        <v>2</v>
      </c>
      <c r="D9" s="7" t="s">
        <v>39</v>
      </c>
      <c r="E9" s="8" t="s">
        <v>154</v>
      </c>
      <c r="F9" s="7" t="s">
        <v>264</v>
      </c>
      <c r="G9" s="8" t="s">
        <v>325</v>
      </c>
      <c r="H9" s="7" t="s">
        <v>420</v>
      </c>
      <c r="I9" s="8" t="s">
        <v>476</v>
      </c>
      <c r="J9" s="7">
        <v>20</v>
      </c>
      <c r="K9" s="7"/>
    </row>
    <row r="10" spans="1:15" ht="15.75" thickBot="1" x14ac:dyDescent="0.3">
      <c r="A10" s="1"/>
      <c r="B10" s="11">
        <f t="shared" si="0"/>
        <v>8</v>
      </c>
      <c r="C10" s="13" t="s">
        <v>2</v>
      </c>
      <c r="D10" s="9" t="s">
        <v>40</v>
      </c>
      <c r="E10" s="10" t="s">
        <v>155</v>
      </c>
      <c r="F10" s="9" t="s">
        <v>263</v>
      </c>
      <c r="G10" s="10" t="s">
        <v>326</v>
      </c>
      <c r="H10" s="9" t="s">
        <v>420</v>
      </c>
      <c r="I10" s="10" t="s">
        <v>472</v>
      </c>
      <c r="J10" s="9">
        <v>8</v>
      </c>
      <c r="K10" s="9"/>
    </row>
    <row r="11" spans="1:15" ht="15.75" thickBot="1" x14ac:dyDescent="0.3">
      <c r="A11" s="1"/>
      <c r="B11" s="11">
        <f>ROW(B11) - ROW($B$2)</f>
        <v>9</v>
      </c>
      <c r="C11" s="13" t="s">
        <v>2</v>
      </c>
      <c r="D11" s="7" t="s">
        <v>41</v>
      </c>
      <c r="E11" s="8" t="s">
        <v>156</v>
      </c>
      <c r="F11" s="7" t="s">
        <v>263</v>
      </c>
      <c r="G11" s="8" t="s">
        <v>327</v>
      </c>
      <c r="H11" s="7" t="s">
        <v>421</v>
      </c>
      <c r="I11" s="8" t="s">
        <v>477</v>
      </c>
      <c r="J11" s="7">
        <v>1</v>
      </c>
      <c r="K11" s="7"/>
    </row>
    <row r="12" spans="1:15" ht="15.75" thickBot="1" x14ac:dyDescent="0.3">
      <c r="A12" s="1"/>
      <c r="B12" s="11">
        <f t="shared" si="0"/>
        <v>10</v>
      </c>
      <c r="C12" s="13" t="s">
        <v>2</v>
      </c>
      <c r="D12" s="9" t="s">
        <v>42</v>
      </c>
      <c r="E12" s="10" t="s">
        <v>157</v>
      </c>
      <c r="F12" s="9" t="s">
        <v>265</v>
      </c>
      <c r="G12" s="10" t="s">
        <v>328</v>
      </c>
      <c r="H12" s="9" t="s">
        <v>422</v>
      </c>
      <c r="I12" s="10" t="s">
        <v>478</v>
      </c>
      <c r="J12" s="9">
        <v>3</v>
      </c>
      <c r="K12" s="9"/>
    </row>
    <row r="13" spans="1:15" ht="15.75" thickBot="1" x14ac:dyDescent="0.3">
      <c r="A13" s="1"/>
      <c r="B13" s="11">
        <f>ROW(B13) - ROW($B$2)</f>
        <v>11</v>
      </c>
      <c r="C13" s="12" t="s">
        <v>2</v>
      </c>
      <c r="D13" s="7" t="s">
        <v>43</v>
      </c>
      <c r="E13" s="8" t="s">
        <v>158</v>
      </c>
      <c r="F13" s="7" t="s">
        <v>262</v>
      </c>
      <c r="G13" s="8" t="s">
        <v>329</v>
      </c>
      <c r="H13" s="7" t="s">
        <v>419</v>
      </c>
      <c r="I13" s="8" t="s">
        <v>475</v>
      </c>
      <c r="J13" s="7">
        <v>3</v>
      </c>
      <c r="K13" s="7"/>
    </row>
    <row r="14" spans="1:15" ht="15.75" thickBot="1" x14ac:dyDescent="0.3">
      <c r="A14" s="1"/>
      <c r="B14" s="11">
        <f t="shared" si="0"/>
        <v>12</v>
      </c>
      <c r="C14" s="13" t="s">
        <v>3</v>
      </c>
      <c r="D14" s="9" t="s">
        <v>44</v>
      </c>
      <c r="E14" s="10" t="s">
        <v>159</v>
      </c>
      <c r="F14" s="9" t="s">
        <v>266</v>
      </c>
      <c r="G14" s="10" t="s">
        <v>330</v>
      </c>
      <c r="H14" s="9" t="s">
        <v>419</v>
      </c>
      <c r="I14" s="10" t="s">
        <v>471</v>
      </c>
      <c r="J14" s="9">
        <v>1</v>
      </c>
      <c r="K14" s="9"/>
    </row>
    <row r="15" spans="1:15" ht="15.75" thickBot="1" x14ac:dyDescent="0.3">
      <c r="A15" s="1"/>
      <c r="B15" s="11">
        <f>ROW(B15) - ROW($B$2)</f>
        <v>13</v>
      </c>
      <c r="C15" s="12" t="s">
        <v>2</v>
      </c>
      <c r="D15" s="7" t="s">
        <v>45</v>
      </c>
      <c r="E15" s="8" t="s">
        <v>160</v>
      </c>
      <c r="F15" s="7" t="s">
        <v>267</v>
      </c>
      <c r="G15" s="8" t="s">
        <v>331</v>
      </c>
      <c r="H15" s="7" t="s">
        <v>419</v>
      </c>
      <c r="I15" s="8" t="s">
        <v>479</v>
      </c>
      <c r="J15" s="7">
        <v>3</v>
      </c>
      <c r="K15" s="7"/>
    </row>
    <row r="16" spans="1:15" ht="15.75" thickBot="1" x14ac:dyDescent="0.3">
      <c r="A16" s="1"/>
      <c r="B16" s="11">
        <f t="shared" si="0"/>
        <v>14</v>
      </c>
      <c r="C16" s="13" t="s">
        <v>2</v>
      </c>
      <c r="D16" s="9" t="s">
        <v>46</v>
      </c>
      <c r="E16" s="10" t="s">
        <v>161</v>
      </c>
      <c r="F16" s="9" t="s">
        <v>263</v>
      </c>
      <c r="G16" s="10" t="s">
        <v>332</v>
      </c>
      <c r="H16" s="9" t="s">
        <v>419</v>
      </c>
      <c r="I16" s="10" t="s">
        <v>470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47</v>
      </c>
      <c r="E17" s="8" t="s">
        <v>162</v>
      </c>
      <c r="F17" s="7" t="s">
        <v>263</v>
      </c>
      <c r="G17" s="8" t="s">
        <v>333</v>
      </c>
      <c r="H17" s="7" t="s">
        <v>421</v>
      </c>
      <c r="I17" s="8" t="s">
        <v>480</v>
      </c>
      <c r="J17" s="7">
        <v>8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48</v>
      </c>
      <c r="E18" s="10" t="s">
        <v>163</v>
      </c>
      <c r="F18" s="9" t="s">
        <v>263</v>
      </c>
      <c r="G18" s="10" t="s">
        <v>334</v>
      </c>
      <c r="H18" s="9" t="s">
        <v>419</v>
      </c>
      <c r="I18" s="10" t="s">
        <v>481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49</v>
      </c>
      <c r="E19" s="8" t="s">
        <v>164</v>
      </c>
      <c r="F19" s="7" t="s">
        <v>263</v>
      </c>
      <c r="G19" s="8" t="s">
        <v>335</v>
      </c>
      <c r="H19" s="7" t="s">
        <v>423</v>
      </c>
      <c r="I19" s="8" t="s">
        <v>482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50</v>
      </c>
      <c r="E20" s="10" t="s">
        <v>165</v>
      </c>
      <c r="F20" s="9" t="s">
        <v>263</v>
      </c>
      <c r="G20" s="10" t="s">
        <v>336</v>
      </c>
      <c r="H20" s="9" t="s">
        <v>421</v>
      </c>
      <c r="I20" s="10" t="s">
        <v>483</v>
      </c>
      <c r="J20" s="9">
        <v>8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2</v>
      </c>
      <c r="D21" s="7" t="s">
        <v>51</v>
      </c>
      <c r="E21" s="8" t="s">
        <v>166</v>
      </c>
      <c r="F21" s="7" t="s">
        <v>267</v>
      </c>
      <c r="G21" s="8" t="s">
        <v>337</v>
      </c>
      <c r="H21" s="7" t="s">
        <v>424</v>
      </c>
      <c r="I21" s="8" t="s">
        <v>479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52</v>
      </c>
      <c r="E22" s="10" t="s">
        <v>167</v>
      </c>
      <c r="F22" s="9" t="s">
        <v>262</v>
      </c>
      <c r="G22" s="10" t="s">
        <v>338</v>
      </c>
      <c r="H22" s="9" t="s">
        <v>425</v>
      </c>
      <c r="I22" s="10" t="s">
        <v>484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2</v>
      </c>
      <c r="D23" s="7" t="s">
        <v>53</v>
      </c>
      <c r="E23" s="8" t="s">
        <v>168</v>
      </c>
      <c r="F23" s="7" t="s">
        <v>262</v>
      </c>
      <c r="G23" s="8" t="s">
        <v>339</v>
      </c>
      <c r="H23" s="7" t="s">
        <v>419</v>
      </c>
      <c r="I23" s="8" t="s">
        <v>485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54</v>
      </c>
      <c r="E24" s="10" t="s">
        <v>169</v>
      </c>
      <c r="F24" s="9" t="s">
        <v>262</v>
      </c>
      <c r="G24" s="10" t="s">
        <v>340</v>
      </c>
      <c r="H24" s="9" t="s">
        <v>419</v>
      </c>
      <c r="I24" s="10" t="s">
        <v>486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2</v>
      </c>
      <c r="D25" s="7" t="s">
        <v>55</v>
      </c>
      <c r="E25" s="8" t="s">
        <v>170</v>
      </c>
      <c r="F25" s="7" t="s">
        <v>262</v>
      </c>
      <c r="G25" s="8" t="s">
        <v>341</v>
      </c>
      <c r="H25" s="7" t="s">
        <v>419</v>
      </c>
      <c r="I25" s="8" t="s">
        <v>487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56</v>
      </c>
      <c r="E26" s="10" t="s">
        <v>171</v>
      </c>
      <c r="F26" s="9" t="s">
        <v>262</v>
      </c>
      <c r="G26" s="10" t="s">
        <v>342</v>
      </c>
      <c r="H26" s="9" t="s">
        <v>419</v>
      </c>
      <c r="I26" s="10" t="s">
        <v>475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2</v>
      </c>
      <c r="D27" s="7" t="s">
        <v>57</v>
      </c>
      <c r="E27" s="8" t="s">
        <v>172</v>
      </c>
      <c r="F27" s="7" t="s">
        <v>263</v>
      </c>
      <c r="G27" s="8" t="s">
        <v>343</v>
      </c>
      <c r="H27" s="7" t="s">
        <v>419</v>
      </c>
      <c r="I27" s="8" t="s">
        <v>486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5</v>
      </c>
      <c r="D28" s="9" t="s">
        <v>58</v>
      </c>
      <c r="E28" s="10" t="s">
        <v>173</v>
      </c>
      <c r="F28" s="9" t="s">
        <v>268</v>
      </c>
      <c r="G28" s="10" t="s">
        <v>344</v>
      </c>
      <c r="H28" s="9" t="s">
        <v>426</v>
      </c>
      <c r="I28" s="10" t="s">
        <v>523</v>
      </c>
      <c r="J28" s="9">
        <v>4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4</v>
      </c>
      <c r="D29" s="7" t="s">
        <v>59</v>
      </c>
      <c r="E29" s="8" t="s">
        <v>174</v>
      </c>
      <c r="F29" s="7" t="s">
        <v>269</v>
      </c>
      <c r="G29" s="8" t="s">
        <v>345</v>
      </c>
      <c r="H29" s="7" t="s">
        <v>427</v>
      </c>
      <c r="I29" s="10" t="s">
        <v>523</v>
      </c>
      <c r="J29" s="7">
        <v>2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5</v>
      </c>
      <c r="D30" s="9" t="s">
        <v>60</v>
      </c>
      <c r="E30" s="10" t="s">
        <v>175</v>
      </c>
      <c r="F30" s="9" t="s">
        <v>269</v>
      </c>
      <c r="G30" s="10" t="s">
        <v>346</v>
      </c>
      <c r="H30" s="9" t="s">
        <v>428</v>
      </c>
      <c r="I30" s="10" t="s">
        <v>523</v>
      </c>
      <c r="J30" s="9">
        <v>10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5</v>
      </c>
      <c r="D31" s="7" t="s">
        <v>61</v>
      </c>
      <c r="E31" s="8" t="s">
        <v>176</v>
      </c>
      <c r="F31" s="7" t="s">
        <v>270</v>
      </c>
      <c r="G31" s="8" t="s">
        <v>347</v>
      </c>
      <c r="H31" s="7" t="s">
        <v>427</v>
      </c>
      <c r="I31" s="10" t="s">
        <v>523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5</v>
      </c>
      <c r="D32" s="9" t="s">
        <v>62</v>
      </c>
      <c r="E32" s="10" t="s">
        <v>177</v>
      </c>
      <c r="F32" s="9" t="s">
        <v>271</v>
      </c>
      <c r="G32" s="10" t="s">
        <v>348</v>
      </c>
      <c r="H32" s="9" t="s">
        <v>429</v>
      </c>
      <c r="I32" s="10" t="s">
        <v>523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63</v>
      </c>
      <c r="E33" s="8" t="s">
        <v>178</v>
      </c>
      <c r="F33" s="7" t="s">
        <v>272</v>
      </c>
      <c r="G33" s="8" t="s">
        <v>349</v>
      </c>
      <c r="H33" s="7" t="s">
        <v>430</v>
      </c>
      <c r="I33" s="10" t="s">
        <v>523</v>
      </c>
      <c r="J33" s="7">
        <v>2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6</v>
      </c>
      <c r="D34" s="9" t="s">
        <v>64</v>
      </c>
      <c r="E34" s="10" t="s">
        <v>179</v>
      </c>
      <c r="F34" s="9" t="s">
        <v>273</v>
      </c>
      <c r="G34" s="10" t="s">
        <v>350</v>
      </c>
      <c r="H34" s="9" t="s">
        <v>431</v>
      </c>
      <c r="I34" s="10" t="s">
        <v>523</v>
      </c>
      <c r="J34" s="9">
        <v>2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5</v>
      </c>
      <c r="D35" s="7" t="s">
        <v>65</v>
      </c>
      <c r="E35" s="8" t="s">
        <v>180</v>
      </c>
      <c r="F35" s="7" t="s">
        <v>273</v>
      </c>
      <c r="G35" s="8" t="s">
        <v>351</v>
      </c>
      <c r="H35" s="7" t="s">
        <v>432</v>
      </c>
      <c r="I35" s="10" t="s">
        <v>523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66</v>
      </c>
      <c r="E36" s="10" t="s">
        <v>181</v>
      </c>
      <c r="F36" s="9" t="s">
        <v>274</v>
      </c>
      <c r="G36" s="10" t="s">
        <v>352</v>
      </c>
      <c r="H36" s="9" t="s">
        <v>433</v>
      </c>
      <c r="I36" s="10" t="s">
        <v>523</v>
      </c>
      <c r="J36" s="9">
        <v>4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7</v>
      </c>
      <c r="D37" s="7" t="s">
        <v>67</v>
      </c>
      <c r="E37" s="8" t="s">
        <v>182</v>
      </c>
      <c r="F37" s="7" t="s">
        <v>275</v>
      </c>
      <c r="G37" s="8" t="s">
        <v>353</v>
      </c>
      <c r="H37" s="7" t="s">
        <v>431</v>
      </c>
      <c r="I37" s="10" t="s">
        <v>523</v>
      </c>
      <c r="J37" s="7">
        <v>8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7</v>
      </c>
      <c r="D38" s="9" t="s">
        <v>68</v>
      </c>
      <c r="E38" s="10" t="s">
        <v>183</v>
      </c>
      <c r="F38" s="9" t="s">
        <v>276</v>
      </c>
      <c r="G38" s="10" t="s">
        <v>354</v>
      </c>
      <c r="H38" s="9" t="s">
        <v>434</v>
      </c>
      <c r="I38" s="10" t="s">
        <v>523</v>
      </c>
      <c r="J38" s="9">
        <v>2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8</v>
      </c>
      <c r="D39" s="7" t="s">
        <v>69</v>
      </c>
      <c r="E39" s="8" t="s">
        <v>184</v>
      </c>
      <c r="F39" s="7" t="s">
        <v>277</v>
      </c>
      <c r="G39" s="8" t="s">
        <v>355</v>
      </c>
      <c r="H39" s="7" t="s">
        <v>421</v>
      </c>
      <c r="I39" s="10" t="s">
        <v>523</v>
      </c>
      <c r="J39" s="7">
        <v>7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8</v>
      </c>
      <c r="D40" s="9" t="s">
        <v>70</v>
      </c>
      <c r="E40" s="10" t="s">
        <v>185</v>
      </c>
      <c r="F40" s="9" t="s">
        <v>278</v>
      </c>
      <c r="G40" s="10" t="s">
        <v>356</v>
      </c>
      <c r="H40" s="9" t="s">
        <v>435</v>
      </c>
      <c r="I40" s="10" t="s">
        <v>488</v>
      </c>
      <c r="J40" s="9">
        <v>2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9</v>
      </c>
      <c r="D41" s="7" t="s">
        <v>71</v>
      </c>
      <c r="E41" s="8" t="s">
        <v>186</v>
      </c>
      <c r="F41" s="7" t="s">
        <v>521</v>
      </c>
      <c r="G41" s="8" t="s">
        <v>357</v>
      </c>
      <c r="H41" s="7" t="s">
        <v>436</v>
      </c>
      <c r="I41" s="8" t="s">
        <v>523</v>
      </c>
      <c r="J41" s="7">
        <v>2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10</v>
      </c>
      <c r="D42" s="9" t="s">
        <v>72</v>
      </c>
      <c r="E42" s="10" t="s">
        <v>187</v>
      </c>
      <c r="F42" s="7" t="s">
        <v>521</v>
      </c>
      <c r="G42" s="10" t="s">
        <v>279</v>
      </c>
      <c r="H42" s="9" t="s">
        <v>437</v>
      </c>
      <c r="I42" s="8" t="s">
        <v>523</v>
      </c>
      <c r="J42" s="9">
        <v>4</v>
      </c>
      <c r="K42" s="9"/>
    </row>
    <row r="43" spans="1:11" ht="36.75" thickBot="1" x14ac:dyDescent="0.3">
      <c r="A43" s="1"/>
      <c r="B43" s="11">
        <f>ROW(B43) - ROW($B$2)</f>
        <v>41</v>
      </c>
      <c r="C43" s="12" t="s">
        <v>11</v>
      </c>
      <c r="D43" s="7" t="s">
        <v>73</v>
      </c>
      <c r="E43" s="8" t="s">
        <v>188</v>
      </c>
      <c r="F43" s="7" t="s">
        <v>521</v>
      </c>
      <c r="G43" s="8" t="s">
        <v>358</v>
      </c>
      <c r="H43" s="7" t="s">
        <v>438</v>
      </c>
      <c r="I43" s="8" t="s">
        <v>523</v>
      </c>
      <c r="J43" s="7">
        <v>1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12</v>
      </c>
      <c r="D44" s="9" t="s">
        <v>74</v>
      </c>
      <c r="E44" s="10" t="s">
        <v>189</v>
      </c>
      <c r="F44" s="9" t="s">
        <v>280</v>
      </c>
      <c r="G44" s="10" t="s">
        <v>359</v>
      </c>
      <c r="H44" s="9" t="s">
        <v>439</v>
      </c>
      <c r="I44" s="8" t="s">
        <v>523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12</v>
      </c>
      <c r="D45" s="7" t="s">
        <v>75</v>
      </c>
      <c r="E45" s="8" t="s">
        <v>190</v>
      </c>
      <c r="F45" s="7" t="s">
        <v>281</v>
      </c>
      <c r="G45" s="8" t="s">
        <v>489</v>
      </c>
      <c r="H45" s="7" t="s">
        <v>518</v>
      </c>
      <c r="I45" s="8" t="s">
        <v>523</v>
      </c>
      <c r="J45" s="7">
        <v>1</v>
      </c>
      <c r="K45" s="7"/>
    </row>
    <row r="46" spans="1:11" ht="48.75" thickBot="1" x14ac:dyDescent="0.3">
      <c r="A46" s="1"/>
      <c r="B46" s="11">
        <f t="shared" si="0"/>
        <v>44</v>
      </c>
      <c r="C46" s="13" t="s">
        <v>12</v>
      </c>
      <c r="D46" s="9" t="s">
        <v>76</v>
      </c>
      <c r="E46" s="10" t="s">
        <v>191</v>
      </c>
      <c r="F46" s="9" t="s">
        <v>282</v>
      </c>
      <c r="G46" s="10" t="s">
        <v>360</v>
      </c>
      <c r="H46" s="9" t="s">
        <v>439</v>
      </c>
      <c r="I46" s="8" t="s">
        <v>523</v>
      </c>
      <c r="J46" s="9">
        <v>1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12</v>
      </c>
      <c r="D47" s="7" t="s">
        <v>77</v>
      </c>
      <c r="E47" s="8" t="s">
        <v>192</v>
      </c>
      <c r="F47" s="7" t="s">
        <v>283</v>
      </c>
      <c r="G47" s="8" t="s">
        <v>361</v>
      </c>
      <c r="H47" s="7" t="s">
        <v>439</v>
      </c>
      <c r="I47" s="8" t="s">
        <v>523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10</v>
      </c>
      <c r="D48" s="9" t="s">
        <v>78</v>
      </c>
      <c r="E48" s="10" t="s">
        <v>193</v>
      </c>
      <c r="F48" s="7" t="s">
        <v>521</v>
      </c>
      <c r="G48" s="10" t="s">
        <v>362</v>
      </c>
      <c r="H48" s="9" t="s">
        <v>440</v>
      </c>
      <c r="I48" s="8" t="s">
        <v>523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13</v>
      </c>
      <c r="D49" s="7" t="s">
        <v>79</v>
      </c>
      <c r="E49" s="8" t="s">
        <v>194</v>
      </c>
      <c r="F49" s="7" t="s">
        <v>521</v>
      </c>
      <c r="G49" s="8" t="s">
        <v>284</v>
      </c>
      <c r="H49" s="7" t="s">
        <v>441</v>
      </c>
      <c r="I49" s="8" t="s">
        <v>523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80</v>
      </c>
      <c r="E50" s="10" t="s">
        <v>195</v>
      </c>
      <c r="F50" s="7" t="s">
        <v>521</v>
      </c>
      <c r="G50" s="10">
        <v>1715721</v>
      </c>
      <c r="H50" s="9" t="s">
        <v>442</v>
      </c>
      <c r="I50" s="8" t="s">
        <v>523</v>
      </c>
      <c r="J50" s="9">
        <v>1</v>
      </c>
      <c r="K50" s="9"/>
    </row>
    <row r="51" spans="1:11" ht="48.75" thickBot="1" x14ac:dyDescent="0.3">
      <c r="A51" s="1"/>
      <c r="B51" s="11">
        <f>ROW(B51) - ROW($B$2)</f>
        <v>49</v>
      </c>
      <c r="C51" s="12" t="s">
        <v>12</v>
      </c>
      <c r="D51" s="7" t="s">
        <v>81</v>
      </c>
      <c r="E51" s="8" t="s">
        <v>196</v>
      </c>
      <c r="F51" s="7" t="s">
        <v>285</v>
      </c>
      <c r="G51" s="8" t="s">
        <v>363</v>
      </c>
      <c r="H51" s="7" t="s">
        <v>439</v>
      </c>
      <c r="I51" s="8" t="s">
        <v>523</v>
      </c>
      <c r="J51" s="7">
        <v>7</v>
      </c>
      <c r="K51" s="7"/>
    </row>
    <row r="52" spans="1:11" ht="60.75" thickBot="1" x14ac:dyDescent="0.3">
      <c r="A52" s="1"/>
      <c r="B52" s="11">
        <f t="shared" si="0"/>
        <v>50</v>
      </c>
      <c r="C52" s="13" t="s">
        <v>15</v>
      </c>
      <c r="D52" s="9" t="s">
        <v>82</v>
      </c>
      <c r="E52" s="10" t="s">
        <v>197</v>
      </c>
      <c r="F52" s="7" t="s">
        <v>521</v>
      </c>
      <c r="G52" s="10" t="s">
        <v>286</v>
      </c>
      <c r="H52" s="9" t="s">
        <v>443</v>
      </c>
      <c r="I52" s="8" t="s">
        <v>523</v>
      </c>
      <c r="J52" s="9">
        <v>2</v>
      </c>
      <c r="K52" s="9"/>
    </row>
    <row r="53" spans="1:11" ht="36.75" thickBot="1" x14ac:dyDescent="0.3">
      <c r="A53" s="1"/>
      <c r="B53" s="11">
        <f>ROW(B53) - ROW($B$2)</f>
        <v>51</v>
      </c>
      <c r="C53" s="12" t="s">
        <v>16</v>
      </c>
      <c r="D53" s="7" t="s">
        <v>83</v>
      </c>
      <c r="E53" s="8" t="s">
        <v>198</v>
      </c>
      <c r="F53" s="7" t="s">
        <v>521</v>
      </c>
      <c r="G53" s="8" t="s">
        <v>287</v>
      </c>
      <c r="H53" s="7" t="s">
        <v>444</v>
      </c>
      <c r="I53" s="8" t="s">
        <v>523</v>
      </c>
      <c r="J53" s="7">
        <v>3</v>
      </c>
      <c r="K53" s="7"/>
    </row>
    <row r="54" spans="1:11" ht="48.75" thickBot="1" x14ac:dyDescent="0.3">
      <c r="A54" s="1"/>
      <c r="B54" s="11">
        <f t="shared" si="0"/>
        <v>52</v>
      </c>
      <c r="C54" s="13" t="s">
        <v>17</v>
      </c>
      <c r="D54" s="9" t="s">
        <v>84</v>
      </c>
      <c r="E54" s="10" t="s">
        <v>199</v>
      </c>
      <c r="F54" s="7" t="s">
        <v>521</v>
      </c>
      <c r="G54" s="10" t="s">
        <v>288</v>
      </c>
      <c r="H54" s="9" t="s">
        <v>445</v>
      </c>
      <c r="I54" s="8" t="s">
        <v>523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10</v>
      </c>
      <c r="D55" s="7" t="s">
        <v>85</v>
      </c>
      <c r="E55" s="8" t="s">
        <v>200</v>
      </c>
      <c r="F55" s="7" t="s">
        <v>521</v>
      </c>
      <c r="G55" s="8" t="s">
        <v>364</v>
      </c>
      <c r="H55" s="7" t="s">
        <v>440</v>
      </c>
      <c r="I55" s="8" t="s">
        <v>523</v>
      </c>
      <c r="J55" s="7">
        <v>1</v>
      </c>
      <c r="K55" s="7"/>
    </row>
    <row r="56" spans="1:11" ht="48.75" thickBot="1" x14ac:dyDescent="0.3">
      <c r="A56" s="1"/>
      <c r="B56" s="11">
        <f t="shared" si="0"/>
        <v>54</v>
      </c>
      <c r="C56" s="13" t="s">
        <v>18</v>
      </c>
      <c r="D56" s="9" t="s">
        <v>86</v>
      </c>
      <c r="E56" s="10" t="s">
        <v>201</v>
      </c>
      <c r="F56" s="7" t="s">
        <v>521</v>
      </c>
      <c r="G56" s="10" t="s">
        <v>289</v>
      </c>
      <c r="H56" s="9" t="s">
        <v>446</v>
      </c>
      <c r="I56" s="8" t="s">
        <v>523</v>
      </c>
      <c r="J56" s="9">
        <v>5</v>
      </c>
      <c r="K56" s="9"/>
    </row>
    <row r="57" spans="1:11" ht="24.75" thickBot="1" x14ac:dyDescent="0.3">
      <c r="A57" s="1"/>
      <c r="B57" s="11">
        <f>ROW(B57) - ROW($B$2)</f>
        <v>55</v>
      </c>
      <c r="C57" s="12"/>
      <c r="D57" s="7" t="s">
        <v>87</v>
      </c>
      <c r="E57" s="8" t="s">
        <v>202</v>
      </c>
      <c r="F57" s="7" t="s">
        <v>521</v>
      </c>
      <c r="G57" s="8" t="s">
        <v>290</v>
      </c>
      <c r="H57" s="7" t="s">
        <v>447</v>
      </c>
      <c r="I57" s="8" t="s">
        <v>523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8</v>
      </c>
      <c r="D58" s="9" t="s">
        <v>88</v>
      </c>
      <c r="E58" s="10" t="s">
        <v>203</v>
      </c>
      <c r="F58" s="9" t="s">
        <v>291</v>
      </c>
      <c r="G58" s="10" t="s">
        <v>365</v>
      </c>
      <c r="H58" s="9" t="s">
        <v>421</v>
      </c>
      <c r="I58" s="8" t="s">
        <v>523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89</v>
      </c>
      <c r="E59" s="8" t="s">
        <v>204</v>
      </c>
      <c r="F59" s="7" t="s">
        <v>521</v>
      </c>
      <c r="G59" s="8" t="s">
        <v>366</v>
      </c>
      <c r="H59" s="7" t="s">
        <v>448</v>
      </c>
      <c r="I59" s="8" t="s">
        <v>490</v>
      </c>
      <c r="J59" s="7">
        <v>1</v>
      </c>
      <c r="K59" s="7"/>
    </row>
    <row r="60" spans="1:11" ht="24.75" thickBot="1" x14ac:dyDescent="0.3">
      <c r="A60" s="1"/>
      <c r="B60" s="11">
        <f t="shared" si="0"/>
        <v>58</v>
      </c>
      <c r="C60" s="13" t="s">
        <v>20</v>
      </c>
      <c r="D60" s="9" t="s">
        <v>90</v>
      </c>
      <c r="E60" s="10" t="s">
        <v>205</v>
      </c>
      <c r="F60" s="9" t="s">
        <v>292</v>
      </c>
      <c r="G60" s="10" t="s">
        <v>367</v>
      </c>
      <c r="H60" s="9" t="s">
        <v>449</v>
      </c>
      <c r="I60" s="10" t="s">
        <v>523</v>
      </c>
      <c r="J60" s="9">
        <v>4</v>
      </c>
      <c r="K60" s="9"/>
    </row>
    <row r="61" spans="1:11" ht="24.75" thickBot="1" x14ac:dyDescent="0.3">
      <c r="A61" s="1"/>
      <c r="B61" s="11">
        <f>ROW(B61) - ROW($B$2)</f>
        <v>59</v>
      </c>
      <c r="C61" s="12" t="s">
        <v>20</v>
      </c>
      <c r="D61" s="7" t="s">
        <v>542</v>
      </c>
      <c r="E61" s="8" t="s">
        <v>206</v>
      </c>
      <c r="F61" s="7" t="s">
        <v>292</v>
      </c>
      <c r="G61" s="8" t="s">
        <v>368</v>
      </c>
      <c r="H61" s="7" t="s">
        <v>449</v>
      </c>
      <c r="I61" s="10" t="s">
        <v>523</v>
      </c>
      <c r="J61" s="7">
        <v>2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21</v>
      </c>
      <c r="D62" s="9" t="s">
        <v>91</v>
      </c>
      <c r="E62" s="10" t="s">
        <v>207</v>
      </c>
      <c r="F62" s="9" t="s">
        <v>273</v>
      </c>
      <c r="G62" s="10" t="s">
        <v>369</v>
      </c>
      <c r="H62" s="9" t="s">
        <v>450</v>
      </c>
      <c r="I62" s="10" t="s">
        <v>523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21</v>
      </c>
      <c r="D63" s="7" t="s">
        <v>92</v>
      </c>
      <c r="E63" s="8" t="s">
        <v>208</v>
      </c>
      <c r="F63" s="7" t="s">
        <v>293</v>
      </c>
      <c r="G63" s="8" t="s">
        <v>370</v>
      </c>
      <c r="H63" s="7" t="s">
        <v>451</v>
      </c>
      <c r="I63" s="10" t="s">
        <v>523</v>
      </c>
      <c r="J63" s="7">
        <v>1</v>
      </c>
      <c r="K63" s="7"/>
    </row>
    <row r="64" spans="1:11" ht="36.75" thickBot="1" x14ac:dyDescent="0.3">
      <c r="A64" s="1"/>
      <c r="B64" s="11">
        <f t="shared" si="0"/>
        <v>62</v>
      </c>
      <c r="C64" s="13" t="s">
        <v>21</v>
      </c>
      <c r="D64" s="9" t="s">
        <v>93</v>
      </c>
      <c r="E64" s="10" t="s">
        <v>209</v>
      </c>
      <c r="F64" s="9" t="s">
        <v>293</v>
      </c>
      <c r="G64" s="10" t="s">
        <v>371</v>
      </c>
      <c r="H64" s="9" t="s">
        <v>452</v>
      </c>
      <c r="I64" s="10" t="s">
        <v>523</v>
      </c>
      <c r="J64" s="9">
        <v>1</v>
      </c>
      <c r="K64" s="9"/>
    </row>
    <row r="65" spans="1:18" ht="15.75" thickBot="1" x14ac:dyDescent="0.3">
      <c r="A65" s="1"/>
      <c r="B65" s="11">
        <f>ROW(B65) - ROW($B$2)</f>
        <v>63</v>
      </c>
      <c r="C65" s="12" t="s">
        <v>22</v>
      </c>
      <c r="D65" s="7" t="s">
        <v>94</v>
      </c>
      <c r="E65" s="8" t="s">
        <v>210</v>
      </c>
      <c r="F65" s="7" t="s">
        <v>294</v>
      </c>
      <c r="G65" s="8" t="s">
        <v>372</v>
      </c>
      <c r="H65" s="7" t="s">
        <v>419</v>
      </c>
      <c r="I65" s="8" t="s">
        <v>491</v>
      </c>
      <c r="J65" s="7">
        <v>4</v>
      </c>
      <c r="K65" s="7"/>
    </row>
    <row r="66" spans="1:18" ht="15.75" thickBot="1" x14ac:dyDescent="0.3">
      <c r="A66" s="1"/>
      <c r="B66" s="11">
        <f t="shared" si="0"/>
        <v>64</v>
      </c>
      <c r="C66" s="13" t="s">
        <v>22</v>
      </c>
      <c r="D66" s="9" t="s">
        <v>95</v>
      </c>
      <c r="E66" s="10" t="s">
        <v>211</v>
      </c>
      <c r="F66" s="9" t="s">
        <v>294</v>
      </c>
      <c r="G66" s="10" t="s">
        <v>373</v>
      </c>
      <c r="H66" s="9" t="s">
        <v>419</v>
      </c>
      <c r="I66" s="10" t="s">
        <v>492</v>
      </c>
      <c r="J66" s="9">
        <v>3</v>
      </c>
      <c r="K66" s="9"/>
    </row>
    <row r="67" spans="1:18" ht="48.75" thickBot="1" x14ac:dyDescent="0.3">
      <c r="A67" s="1"/>
      <c r="B67" s="11">
        <f>ROW(B67) - ROW($B$2)</f>
        <v>65</v>
      </c>
      <c r="C67" s="12" t="s">
        <v>22</v>
      </c>
      <c r="D67" s="7" t="s">
        <v>96</v>
      </c>
      <c r="E67" s="8" t="s">
        <v>212</v>
      </c>
      <c r="F67" s="7" t="s">
        <v>294</v>
      </c>
      <c r="G67" s="8" t="s">
        <v>374</v>
      </c>
      <c r="H67" s="7" t="s">
        <v>419</v>
      </c>
      <c r="I67" s="8" t="s">
        <v>493</v>
      </c>
      <c r="J67" s="7">
        <v>29</v>
      </c>
      <c r="K67" s="7"/>
    </row>
    <row r="68" spans="1:18" s="20" customFormat="1" ht="15.75" thickBot="1" x14ac:dyDescent="0.3">
      <c r="A68" s="19"/>
      <c r="B68" s="11">
        <f t="shared" si="0"/>
        <v>66</v>
      </c>
      <c r="C68" s="13" t="s">
        <v>23</v>
      </c>
      <c r="D68" s="14" t="s">
        <v>97</v>
      </c>
      <c r="E68" s="15" t="s">
        <v>213</v>
      </c>
      <c r="F68" s="14" t="s">
        <v>294</v>
      </c>
      <c r="G68" s="15" t="s">
        <v>375</v>
      </c>
      <c r="H68" s="14" t="s">
        <v>419</v>
      </c>
      <c r="I68" s="15" t="s">
        <v>473</v>
      </c>
      <c r="J68" s="14">
        <v>2</v>
      </c>
      <c r="K68" s="16" t="s">
        <v>522</v>
      </c>
      <c r="M68"/>
      <c r="N68"/>
      <c r="O68"/>
      <c r="P68"/>
      <c r="Q68"/>
      <c r="R68"/>
    </row>
    <row r="69" spans="1:18" ht="48.75" thickBot="1" x14ac:dyDescent="0.3">
      <c r="A69" s="1"/>
      <c r="B69" s="11">
        <f>ROW(B69) - ROW($B$2)</f>
        <v>67</v>
      </c>
      <c r="C69" s="12" t="s">
        <v>22</v>
      </c>
      <c r="D69" s="7" t="s">
        <v>98</v>
      </c>
      <c r="E69" s="8" t="s">
        <v>214</v>
      </c>
      <c r="F69" s="7" t="s">
        <v>294</v>
      </c>
      <c r="G69" s="8" t="s">
        <v>376</v>
      </c>
      <c r="H69" s="7" t="s">
        <v>419</v>
      </c>
      <c r="I69" s="8" t="s">
        <v>494</v>
      </c>
      <c r="J69" s="7">
        <v>25</v>
      </c>
      <c r="K69" s="7"/>
    </row>
    <row r="70" spans="1:18" s="20" customFormat="1" ht="15.75" thickBot="1" x14ac:dyDescent="0.3">
      <c r="A70" s="19"/>
      <c r="B70" s="11">
        <f t="shared" si="0"/>
        <v>68</v>
      </c>
      <c r="C70" s="13" t="s">
        <v>22</v>
      </c>
      <c r="D70" s="14" t="s">
        <v>99</v>
      </c>
      <c r="E70" s="15" t="s">
        <v>215</v>
      </c>
      <c r="F70" s="14" t="s">
        <v>295</v>
      </c>
      <c r="G70" s="15" t="s">
        <v>377</v>
      </c>
      <c r="H70" s="14" t="s">
        <v>419</v>
      </c>
      <c r="I70" s="15" t="s">
        <v>473</v>
      </c>
      <c r="J70" s="14">
        <v>2</v>
      </c>
      <c r="K70" s="16" t="s">
        <v>522</v>
      </c>
      <c r="M70"/>
      <c r="N70"/>
      <c r="O70"/>
      <c r="P70"/>
      <c r="Q70"/>
      <c r="R70"/>
    </row>
    <row r="71" spans="1:18" ht="15.75" thickBot="1" x14ac:dyDescent="0.3">
      <c r="A71" s="1"/>
      <c r="B71" s="11">
        <f>ROW(B71) - ROW($B$2)</f>
        <v>69</v>
      </c>
      <c r="C71" s="12" t="s">
        <v>22</v>
      </c>
      <c r="D71" s="7" t="s">
        <v>100</v>
      </c>
      <c r="E71" s="8" t="s">
        <v>215</v>
      </c>
      <c r="F71" s="7" t="s">
        <v>295</v>
      </c>
      <c r="G71" s="8" t="s">
        <v>377</v>
      </c>
      <c r="H71" s="7" t="s">
        <v>419</v>
      </c>
      <c r="I71" s="8" t="s">
        <v>495</v>
      </c>
      <c r="J71" s="7">
        <v>2</v>
      </c>
      <c r="K71" s="7"/>
    </row>
    <row r="72" spans="1:18" ht="24.75" thickBot="1" x14ac:dyDescent="0.3">
      <c r="A72" s="1"/>
      <c r="B72" s="11">
        <f t="shared" si="0"/>
        <v>70</v>
      </c>
      <c r="C72" s="12" t="s">
        <v>22</v>
      </c>
      <c r="D72" s="9" t="s">
        <v>101</v>
      </c>
      <c r="E72" s="10" t="s">
        <v>216</v>
      </c>
      <c r="F72" s="9" t="s">
        <v>294</v>
      </c>
      <c r="G72" s="10" t="s">
        <v>378</v>
      </c>
      <c r="H72" s="9" t="s">
        <v>419</v>
      </c>
      <c r="I72" s="10" t="s">
        <v>496</v>
      </c>
      <c r="J72" s="9">
        <v>13</v>
      </c>
      <c r="K72" s="9"/>
    </row>
    <row r="73" spans="1:18" ht="60.75" thickBot="1" x14ac:dyDescent="0.3">
      <c r="A73" s="1"/>
      <c r="B73" s="11">
        <f>ROW(B73) - ROW($B$2)</f>
        <v>71</v>
      </c>
      <c r="C73" s="12" t="s">
        <v>22</v>
      </c>
      <c r="D73" s="7" t="s">
        <v>102</v>
      </c>
      <c r="E73" s="8" t="s">
        <v>213</v>
      </c>
      <c r="F73" s="7" t="s">
        <v>294</v>
      </c>
      <c r="G73" s="8" t="s">
        <v>375</v>
      </c>
      <c r="H73" s="7" t="s">
        <v>419</v>
      </c>
      <c r="I73" s="8" t="s">
        <v>495</v>
      </c>
      <c r="J73" s="7">
        <v>34</v>
      </c>
      <c r="K73" s="7"/>
    </row>
    <row r="74" spans="1:18" ht="15.75" thickBot="1" x14ac:dyDescent="0.3">
      <c r="A74" s="1"/>
      <c r="B74" s="11">
        <f t="shared" si="0"/>
        <v>72</v>
      </c>
      <c r="C74" s="13" t="s">
        <v>22</v>
      </c>
      <c r="D74" s="9" t="s">
        <v>103</v>
      </c>
      <c r="E74" s="10" t="s">
        <v>217</v>
      </c>
      <c r="F74" s="9" t="s">
        <v>294</v>
      </c>
      <c r="G74" s="10" t="s">
        <v>379</v>
      </c>
      <c r="H74" s="9" t="s">
        <v>419</v>
      </c>
      <c r="I74" s="10" t="s">
        <v>497</v>
      </c>
      <c r="J74" s="9">
        <v>1</v>
      </c>
      <c r="K74" s="9"/>
    </row>
    <row r="75" spans="1:18" ht="15.75" thickBot="1" x14ac:dyDescent="0.3">
      <c r="A75" s="1"/>
      <c r="B75" s="11">
        <f>ROW(B75) - ROW($B$2)</f>
        <v>73</v>
      </c>
      <c r="C75" s="12" t="s">
        <v>22</v>
      </c>
      <c r="D75" s="7" t="s">
        <v>104</v>
      </c>
      <c r="E75" s="8" t="s">
        <v>218</v>
      </c>
      <c r="F75" s="7" t="s">
        <v>294</v>
      </c>
      <c r="G75" s="8" t="s">
        <v>380</v>
      </c>
      <c r="H75" s="7" t="s">
        <v>419</v>
      </c>
      <c r="I75" s="8" t="s">
        <v>498</v>
      </c>
      <c r="J75" s="7">
        <v>1</v>
      </c>
      <c r="K75" s="7"/>
    </row>
    <row r="76" spans="1:18" ht="15.75" thickBot="1" x14ac:dyDescent="0.3">
      <c r="A76" s="1"/>
      <c r="B76" s="11">
        <f t="shared" si="0"/>
        <v>74</v>
      </c>
      <c r="C76" s="13" t="s">
        <v>22</v>
      </c>
      <c r="D76" s="9" t="s">
        <v>105</v>
      </c>
      <c r="E76" s="10" t="s">
        <v>219</v>
      </c>
      <c r="F76" s="9" t="s">
        <v>294</v>
      </c>
      <c r="G76" s="10" t="s">
        <v>381</v>
      </c>
      <c r="H76" s="9" t="s">
        <v>419</v>
      </c>
      <c r="I76" s="10" t="s">
        <v>499</v>
      </c>
      <c r="J76" s="9">
        <v>1</v>
      </c>
      <c r="K76" s="9"/>
    </row>
    <row r="77" spans="1:18" ht="15.75" thickBot="1" x14ac:dyDescent="0.3">
      <c r="A77" s="1"/>
      <c r="B77" s="11">
        <f>ROW(B77) - ROW($B$2)</f>
        <v>75</v>
      </c>
      <c r="C77" s="12" t="s">
        <v>22</v>
      </c>
      <c r="D77" s="7" t="s">
        <v>106</v>
      </c>
      <c r="E77" s="8" t="s">
        <v>220</v>
      </c>
      <c r="F77" s="7" t="s">
        <v>294</v>
      </c>
      <c r="G77" s="8" t="s">
        <v>382</v>
      </c>
      <c r="H77" s="7" t="s">
        <v>419</v>
      </c>
      <c r="I77" s="8" t="s">
        <v>500</v>
      </c>
      <c r="J77" s="7">
        <v>1</v>
      </c>
      <c r="K77" s="7"/>
    </row>
    <row r="78" spans="1:18" ht="15.75" thickBot="1" x14ac:dyDescent="0.3">
      <c r="A78" s="1"/>
      <c r="B78" s="11">
        <f t="shared" si="0"/>
        <v>76</v>
      </c>
      <c r="C78" s="12" t="s">
        <v>22</v>
      </c>
      <c r="D78" s="9" t="s">
        <v>107</v>
      </c>
      <c r="E78" s="10" t="s">
        <v>221</v>
      </c>
      <c r="F78" s="9" t="s">
        <v>294</v>
      </c>
      <c r="G78" s="10" t="s">
        <v>383</v>
      </c>
      <c r="H78" s="9" t="s">
        <v>419</v>
      </c>
      <c r="I78" s="10" t="s">
        <v>501</v>
      </c>
      <c r="J78" s="9">
        <v>1</v>
      </c>
      <c r="K78" s="9"/>
    </row>
    <row r="79" spans="1:18" ht="15.75" thickBot="1" x14ac:dyDescent="0.3">
      <c r="A79" s="1"/>
      <c r="B79" s="11">
        <f>ROW(B79) - ROW($B$2)</f>
        <v>77</v>
      </c>
      <c r="C79" s="12" t="s">
        <v>22</v>
      </c>
      <c r="D79" s="7" t="s">
        <v>108</v>
      </c>
      <c r="E79" s="8" t="s">
        <v>222</v>
      </c>
      <c r="F79" s="7" t="s">
        <v>294</v>
      </c>
      <c r="G79" s="8" t="s">
        <v>384</v>
      </c>
      <c r="H79" s="7" t="s">
        <v>453</v>
      </c>
      <c r="I79" s="8" t="s">
        <v>502</v>
      </c>
      <c r="J79" s="7">
        <v>2</v>
      </c>
      <c r="K79" s="7"/>
    </row>
    <row r="80" spans="1:18" ht="36.75" thickBot="1" x14ac:dyDescent="0.3">
      <c r="A80" s="1"/>
      <c r="B80" s="11">
        <f t="shared" si="0"/>
        <v>78</v>
      </c>
      <c r="C80" s="12" t="s">
        <v>22</v>
      </c>
      <c r="D80" s="9" t="s">
        <v>109</v>
      </c>
      <c r="E80" s="10" t="s">
        <v>223</v>
      </c>
      <c r="F80" s="9" t="s">
        <v>295</v>
      </c>
      <c r="G80" s="10" t="s">
        <v>385</v>
      </c>
      <c r="H80" s="9"/>
      <c r="I80" s="10" t="s">
        <v>503</v>
      </c>
      <c r="J80" s="9">
        <v>4</v>
      </c>
      <c r="K80" s="9"/>
    </row>
    <row r="81" spans="1:18" ht="15.75" thickBot="1" x14ac:dyDescent="0.3">
      <c r="A81" s="1"/>
      <c r="B81" s="11">
        <f>ROW(B81) - ROW($B$2)</f>
        <v>79</v>
      </c>
      <c r="C81" s="12" t="s">
        <v>22</v>
      </c>
      <c r="D81" s="7" t="s">
        <v>110</v>
      </c>
      <c r="E81" s="8" t="s">
        <v>224</v>
      </c>
      <c r="F81" s="7" t="s">
        <v>294</v>
      </c>
      <c r="G81" s="8" t="s">
        <v>386</v>
      </c>
      <c r="H81" s="7" t="s">
        <v>419</v>
      </c>
      <c r="I81" s="8" t="s">
        <v>504</v>
      </c>
      <c r="J81" s="7">
        <v>2</v>
      </c>
      <c r="K81" s="7"/>
    </row>
    <row r="82" spans="1:18" ht="15.75" thickBot="1" x14ac:dyDescent="0.3">
      <c r="A82" s="1"/>
      <c r="B82" s="11">
        <f t="shared" si="0"/>
        <v>80</v>
      </c>
      <c r="C82" s="12" t="s">
        <v>22</v>
      </c>
      <c r="D82" s="9" t="s">
        <v>111</v>
      </c>
      <c r="E82" s="10" t="s">
        <v>225</v>
      </c>
      <c r="F82" s="9" t="s">
        <v>294</v>
      </c>
      <c r="G82" s="10" t="s">
        <v>387</v>
      </c>
      <c r="H82" s="9" t="s">
        <v>454</v>
      </c>
      <c r="I82" s="10" t="s">
        <v>505</v>
      </c>
      <c r="J82" s="9">
        <v>1</v>
      </c>
      <c r="K82" s="9"/>
    </row>
    <row r="83" spans="1:18" ht="24.75" thickBot="1" x14ac:dyDescent="0.3">
      <c r="A83" s="1"/>
      <c r="B83" s="11">
        <f>ROW(B83) - ROW($B$2)</f>
        <v>81</v>
      </c>
      <c r="C83" s="12" t="s">
        <v>22</v>
      </c>
      <c r="D83" s="7" t="s">
        <v>112</v>
      </c>
      <c r="E83" s="8" t="s">
        <v>226</v>
      </c>
      <c r="F83" s="7" t="s">
        <v>295</v>
      </c>
      <c r="G83" s="8" t="s">
        <v>388</v>
      </c>
      <c r="H83" s="7" t="s">
        <v>419</v>
      </c>
      <c r="I83" s="8" t="s">
        <v>506</v>
      </c>
      <c r="J83" s="7">
        <v>12</v>
      </c>
      <c r="K83" s="7"/>
    </row>
    <row r="84" spans="1:18" ht="15.75" thickBot="1" x14ac:dyDescent="0.3">
      <c r="A84" s="1"/>
      <c r="B84" s="11">
        <f t="shared" si="0"/>
        <v>82</v>
      </c>
      <c r="C84" s="12" t="s">
        <v>22</v>
      </c>
      <c r="D84" s="9" t="s">
        <v>113</v>
      </c>
      <c r="E84" s="10" t="s">
        <v>227</v>
      </c>
      <c r="F84" s="9" t="s">
        <v>294</v>
      </c>
      <c r="G84" s="10" t="s">
        <v>389</v>
      </c>
      <c r="H84" s="9" t="s">
        <v>454</v>
      </c>
      <c r="I84" s="10" t="s">
        <v>507</v>
      </c>
      <c r="J84" s="9">
        <v>1</v>
      </c>
      <c r="K84" s="9"/>
    </row>
    <row r="85" spans="1:18" ht="36.75" thickBot="1" x14ac:dyDescent="0.3">
      <c r="A85" s="1"/>
      <c r="B85" s="11">
        <f>ROW(B85) - ROW($B$2)</f>
        <v>83</v>
      </c>
      <c r="C85" s="12" t="s">
        <v>22</v>
      </c>
      <c r="D85" s="7" t="s">
        <v>114</v>
      </c>
      <c r="E85" s="8" t="s">
        <v>228</v>
      </c>
      <c r="F85" s="7" t="s">
        <v>294</v>
      </c>
      <c r="G85" s="8" t="s">
        <v>390</v>
      </c>
      <c r="H85" s="7" t="s">
        <v>455</v>
      </c>
      <c r="I85" s="8" t="s">
        <v>508</v>
      </c>
      <c r="J85" s="7">
        <v>2</v>
      </c>
      <c r="K85" s="7"/>
    </row>
    <row r="86" spans="1:18" ht="15.75" thickBot="1" x14ac:dyDescent="0.3">
      <c r="A86" s="1"/>
      <c r="B86" s="11">
        <f t="shared" si="0"/>
        <v>84</v>
      </c>
      <c r="C86" s="13" t="s">
        <v>22</v>
      </c>
      <c r="D86" s="9" t="s">
        <v>115</v>
      </c>
      <c r="E86" s="10" t="s">
        <v>229</v>
      </c>
      <c r="F86" s="9" t="s">
        <v>295</v>
      </c>
      <c r="G86" s="10" t="s">
        <v>391</v>
      </c>
      <c r="H86" s="9" t="s">
        <v>419</v>
      </c>
      <c r="I86" s="10" t="s">
        <v>509</v>
      </c>
      <c r="J86" s="9">
        <v>1</v>
      </c>
      <c r="K86" s="9"/>
    </row>
    <row r="87" spans="1:18" ht="15.75" thickBot="1" x14ac:dyDescent="0.3">
      <c r="A87" s="1"/>
      <c r="B87" s="11">
        <f t="shared" si="0"/>
        <v>85</v>
      </c>
      <c r="C87" s="13" t="s">
        <v>22</v>
      </c>
      <c r="D87" s="7" t="s">
        <v>543</v>
      </c>
      <c r="E87" s="8" t="s">
        <v>237</v>
      </c>
      <c r="F87" s="7" t="s">
        <v>295</v>
      </c>
      <c r="G87" s="8" t="s">
        <v>399</v>
      </c>
      <c r="H87" s="7" t="s">
        <v>419</v>
      </c>
      <c r="I87" s="8" t="s">
        <v>514</v>
      </c>
      <c r="J87" s="7">
        <v>1</v>
      </c>
      <c r="K87" s="7"/>
    </row>
    <row r="88" spans="1:18" ht="15.75" thickBot="1" x14ac:dyDescent="0.3">
      <c r="A88" s="1"/>
      <c r="B88" s="11">
        <f>ROW(B88) - ROW($B$2)</f>
        <v>86</v>
      </c>
      <c r="C88" s="12" t="s">
        <v>23</v>
      </c>
      <c r="D88" s="7" t="s">
        <v>116</v>
      </c>
      <c r="E88" s="8" t="s">
        <v>230</v>
      </c>
      <c r="F88" s="7" t="s">
        <v>295</v>
      </c>
      <c r="G88" s="8" t="s">
        <v>392</v>
      </c>
      <c r="H88" s="7" t="s">
        <v>419</v>
      </c>
      <c r="I88" s="8" t="s">
        <v>510</v>
      </c>
      <c r="J88" s="7">
        <v>1</v>
      </c>
      <c r="K88" s="7"/>
    </row>
    <row r="89" spans="1:18" ht="24.75" thickBot="1" x14ac:dyDescent="0.3">
      <c r="A89" s="1"/>
      <c r="B89" s="11">
        <f t="shared" si="0"/>
        <v>87</v>
      </c>
      <c r="C89" s="13" t="s">
        <v>22</v>
      </c>
      <c r="D89" s="9" t="s">
        <v>117</v>
      </c>
      <c r="E89" s="10" t="s">
        <v>231</v>
      </c>
      <c r="F89" s="9" t="s">
        <v>296</v>
      </c>
      <c r="G89" s="10" t="s">
        <v>393</v>
      </c>
      <c r="H89" s="9" t="s">
        <v>419</v>
      </c>
      <c r="I89" s="10" t="s">
        <v>511</v>
      </c>
      <c r="J89" s="9">
        <v>10</v>
      </c>
      <c r="K89" s="9"/>
    </row>
    <row r="90" spans="1:18" ht="15.75" thickBot="1" x14ac:dyDescent="0.3">
      <c r="A90" s="1"/>
      <c r="B90" s="11">
        <f>ROW(B90) - ROW($B$2)</f>
        <v>88</v>
      </c>
      <c r="C90" s="12" t="s">
        <v>22</v>
      </c>
      <c r="D90" s="7" t="s">
        <v>118</v>
      </c>
      <c r="E90" s="8" t="s">
        <v>232</v>
      </c>
      <c r="F90" s="7" t="s">
        <v>295</v>
      </c>
      <c r="G90" s="8" t="s">
        <v>394</v>
      </c>
      <c r="H90" s="7" t="s">
        <v>419</v>
      </c>
      <c r="I90" s="8" t="s">
        <v>512</v>
      </c>
      <c r="J90" s="7">
        <v>3</v>
      </c>
      <c r="K90" s="7"/>
    </row>
    <row r="91" spans="1:18" ht="15.75" thickBot="1" x14ac:dyDescent="0.3">
      <c r="A91" s="1"/>
      <c r="B91" s="11">
        <f t="shared" si="0"/>
        <v>89</v>
      </c>
      <c r="C91" s="13" t="s">
        <v>22</v>
      </c>
      <c r="D91" s="9" t="s">
        <v>119</v>
      </c>
      <c r="E91" s="10" t="s">
        <v>233</v>
      </c>
      <c r="F91" s="9" t="s">
        <v>294</v>
      </c>
      <c r="G91" s="10" t="s">
        <v>395</v>
      </c>
      <c r="H91" s="9" t="s">
        <v>419</v>
      </c>
      <c r="I91" s="10" t="s">
        <v>495</v>
      </c>
      <c r="J91" s="9">
        <v>2</v>
      </c>
      <c r="K91" s="9"/>
    </row>
    <row r="92" spans="1:18" ht="15.75" thickBot="1" x14ac:dyDescent="0.3">
      <c r="A92" s="1"/>
      <c r="B92" s="11">
        <f>ROW(B92) - ROW($B$2)</f>
        <v>90</v>
      </c>
      <c r="C92" s="12" t="s">
        <v>22</v>
      </c>
      <c r="D92" s="7" t="s">
        <v>120</v>
      </c>
      <c r="E92" s="8" t="s">
        <v>234</v>
      </c>
      <c r="F92" s="7" t="s">
        <v>295</v>
      </c>
      <c r="G92" s="8" t="s">
        <v>396</v>
      </c>
      <c r="H92" s="7" t="s">
        <v>419</v>
      </c>
      <c r="I92" s="8" t="s">
        <v>508</v>
      </c>
      <c r="J92" s="7">
        <v>4</v>
      </c>
      <c r="K92" s="7"/>
    </row>
    <row r="93" spans="1:18" s="20" customFormat="1" ht="15.75" thickBot="1" x14ac:dyDescent="0.3">
      <c r="A93" s="19"/>
      <c r="B93" s="11">
        <f t="shared" si="0"/>
        <v>91</v>
      </c>
      <c r="C93" s="13" t="s">
        <v>22</v>
      </c>
      <c r="D93" s="9" t="s">
        <v>121</v>
      </c>
      <c r="E93" s="10" t="s">
        <v>235</v>
      </c>
      <c r="F93" s="9" t="s">
        <v>294</v>
      </c>
      <c r="G93" s="10" t="s">
        <v>397</v>
      </c>
      <c r="H93" s="9" t="s">
        <v>419</v>
      </c>
      <c r="I93" s="10" t="s">
        <v>513</v>
      </c>
      <c r="J93" s="9">
        <v>1</v>
      </c>
      <c r="K93" s="9"/>
      <c r="M93"/>
      <c r="N93"/>
      <c r="O93"/>
      <c r="P93"/>
      <c r="Q93"/>
      <c r="R93"/>
    </row>
    <row r="94" spans="1:18" ht="15.75" thickBot="1" x14ac:dyDescent="0.3">
      <c r="A94" s="1"/>
      <c r="B94" s="11">
        <f>ROW(B94) - ROW($B$2)</f>
        <v>92</v>
      </c>
      <c r="C94" s="12" t="s">
        <v>22</v>
      </c>
      <c r="D94" s="17" t="s">
        <v>122</v>
      </c>
      <c r="E94" s="18" t="s">
        <v>214</v>
      </c>
      <c r="F94" s="17" t="s">
        <v>294</v>
      </c>
      <c r="G94" s="18" t="s">
        <v>376</v>
      </c>
      <c r="H94" s="17" t="s">
        <v>419</v>
      </c>
      <c r="I94" s="18" t="s">
        <v>473</v>
      </c>
      <c r="J94" s="17">
        <v>1</v>
      </c>
      <c r="K94" s="16" t="s">
        <v>522</v>
      </c>
    </row>
    <row r="95" spans="1:18" ht="15.75" thickBot="1" x14ac:dyDescent="0.3">
      <c r="A95" s="1"/>
      <c r="B95" s="11">
        <f t="shared" si="0"/>
        <v>93</v>
      </c>
      <c r="C95" s="13" t="s">
        <v>22</v>
      </c>
      <c r="D95" s="9" t="s">
        <v>123</v>
      </c>
      <c r="E95" s="10" t="s">
        <v>236</v>
      </c>
      <c r="F95" s="9" t="s">
        <v>296</v>
      </c>
      <c r="G95" s="10" t="s">
        <v>398</v>
      </c>
      <c r="H95" s="9" t="s">
        <v>419</v>
      </c>
      <c r="I95" s="10" t="s">
        <v>493</v>
      </c>
      <c r="J95" s="9">
        <v>1</v>
      </c>
      <c r="K95" s="9"/>
    </row>
    <row r="96" spans="1:18" ht="15.75" thickBot="1" x14ac:dyDescent="0.3">
      <c r="A96" s="1"/>
      <c r="B96" s="11">
        <f t="shared" si="0"/>
        <v>94</v>
      </c>
      <c r="C96" s="13" t="s">
        <v>24</v>
      </c>
      <c r="D96" s="9" t="s">
        <v>124</v>
      </c>
      <c r="E96" s="10" t="s">
        <v>238</v>
      </c>
      <c r="F96" s="9" t="s">
        <v>521</v>
      </c>
      <c r="G96" s="10" t="s">
        <v>297</v>
      </c>
      <c r="H96" s="9" t="s">
        <v>419</v>
      </c>
      <c r="I96" s="10" t="s">
        <v>493</v>
      </c>
      <c r="J96" s="9">
        <v>3</v>
      </c>
      <c r="K96" s="9"/>
    </row>
    <row r="97" spans="1:11" ht="15.75" thickBot="1" x14ac:dyDescent="0.3">
      <c r="A97" s="1"/>
      <c r="B97" s="11">
        <f>ROW(B97) - ROW($B$2)</f>
        <v>95</v>
      </c>
      <c r="C97" s="12" t="s">
        <v>25</v>
      </c>
      <c r="D97" s="7" t="s">
        <v>125</v>
      </c>
      <c r="E97" s="8" t="s">
        <v>239</v>
      </c>
      <c r="F97" s="9" t="s">
        <v>521</v>
      </c>
      <c r="G97" s="8" t="s">
        <v>298</v>
      </c>
      <c r="H97" s="7" t="s">
        <v>456</v>
      </c>
      <c r="I97" s="8" t="s">
        <v>523</v>
      </c>
      <c r="J97" s="7">
        <v>3</v>
      </c>
      <c r="K97" s="7"/>
    </row>
    <row r="98" spans="1:11" ht="24.75" thickBot="1" x14ac:dyDescent="0.3">
      <c r="A98" s="1"/>
      <c r="B98" s="11">
        <f t="shared" si="0"/>
        <v>96</v>
      </c>
      <c r="C98" s="12" t="s">
        <v>25</v>
      </c>
      <c r="D98" s="9" t="s">
        <v>126</v>
      </c>
      <c r="E98" s="10" t="s">
        <v>240</v>
      </c>
      <c r="F98" s="9" t="s">
        <v>521</v>
      </c>
      <c r="G98" s="10" t="s">
        <v>400</v>
      </c>
      <c r="H98" s="9" t="s">
        <v>457</v>
      </c>
      <c r="I98" s="8" t="s">
        <v>523</v>
      </c>
      <c r="J98" s="9">
        <v>4</v>
      </c>
      <c r="K98" s="9"/>
    </row>
    <row r="99" spans="1:11" ht="36.75" thickBot="1" x14ac:dyDescent="0.3">
      <c r="A99" s="1"/>
      <c r="B99" s="11">
        <f>ROW(B99) - ROW($B$2)</f>
        <v>97</v>
      </c>
      <c r="C99" s="12" t="s">
        <v>26</v>
      </c>
      <c r="D99" s="7" t="s">
        <v>127</v>
      </c>
      <c r="E99" s="8" t="s">
        <v>241</v>
      </c>
      <c r="F99" s="9" t="s">
        <v>521</v>
      </c>
      <c r="G99" s="8" t="s">
        <v>299</v>
      </c>
      <c r="H99" s="7" t="s">
        <v>458</v>
      </c>
      <c r="I99" s="8" t="s">
        <v>523</v>
      </c>
      <c r="J99" s="7">
        <v>1</v>
      </c>
      <c r="K99" s="7"/>
    </row>
    <row r="100" spans="1:11" ht="15.75" thickBot="1" x14ac:dyDescent="0.3">
      <c r="A100" s="1"/>
      <c r="B100" s="11">
        <f t="shared" si="0"/>
        <v>98</v>
      </c>
      <c r="C100" s="13" t="s">
        <v>27</v>
      </c>
      <c r="D100" s="9" t="s">
        <v>128</v>
      </c>
      <c r="E100" s="10" t="s">
        <v>242</v>
      </c>
      <c r="F100" s="9" t="s">
        <v>300</v>
      </c>
      <c r="G100" s="10" t="s">
        <v>401</v>
      </c>
      <c r="H100" s="9" t="s">
        <v>459</v>
      </c>
      <c r="I100" s="8" t="s">
        <v>523</v>
      </c>
      <c r="J100" s="9">
        <v>1</v>
      </c>
      <c r="K100" s="9"/>
    </row>
    <row r="101" spans="1:11" ht="15.75" thickBot="1" x14ac:dyDescent="0.3">
      <c r="A101" s="1"/>
      <c r="B101" s="11">
        <f>ROW(B101) - ROW($B$2)</f>
        <v>99</v>
      </c>
      <c r="C101" s="12" t="s">
        <v>28</v>
      </c>
      <c r="D101" s="7" t="s">
        <v>129</v>
      </c>
      <c r="E101" s="8" t="s">
        <v>243</v>
      </c>
      <c r="F101" s="7" t="s">
        <v>301</v>
      </c>
      <c r="G101" s="8" t="s">
        <v>402</v>
      </c>
      <c r="H101" s="7" t="s">
        <v>460</v>
      </c>
      <c r="I101" s="8" t="s">
        <v>523</v>
      </c>
      <c r="J101" s="7">
        <v>1</v>
      </c>
      <c r="K101" s="7"/>
    </row>
    <row r="102" spans="1:11" ht="15.75" thickBot="1" x14ac:dyDescent="0.3">
      <c r="A102" s="1"/>
      <c r="B102" s="11">
        <f t="shared" si="0"/>
        <v>100</v>
      </c>
      <c r="C102" s="13" t="s">
        <v>29</v>
      </c>
      <c r="D102" s="9" t="s">
        <v>130</v>
      </c>
      <c r="E102" s="10" t="s">
        <v>244</v>
      </c>
      <c r="F102" s="9" t="s">
        <v>302</v>
      </c>
      <c r="G102" s="10" t="s">
        <v>403</v>
      </c>
      <c r="H102" s="9" t="s">
        <v>461</v>
      </c>
      <c r="I102" s="8" t="s">
        <v>523</v>
      </c>
      <c r="J102" s="9">
        <v>1</v>
      </c>
      <c r="K102" s="9"/>
    </row>
    <row r="103" spans="1:11" ht="15.75" thickBot="1" x14ac:dyDescent="0.3">
      <c r="A103" s="1"/>
      <c r="B103" s="11">
        <f>ROW(B103) - ROW($B$2)</f>
        <v>101</v>
      </c>
      <c r="C103" s="12" t="s">
        <v>29</v>
      </c>
      <c r="D103" s="7" t="s">
        <v>131</v>
      </c>
      <c r="E103" s="8" t="s">
        <v>245</v>
      </c>
      <c r="F103" s="7" t="s">
        <v>303</v>
      </c>
      <c r="G103" s="8" t="s">
        <v>404</v>
      </c>
      <c r="H103" s="7" t="s">
        <v>461</v>
      </c>
      <c r="I103" s="8" t="s">
        <v>523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29</v>
      </c>
      <c r="D104" s="9" t="s">
        <v>132</v>
      </c>
      <c r="E104" s="10" t="s">
        <v>246</v>
      </c>
      <c r="F104" s="9" t="s">
        <v>304</v>
      </c>
      <c r="G104" s="10" t="s">
        <v>405</v>
      </c>
      <c r="H104" s="9" t="s">
        <v>462</v>
      </c>
      <c r="I104" s="8" t="s">
        <v>523</v>
      </c>
      <c r="J104" s="9">
        <v>1</v>
      </c>
      <c r="K104" s="9"/>
    </row>
    <row r="105" spans="1:11" ht="15.75" thickBot="1" x14ac:dyDescent="0.3">
      <c r="A105" s="1"/>
      <c r="B105" s="11">
        <f>ROW(B105) - ROW($B$2)</f>
        <v>103</v>
      </c>
      <c r="C105" s="12" t="s">
        <v>29</v>
      </c>
      <c r="D105" s="7" t="s">
        <v>133</v>
      </c>
      <c r="E105" s="8" t="s">
        <v>247</v>
      </c>
      <c r="F105" s="7" t="s">
        <v>305</v>
      </c>
      <c r="G105" s="8" t="s">
        <v>406</v>
      </c>
      <c r="H105" s="7" t="s">
        <v>429</v>
      </c>
      <c r="I105" s="8" t="s">
        <v>523</v>
      </c>
      <c r="J105" s="7">
        <v>1</v>
      </c>
      <c r="K105" s="7"/>
    </row>
    <row r="106" spans="1:11" ht="36.75" thickBot="1" x14ac:dyDescent="0.3">
      <c r="A106" s="1"/>
      <c r="B106" s="11">
        <f t="shared" si="0"/>
        <v>104</v>
      </c>
      <c r="C106" s="13" t="s">
        <v>29</v>
      </c>
      <c r="D106" s="9" t="s">
        <v>134</v>
      </c>
      <c r="E106" s="10" t="s">
        <v>248</v>
      </c>
      <c r="F106" s="9" t="s">
        <v>306</v>
      </c>
      <c r="G106" s="10" t="s">
        <v>407</v>
      </c>
      <c r="H106" s="9" t="s">
        <v>463</v>
      </c>
      <c r="I106" s="8" t="s">
        <v>523</v>
      </c>
      <c r="J106" s="9">
        <v>1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29</v>
      </c>
      <c r="D107" s="7" t="s">
        <v>135</v>
      </c>
      <c r="E107" s="8" t="s">
        <v>249</v>
      </c>
      <c r="F107" s="7" t="s">
        <v>307</v>
      </c>
      <c r="G107" s="8" t="s">
        <v>408</v>
      </c>
      <c r="H107" s="7" t="s">
        <v>461</v>
      </c>
      <c r="I107" s="8" t="s">
        <v>523</v>
      </c>
      <c r="J107" s="7">
        <v>2</v>
      </c>
      <c r="K107" s="7"/>
    </row>
    <row r="108" spans="1:11" ht="15.75" thickBot="1" x14ac:dyDescent="0.3">
      <c r="A108" s="1"/>
      <c r="B108" s="11">
        <f t="shared" si="0"/>
        <v>106</v>
      </c>
      <c r="C108" s="13" t="s">
        <v>29</v>
      </c>
      <c r="D108" s="9" t="s">
        <v>136</v>
      </c>
      <c r="E108" s="10" t="s">
        <v>250</v>
      </c>
      <c r="F108" s="9" t="s">
        <v>308</v>
      </c>
      <c r="G108" s="10" t="s">
        <v>409</v>
      </c>
      <c r="H108" s="9" t="s">
        <v>464</v>
      </c>
      <c r="I108" s="8" t="s">
        <v>523</v>
      </c>
      <c r="J108" s="9">
        <v>1</v>
      </c>
      <c r="K108" s="9"/>
    </row>
    <row r="109" spans="1:11" ht="15.75" thickBot="1" x14ac:dyDescent="0.3">
      <c r="A109" s="1"/>
      <c r="B109" s="11">
        <f>ROW(B109) - ROW($B$2)</f>
        <v>107</v>
      </c>
      <c r="C109" s="12" t="s">
        <v>30</v>
      </c>
      <c r="D109" s="7" t="s">
        <v>137</v>
      </c>
      <c r="E109" s="8" t="s">
        <v>251</v>
      </c>
      <c r="F109" s="7" t="s">
        <v>309</v>
      </c>
      <c r="G109" s="8" t="s">
        <v>410</v>
      </c>
      <c r="H109" s="7" t="s">
        <v>433</v>
      </c>
      <c r="I109" s="8" t="s">
        <v>523</v>
      </c>
      <c r="J109" s="7">
        <v>1</v>
      </c>
      <c r="K109" s="7"/>
    </row>
    <row r="110" spans="1:11" ht="15.75" thickBot="1" x14ac:dyDescent="0.3">
      <c r="A110" s="1"/>
      <c r="B110" s="11">
        <f t="shared" si="0"/>
        <v>108</v>
      </c>
      <c r="C110" s="13" t="s">
        <v>29</v>
      </c>
      <c r="D110" s="9" t="s">
        <v>138</v>
      </c>
      <c r="E110" s="10" t="s">
        <v>252</v>
      </c>
      <c r="F110" s="9" t="s">
        <v>310</v>
      </c>
      <c r="G110" s="10" t="s">
        <v>411</v>
      </c>
      <c r="H110" s="9" t="s">
        <v>461</v>
      </c>
      <c r="I110" s="8" t="s">
        <v>523</v>
      </c>
      <c r="J110" s="9">
        <v>1</v>
      </c>
      <c r="K110" s="9"/>
    </row>
    <row r="111" spans="1:11" ht="24.75" thickBot="1" x14ac:dyDescent="0.3">
      <c r="A111" s="1"/>
      <c r="B111" s="11">
        <f>ROW(B111) - ROW($B$2)</f>
        <v>109</v>
      </c>
      <c r="C111" s="12" t="s">
        <v>29</v>
      </c>
      <c r="D111" s="7" t="s">
        <v>139</v>
      </c>
      <c r="E111" s="8" t="s">
        <v>253</v>
      </c>
      <c r="F111" s="7" t="s">
        <v>311</v>
      </c>
      <c r="G111" s="8" t="s">
        <v>412</v>
      </c>
      <c r="H111" s="7" t="s">
        <v>465</v>
      </c>
      <c r="I111" s="8" t="s">
        <v>523</v>
      </c>
      <c r="J111" s="7">
        <v>1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29</v>
      </c>
      <c r="D112" s="9" t="s">
        <v>140</v>
      </c>
      <c r="E112" s="10" t="s">
        <v>254</v>
      </c>
      <c r="F112" s="9" t="s">
        <v>312</v>
      </c>
      <c r="G112" s="10" t="s">
        <v>413</v>
      </c>
      <c r="H112" s="9" t="s">
        <v>461</v>
      </c>
      <c r="I112" s="8" t="s">
        <v>523</v>
      </c>
      <c r="J112" s="9">
        <v>3</v>
      </c>
      <c r="K112" s="9"/>
    </row>
    <row r="113" spans="1:11" ht="15.75" thickBot="1" x14ac:dyDescent="0.3">
      <c r="A113" s="1"/>
      <c r="B113" s="11">
        <f>ROW(B113) - ROW($B$2)</f>
        <v>111</v>
      </c>
      <c r="C113" s="12" t="s">
        <v>29</v>
      </c>
      <c r="D113" s="7" t="s">
        <v>141</v>
      </c>
      <c r="E113" s="8" t="s">
        <v>255</v>
      </c>
      <c r="F113" s="7" t="s">
        <v>313</v>
      </c>
      <c r="G113" s="8" t="s">
        <v>414</v>
      </c>
      <c r="H113" s="7" t="s">
        <v>466</v>
      </c>
      <c r="I113" s="8" t="s">
        <v>523</v>
      </c>
      <c r="J113" s="7">
        <v>1</v>
      </c>
      <c r="K113" s="7"/>
    </row>
    <row r="114" spans="1:11" ht="15.75" thickBot="1" x14ac:dyDescent="0.3">
      <c r="A114" s="1"/>
      <c r="B114" s="11">
        <f t="shared" si="0"/>
        <v>112</v>
      </c>
      <c r="C114" s="13" t="s">
        <v>29</v>
      </c>
      <c r="D114" s="9" t="s">
        <v>142</v>
      </c>
      <c r="E114" s="10" t="s">
        <v>256</v>
      </c>
      <c r="F114" s="9" t="s">
        <v>521</v>
      </c>
      <c r="G114" s="10" t="s">
        <v>314</v>
      </c>
      <c r="H114" s="9" t="s">
        <v>426</v>
      </c>
      <c r="I114" s="8" t="s">
        <v>523</v>
      </c>
      <c r="J114" s="9">
        <v>1</v>
      </c>
      <c r="K114" s="9"/>
    </row>
    <row r="115" spans="1:11" ht="24.75" thickBot="1" x14ac:dyDescent="0.3">
      <c r="A115" s="1"/>
      <c r="B115" s="11">
        <f>ROW(B115) - ROW($B$2)</f>
        <v>113</v>
      </c>
      <c r="C115" s="12" t="s">
        <v>31</v>
      </c>
      <c r="D115" s="14" t="s">
        <v>143</v>
      </c>
      <c r="E115" s="15" t="s">
        <v>257</v>
      </c>
      <c r="F115" s="14" t="s">
        <v>315</v>
      </c>
      <c r="G115" s="15" t="s">
        <v>415</v>
      </c>
      <c r="H115" s="14" t="s">
        <v>467</v>
      </c>
      <c r="I115" s="15" t="s">
        <v>473</v>
      </c>
      <c r="J115" s="14">
        <v>1</v>
      </c>
      <c r="K115" s="16" t="s">
        <v>522</v>
      </c>
    </row>
    <row r="116" spans="1:11" ht="24.75" thickBot="1" x14ac:dyDescent="0.3">
      <c r="A116" s="1"/>
      <c r="B116" s="11">
        <f t="shared" si="0"/>
        <v>114</v>
      </c>
      <c r="C116" s="13" t="s">
        <v>31</v>
      </c>
      <c r="D116" s="9" t="s">
        <v>144</v>
      </c>
      <c r="E116" s="10" t="s">
        <v>258</v>
      </c>
      <c r="F116" s="9" t="s">
        <v>521</v>
      </c>
      <c r="G116" s="10" t="s">
        <v>416</v>
      </c>
      <c r="H116" s="9" t="s">
        <v>468</v>
      </c>
      <c r="I116" s="10" t="s">
        <v>515</v>
      </c>
      <c r="J116" s="9">
        <v>1</v>
      </c>
      <c r="K116" s="9"/>
    </row>
    <row r="117" spans="1:11" ht="24.75" thickBot="1" x14ac:dyDescent="0.3">
      <c r="A117" s="1"/>
      <c r="B117" s="11">
        <f>ROW(B117) - ROW($B$2)</f>
        <v>115</v>
      </c>
      <c r="C117" s="12" t="s">
        <v>31</v>
      </c>
      <c r="D117" s="7" t="s">
        <v>145</v>
      </c>
      <c r="E117" s="8" t="s">
        <v>259</v>
      </c>
      <c r="F117" s="7" t="s">
        <v>316</v>
      </c>
      <c r="G117" s="8" t="s">
        <v>417</v>
      </c>
      <c r="H117" s="7" t="s">
        <v>469</v>
      </c>
      <c r="I117" s="8" t="s">
        <v>516</v>
      </c>
      <c r="J117" s="7">
        <v>1</v>
      </c>
      <c r="K117" s="7"/>
    </row>
    <row r="118" spans="1:11" ht="15.75" thickBot="1" x14ac:dyDescent="0.3">
      <c r="A118" s="1"/>
      <c r="B118" s="11">
        <f t="shared" si="0"/>
        <v>116</v>
      </c>
      <c r="C118" s="13" t="s">
        <v>31</v>
      </c>
      <c r="D118" s="9" t="s">
        <v>146</v>
      </c>
      <c r="E118" s="10" t="s">
        <v>260</v>
      </c>
      <c r="F118" s="9" t="s">
        <v>521</v>
      </c>
      <c r="G118" s="10" t="s">
        <v>317</v>
      </c>
      <c r="H118" s="9" t="s">
        <v>467</v>
      </c>
      <c r="I118" s="10" t="s">
        <v>516</v>
      </c>
      <c r="J118" s="9">
        <v>1</v>
      </c>
      <c r="K118" s="9"/>
    </row>
    <row r="119" spans="1:11" ht="48.75" thickBot="1" x14ac:dyDescent="0.3">
      <c r="B119" s="11">
        <f t="shared" si="0"/>
        <v>117</v>
      </c>
      <c r="C119" s="13" t="s">
        <v>524</v>
      </c>
      <c r="D119" s="9" t="s">
        <v>533</v>
      </c>
      <c r="E119" s="9" t="s">
        <v>525</v>
      </c>
      <c r="F119" s="9" t="s">
        <v>521</v>
      </c>
      <c r="G119" s="9" t="s">
        <v>541</v>
      </c>
      <c r="H119" s="9" t="s">
        <v>523</v>
      </c>
      <c r="I119" s="21" t="s">
        <v>523</v>
      </c>
      <c r="J119" s="9">
        <v>1</v>
      </c>
      <c r="K119" s="22" t="s">
        <v>526</v>
      </c>
    </row>
    <row r="120" spans="1:11" ht="15.75" thickBot="1" x14ac:dyDescent="0.3">
      <c r="B120" s="11">
        <f t="shared" si="0"/>
        <v>118</v>
      </c>
      <c r="C120" s="12" t="s">
        <v>524</v>
      </c>
      <c r="D120" s="7" t="s">
        <v>527</v>
      </c>
      <c r="E120" s="8" t="s">
        <v>528</v>
      </c>
      <c r="F120" s="7" t="s">
        <v>521</v>
      </c>
      <c r="G120" s="8" t="s">
        <v>529</v>
      </c>
      <c r="H120" s="7" t="s">
        <v>443</v>
      </c>
      <c r="I120" s="21" t="s">
        <v>523</v>
      </c>
      <c r="J120" s="9">
        <v>8</v>
      </c>
      <c r="K120" s="22"/>
    </row>
    <row r="121" spans="1:11" ht="24.75" thickBot="1" x14ac:dyDescent="0.3">
      <c r="B121" s="11">
        <f t="shared" ref="B121:B123" si="1">ROW(B121) - ROW($B$2)</f>
        <v>119</v>
      </c>
      <c r="C121" s="12" t="s">
        <v>524</v>
      </c>
      <c r="D121" s="7" t="s">
        <v>530</v>
      </c>
      <c r="E121" s="8" t="s">
        <v>531</v>
      </c>
      <c r="F121" s="7" t="s">
        <v>521</v>
      </c>
      <c r="G121" s="8">
        <v>50173</v>
      </c>
      <c r="H121" s="7" t="s">
        <v>532</v>
      </c>
      <c r="I121" s="21" t="s">
        <v>523</v>
      </c>
      <c r="J121" s="9">
        <v>2</v>
      </c>
      <c r="K121" s="22"/>
    </row>
    <row r="122" spans="1:11" ht="24.75" thickBot="1" x14ac:dyDescent="0.3">
      <c r="B122" s="11">
        <f t="shared" si="1"/>
        <v>120</v>
      </c>
      <c r="C122" s="13" t="s">
        <v>524</v>
      </c>
      <c r="D122" s="9" t="s">
        <v>7</v>
      </c>
      <c r="E122" s="9" t="s">
        <v>534</v>
      </c>
      <c r="F122" s="7" t="s">
        <v>521</v>
      </c>
      <c r="G122" s="9" t="s">
        <v>535</v>
      </c>
      <c r="H122" s="9" t="s">
        <v>536</v>
      </c>
      <c r="I122" s="21" t="s">
        <v>523</v>
      </c>
      <c r="J122" s="9">
        <v>1</v>
      </c>
      <c r="K122" s="22"/>
    </row>
    <row r="123" spans="1:11" ht="24.75" thickBot="1" x14ac:dyDescent="0.3">
      <c r="B123" s="11">
        <f t="shared" si="1"/>
        <v>121</v>
      </c>
      <c r="C123" s="13" t="s">
        <v>524</v>
      </c>
      <c r="D123" s="9" t="s">
        <v>537</v>
      </c>
      <c r="E123" s="9" t="s">
        <v>538</v>
      </c>
      <c r="F123" s="7" t="s">
        <v>521</v>
      </c>
      <c r="G123" s="9" t="s">
        <v>539</v>
      </c>
      <c r="H123" s="9" t="s">
        <v>540</v>
      </c>
      <c r="I123" s="21" t="s">
        <v>523</v>
      </c>
      <c r="J123" s="9">
        <v>1</v>
      </c>
      <c r="K123" s="22"/>
    </row>
    <row r="124" spans="1:11" x14ac:dyDescent="0.25">
      <c r="B124"/>
      <c r="C124"/>
    </row>
    <row r="125" spans="1:11" x14ac:dyDescent="0.25">
      <c r="B125"/>
      <c r="C125"/>
    </row>
  </sheetData>
  <mergeCells count="1">
    <mergeCell ref="I1:K1"/>
  </mergeCells>
  <hyperlinks>
    <hyperlink ref="K11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2024-10-10T13:44:54Z</dcterms:modified>
</cp:coreProperties>
</file>