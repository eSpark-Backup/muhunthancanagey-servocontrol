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 activeTab="1"/>
  </bookViews>
  <sheets>
    <sheet name="5 Boards" sheetId="1" r:id="rId1"/>
    <sheet name="25 Boards" sheetId="2" r:id="rId2"/>
  </sheets>
  <calcPr calcId="162913"/>
</workbook>
</file>

<file path=xl/calcChain.xml><?xml version="1.0" encoding="utf-8"?>
<calcChain xmlns="http://schemas.openxmlformats.org/spreadsheetml/2006/main">
  <c r="Q66" i="2" l="1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3" i="2"/>
  <c r="Q124" i="2"/>
  <c r="Q125" i="2"/>
  <c r="Q126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 l="1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8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Q65" i="2"/>
  <c r="B65" i="2"/>
  <c r="Q64" i="2"/>
  <c r="B64" i="2"/>
  <c r="Q63" i="2"/>
  <c r="B63" i="2"/>
  <c r="Q62" i="2"/>
  <c r="B62" i="2"/>
  <c r="Q61" i="2"/>
  <c r="B61" i="2"/>
  <c r="Q60" i="2"/>
  <c r="B60" i="2"/>
  <c r="Q59" i="2"/>
  <c r="B59" i="2"/>
  <c r="Q58" i="2"/>
  <c r="B58" i="2"/>
  <c r="Q57" i="2"/>
  <c r="B57" i="2"/>
  <c r="Q56" i="2"/>
  <c r="B56" i="2"/>
  <c r="Q55" i="2"/>
  <c r="B55" i="2"/>
  <c r="Q54" i="2"/>
  <c r="B54" i="2"/>
  <c r="Q53" i="2"/>
  <c r="B53" i="2"/>
  <c r="Q52" i="2"/>
  <c r="B52" i="2"/>
  <c r="Q51" i="2"/>
  <c r="B51" i="2"/>
  <c r="Q50" i="2"/>
  <c r="B50" i="2"/>
  <c r="Q49" i="2"/>
  <c r="B49" i="2"/>
  <c r="Q48" i="2"/>
  <c r="B48" i="2"/>
  <c r="Q47" i="2"/>
  <c r="B47" i="2"/>
  <c r="Q46" i="2"/>
  <c r="B46" i="2"/>
  <c r="Q45" i="2"/>
  <c r="B45" i="2"/>
  <c r="Q44" i="2"/>
  <c r="B44" i="2"/>
  <c r="Q43" i="2"/>
  <c r="B43" i="2"/>
  <c r="Q42" i="2"/>
  <c r="B42" i="2"/>
  <c r="Q41" i="2"/>
  <c r="B41" i="2"/>
  <c r="Q40" i="2"/>
  <c r="B40" i="2"/>
  <c r="Q39" i="2"/>
  <c r="B39" i="2"/>
  <c r="Q38" i="2"/>
  <c r="B38" i="2"/>
  <c r="Q37" i="2"/>
  <c r="B37" i="2"/>
  <c r="Q36" i="2"/>
  <c r="B36" i="2"/>
  <c r="Q35" i="2"/>
  <c r="B35" i="2"/>
  <c r="Q34" i="2"/>
  <c r="B34" i="2"/>
  <c r="Q33" i="2"/>
  <c r="B33" i="2"/>
  <c r="Q32" i="2"/>
  <c r="B32" i="2"/>
  <c r="Q31" i="2"/>
  <c r="B31" i="2"/>
  <c r="Q30" i="2"/>
  <c r="B30" i="2"/>
  <c r="Q29" i="2"/>
  <c r="B29" i="2"/>
  <c r="Q28" i="2"/>
  <c r="B28" i="2"/>
  <c r="Q27" i="2"/>
  <c r="B27" i="2"/>
  <c r="Q26" i="2"/>
  <c r="B26" i="2"/>
  <c r="Q25" i="2"/>
  <c r="B25" i="2"/>
  <c r="Q24" i="2"/>
  <c r="B24" i="2"/>
  <c r="Q23" i="2"/>
  <c r="B23" i="2"/>
  <c r="Q22" i="2"/>
  <c r="B22" i="2"/>
  <c r="Q21" i="2"/>
  <c r="B21" i="2"/>
  <c r="Q20" i="2"/>
  <c r="B20" i="2"/>
  <c r="Q19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Q9" i="2"/>
  <c r="B9" i="2"/>
  <c r="Q8" i="2"/>
  <c r="B8" i="2"/>
  <c r="Q110" i="1"/>
  <c r="Q111" i="1"/>
  <c r="Q112" i="1"/>
  <c r="Q113" i="1"/>
  <c r="Q114" i="1"/>
  <c r="Q115" i="1"/>
  <c r="Q116" i="1"/>
  <c r="Q117" i="1"/>
  <c r="Q118" i="1"/>
  <c r="Q119" i="1"/>
  <c r="Q120" i="1"/>
  <c r="Q109" i="1"/>
  <c r="Q107" i="1"/>
  <c r="Q163" i="2" l="1"/>
  <c r="Q161" i="1"/>
  <c r="M161" i="1"/>
  <c r="B161" i="1"/>
  <c r="Q160" i="1"/>
  <c r="M160" i="1"/>
  <c r="B160" i="1"/>
  <c r="Q159" i="1"/>
  <c r="M159" i="1"/>
  <c r="B159" i="1"/>
  <c r="Q158" i="1"/>
  <c r="M158" i="1"/>
  <c r="B158" i="1"/>
  <c r="Q157" i="1"/>
  <c r="M157" i="1"/>
  <c r="B157" i="1"/>
  <c r="Q156" i="1"/>
  <c r="M156" i="1"/>
  <c r="B156" i="1"/>
  <c r="Q155" i="1"/>
  <c r="M155" i="1"/>
  <c r="B155" i="1"/>
  <c r="Q154" i="1"/>
  <c r="M154" i="1"/>
  <c r="B154" i="1"/>
  <c r="Q153" i="1"/>
  <c r="M153" i="1"/>
  <c r="B153" i="1"/>
  <c r="Q152" i="1"/>
  <c r="M152" i="1"/>
  <c r="B152" i="1"/>
  <c r="Q151" i="1"/>
  <c r="M151" i="1"/>
  <c r="B151" i="1"/>
  <c r="Q150" i="1"/>
  <c r="M150" i="1"/>
  <c r="B150" i="1"/>
  <c r="Q149" i="1"/>
  <c r="M149" i="1"/>
  <c r="B149" i="1"/>
  <c r="Q148" i="1"/>
  <c r="M148" i="1"/>
  <c r="B148" i="1"/>
  <c r="Q147" i="1"/>
  <c r="M147" i="1"/>
  <c r="B147" i="1"/>
  <c r="Q146" i="1"/>
  <c r="M146" i="1"/>
  <c r="B146" i="1"/>
  <c r="Q145" i="1"/>
  <c r="M145" i="1"/>
  <c r="B145" i="1"/>
  <c r="Q144" i="1"/>
  <c r="M144" i="1"/>
  <c r="B144" i="1"/>
  <c r="Q143" i="1"/>
  <c r="M143" i="1"/>
  <c r="B143" i="1"/>
  <c r="Q142" i="1"/>
  <c r="M142" i="1"/>
  <c r="B142" i="1"/>
  <c r="Q141" i="1"/>
  <c r="M141" i="1"/>
  <c r="B141" i="1"/>
  <c r="Q140" i="1"/>
  <c r="M140" i="1"/>
  <c r="B140" i="1"/>
  <c r="Q139" i="1"/>
  <c r="M139" i="1"/>
  <c r="B139" i="1"/>
  <c r="Q138" i="1"/>
  <c r="M138" i="1"/>
  <c r="B138" i="1"/>
  <c r="Q137" i="1"/>
  <c r="M137" i="1"/>
  <c r="B137" i="1"/>
  <c r="Q136" i="1"/>
  <c r="M136" i="1"/>
  <c r="B136" i="1"/>
  <c r="Q135" i="1"/>
  <c r="M135" i="1"/>
  <c r="B135" i="1"/>
  <c r="Q134" i="1"/>
  <c r="M134" i="1"/>
  <c r="B134" i="1"/>
  <c r="Q133" i="1"/>
  <c r="M133" i="1"/>
  <c r="B133" i="1"/>
  <c r="Q132" i="1"/>
  <c r="M132" i="1"/>
  <c r="B132" i="1"/>
  <c r="Q131" i="1"/>
  <c r="M131" i="1"/>
  <c r="B131" i="1"/>
  <c r="Q130" i="1"/>
  <c r="M130" i="1"/>
  <c r="B130" i="1"/>
  <c r="Q129" i="1"/>
  <c r="M129" i="1"/>
  <c r="B129" i="1"/>
  <c r="Q128" i="1"/>
  <c r="M128" i="1"/>
  <c r="B128" i="1"/>
  <c r="M127" i="1"/>
  <c r="B127" i="1"/>
  <c r="Q126" i="1"/>
  <c r="M126" i="1"/>
  <c r="B126" i="1"/>
  <c r="Q125" i="1"/>
  <c r="M125" i="1"/>
  <c r="B125" i="1"/>
  <c r="Q124" i="1"/>
  <c r="M124" i="1"/>
  <c r="B124" i="1"/>
  <c r="Q123" i="1"/>
  <c r="M123" i="1"/>
  <c r="B123" i="1"/>
  <c r="M122" i="1"/>
  <c r="B122" i="1"/>
  <c r="Q121" i="1"/>
  <c r="M121" i="1"/>
  <c r="B121" i="1"/>
  <c r="M120" i="1"/>
  <c r="B120" i="1"/>
  <c r="M119" i="1"/>
  <c r="B119" i="1"/>
  <c r="M118" i="1"/>
  <c r="B118" i="1"/>
  <c r="M117" i="1"/>
  <c r="B117" i="1"/>
  <c r="M116" i="1"/>
  <c r="B116" i="1"/>
  <c r="M115" i="1"/>
  <c r="B115" i="1"/>
  <c r="M114" i="1"/>
  <c r="B114" i="1"/>
  <c r="M113" i="1"/>
  <c r="B113" i="1"/>
  <c r="M112" i="1"/>
  <c r="B112" i="1"/>
  <c r="M111" i="1"/>
  <c r="B111" i="1"/>
  <c r="M110" i="1"/>
  <c r="B110" i="1"/>
  <c r="M109" i="1"/>
  <c r="B109" i="1"/>
  <c r="M108" i="1"/>
  <c r="B108" i="1"/>
  <c r="M107" i="1"/>
  <c r="B107" i="1"/>
  <c r="Q106" i="1"/>
  <c r="M106" i="1"/>
  <c r="B106" i="1"/>
  <c r="Q105" i="1"/>
  <c r="M105" i="1"/>
  <c r="B105" i="1"/>
  <c r="Q104" i="1"/>
  <c r="M104" i="1"/>
  <c r="B104" i="1"/>
  <c r="Q103" i="1"/>
  <c r="M103" i="1"/>
  <c r="B103" i="1"/>
  <c r="Q102" i="1"/>
  <c r="M102" i="1"/>
  <c r="B102" i="1"/>
  <c r="Q101" i="1"/>
  <c r="M101" i="1"/>
  <c r="B101" i="1"/>
  <c r="Q100" i="1"/>
  <c r="M100" i="1"/>
  <c r="B100" i="1"/>
  <c r="Q99" i="1"/>
  <c r="M99" i="1"/>
  <c r="B99" i="1"/>
  <c r="Q98" i="1"/>
  <c r="M98" i="1"/>
  <c r="B98" i="1"/>
  <c r="Q97" i="1"/>
  <c r="M97" i="1"/>
  <c r="B97" i="1"/>
  <c r="Q96" i="1"/>
  <c r="M96" i="1"/>
  <c r="B96" i="1"/>
  <c r="Q95" i="1"/>
  <c r="M95" i="1"/>
  <c r="B95" i="1"/>
  <c r="Q94" i="1"/>
  <c r="M94" i="1"/>
  <c r="B94" i="1"/>
  <c r="Q93" i="1"/>
  <c r="M93" i="1"/>
  <c r="B93" i="1"/>
  <c r="Q92" i="1"/>
  <c r="M92" i="1"/>
  <c r="B92" i="1"/>
  <c r="Q91" i="1"/>
  <c r="M91" i="1"/>
  <c r="B91" i="1"/>
  <c r="Q90" i="1"/>
  <c r="M90" i="1"/>
  <c r="B90" i="1"/>
  <c r="Q89" i="1"/>
  <c r="M89" i="1"/>
  <c r="B89" i="1"/>
  <c r="Q88" i="1"/>
  <c r="M88" i="1"/>
  <c r="B88" i="1"/>
  <c r="Q87" i="1"/>
  <c r="M87" i="1"/>
  <c r="B87" i="1"/>
  <c r="Q86" i="1"/>
  <c r="M86" i="1"/>
  <c r="B86" i="1"/>
  <c r="Q85" i="1"/>
  <c r="M85" i="1"/>
  <c r="B85" i="1"/>
  <c r="Q84" i="1"/>
  <c r="M84" i="1"/>
  <c r="B84" i="1"/>
  <c r="Q83" i="1"/>
  <c r="M83" i="1"/>
  <c r="B83" i="1"/>
  <c r="Q82" i="1"/>
  <c r="M82" i="1"/>
  <c r="B82" i="1"/>
  <c r="Q81" i="1"/>
  <c r="M81" i="1"/>
  <c r="B81" i="1"/>
  <c r="Q80" i="1"/>
  <c r="M80" i="1"/>
  <c r="B80" i="1"/>
  <c r="Q79" i="1"/>
  <c r="M79" i="1"/>
  <c r="B79" i="1"/>
  <c r="Q78" i="1"/>
  <c r="M78" i="1"/>
  <c r="B78" i="1"/>
  <c r="Q77" i="1"/>
  <c r="M77" i="1"/>
  <c r="B77" i="1"/>
  <c r="Q76" i="1"/>
  <c r="M76" i="1"/>
  <c r="B76" i="1"/>
  <c r="Q75" i="1"/>
  <c r="M75" i="1"/>
  <c r="B75" i="1"/>
  <c r="Q74" i="1"/>
  <c r="M74" i="1"/>
  <c r="B74" i="1"/>
  <c r="Q73" i="1"/>
  <c r="M73" i="1"/>
  <c r="B73" i="1"/>
  <c r="Q72" i="1"/>
  <c r="M72" i="1"/>
  <c r="B72" i="1"/>
  <c r="Q71" i="1"/>
  <c r="M71" i="1"/>
  <c r="B71" i="1"/>
  <c r="Q70" i="1"/>
  <c r="M70" i="1"/>
  <c r="B70" i="1"/>
  <c r="Q69" i="1"/>
  <c r="M69" i="1"/>
  <c r="B69" i="1"/>
  <c r="Q68" i="1"/>
  <c r="M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9" i="1" l="1"/>
  <c r="Q8" i="1"/>
  <c r="Q162" i="1" s="1"/>
  <c r="Q163" i="1" s="1"/>
  <c r="M9" i="1"/>
  <c r="M8" i="1"/>
  <c r="B9" i="1"/>
  <c r="B8" i="1"/>
</calcChain>
</file>

<file path=xl/sharedStrings.xml><?xml version="1.0" encoding="utf-8"?>
<sst xmlns="http://schemas.openxmlformats.org/spreadsheetml/2006/main" count="3357" uniqueCount="923">
  <si>
    <t>Component list</t>
  </si>
  <si>
    <t>Project:</t>
  </si>
  <si>
    <t>#</t>
  </si>
  <si>
    <t xml:space="preserve">Total Component Cost </t>
  </si>
  <si>
    <t>Single Board Cost</t>
  </si>
  <si>
    <t>Item Type</t>
  </si>
  <si>
    <t>Capacitor</t>
  </si>
  <si>
    <t>Tantalum Capacitors</t>
  </si>
  <si>
    <t>Diode</t>
  </si>
  <si>
    <t>(TVS/ESD)</t>
  </si>
  <si>
    <t>TVS Diodes</t>
  </si>
  <si>
    <t>ESD Diode</t>
  </si>
  <si>
    <t>Schottky Diode</t>
  </si>
  <si>
    <t>Zener diode</t>
  </si>
  <si>
    <t>Diodes</t>
  </si>
  <si>
    <t>Rectifier Diodes</t>
  </si>
  <si>
    <t>Fuses</t>
  </si>
  <si>
    <t>Ferrite Beads</t>
  </si>
  <si>
    <t>Ferrite Bead</t>
  </si>
  <si>
    <t>Fuse Holder</t>
  </si>
  <si>
    <t>Terminal Block</t>
  </si>
  <si>
    <t>Male Header</t>
  </si>
  <si>
    <t>Connectors (RJ45 RJ11)</t>
  </si>
  <si>
    <t>USB Connectors</t>
  </si>
  <si>
    <t>RJ45 Connector</t>
  </si>
  <si>
    <t>Screw Terminal</t>
  </si>
  <si>
    <t>Inductors</t>
  </si>
  <si>
    <t>LED</t>
  </si>
  <si>
    <t>RGB LED</t>
  </si>
  <si>
    <t>MOSFETs</t>
  </si>
  <si>
    <t>Mosfet</t>
  </si>
  <si>
    <t>(BJT)</t>
  </si>
  <si>
    <t>BJTs</t>
  </si>
  <si>
    <t>Resistor</t>
  </si>
  <si>
    <t>Resistors</t>
  </si>
  <si>
    <t>Switch</t>
  </si>
  <si>
    <t>DIP Switches</t>
  </si>
  <si>
    <t>RJ45 Transformer</t>
  </si>
  <si>
    <t>IC</t>
  </si>
  <si>
    <t>Crystal</t>
  </si>
  <si>
    <t>Designator</t>
  </si>
  <si>
    <t>C1</t>
  </si>
  <si>
    <t>C2</t>
  </si>
  <si>
    <t>C3</t>
  </si>
  <si>
    <t>C4, C57, C131, C132, C133, C138, C142, C144, C151</t>
  </si>
  <si>
    <t>C5, C7, C17, C118</t>
  </si>
  <si>
    <t>C6, C8, C15, C56, C127, C134, C140, C141, C143, C145, C148, C150, C155</t>
  </si>
  <si>
    <t>C9, C18, C19</t>
  </si>
  <si>
    <t>C10, C11, C121, C124</t>
  </si>
  <si>
    <t>C12, C13, C14</t>
  </si>
  <si>
    <t>C16</t>
  </si>
  <si>
    <t>C20, C21</t>
  </si>
  <si>
    <t>C22, C55, C60, C63, C65</t>
  </si>
  <si>
    <t>C23, C24, C25, C26, C27, C28, C29, C30, C31, C32, C35, C37, C38, C43, C45, C46, C47, C48, C51, C58, C59, C61, C62, C64, C66, C67, C68, C69, C70, C71, C72, C73, C74, C75, C76, C77, C78, C79, C80, C81, C82, C83, C84, C85, C86, C87, C88, C89, C90, C91, C92, C93, C94, C95, C96, C99, C100, C101, C107, C115, C116, C119</t>
  </si>
  <si>
    <t>C39, C40, C41, C42, C53, C54</t>
  </si>
  <si>
    <t>C44</t>
  </si>
  <si>
    <t>C49, C98</t>
  </si>
  <si>
    <t>C52</t>
  </si>
  <si>
    <t>C102, C103, C104, C105, C110, C111, C112, C113</t>
  </si>
  <si>
    <t>C106, C114</t>
  </si>
  <si>
    <t>C108, C109</t>
  </si>
  <si>
    <t>C117</t>
  </si>
  <si>
    <t>C120</t>
  </si>
  <si>
    <t>C122</t>
  </si>
  <si>
    <t>C123</t>
  </si>
  <si>
    <t>C125</t>
  </si>
  <si>
    <t>C126</t>
  </si>
  <si>
    <t>C128, C129, C130, C135, C136, C137</t>
  </si>
  <si>
    <t>C139</t>
  </si>
  <si>
    <t>C146, C149, C156</t>
  </si>
  <si>
    <t>C147, C157</t>
  </si>
  <si>
    <t>C152, C154</t>
  </si>
  <si>
    <t>C153</t>
  </si>
  <si>
    <t>D1</t>
  </si>
  <si>
    <t>D2</t>
  </si>
  <si>
    <t>D3</t>
  </si>
  <si>
    <t>D4</t>
  </si>
  <si>
    <t>D5, D58, D59, D60, D61</t>
  </si>
  <si>
    <t>D6, D7, D8, D9, D10</t>
  </si>
  <si>
    <t>D11</t>
  </si>
  <si>
    <t>D12</t>
  </si>
  <si>
    <t>D13</t>
  </si>
  <si>
    <t>D14</t>
  </si>
  <si>
    <t>D15, D16, D17, D18, D19, D20, D21, D22</t>
  </si>
  <si>
    <t>D23, D24, D25, D26, D27, D28</t>
  </si>
  <si>
    <t>D29, D30, D31, D32</t>
  </si>
  <si>
    <t>D33, D34, D35, D36</t>
  </si>
  <si>
    <t>D37, D38, D39, D40, D43, D44, D47, D48</t>
  </si>
  <si>
    <t>D42, D45, D46, D49, D54, D55, D56, D57</t>
  </si>
  <si>
    <t>D50</t>
  </si>
  <si>
    <t>D51</t>
  </si>
  <si>
    <t>D52, D53</t>
  </si>
  <si>
    <t>F1</t>
  </si>
  <si>
    <t>F2, F3, F4, F5, F6, F7</t>
  </si>
  <si>
    <t>FB1</t>
  </si>
  <si>
    <t>FB2, FB3, FB4, FB5</t>
  </si>
  <si>
    <t>J1</t>
  </si>
  <si>
    <t>J2</t>
  </si>
  <si>
    <t>J3</t>
  </si>
  <si>
    <t>J4</t>
  </si>
  <si>
    <t>J5</t>
  </si>
  <si>
    <t>J6</t>
  </si>
  <si>
    <t>J7</t>
  </si>
  <si>
    <t>J8, J9</t>
  </si>
  <si>
    <t>J10, J13, J15, J19, J21, J22</t>
  </si>
  <si>
    <t>J11, J12</t>
  </si>
  <si>
    <t>J14</t>
  </si>
  <si>
    <t>J16, J17</t>
  </si>
  <si>
    <t>J18, J20</t>
  </si>
  <si>
    <t>J23, J24</t>
  </si>
  <si>
    <t>J25, J35</t>
  </si>
  <si>
    <t>J26, J30</t>
  </si>
  <si>
    <t>J27, J31</t>
  </si>
  <si>
    <t>J28, J32</t>
  </si>
  <si>
    <t>J29, J33</t>
  </si>
  <si>
    <t>J34</t>
  </si>
  <si>
    <t>J36</t>
  </si>
  <si>
    <t>L1</t>
  </si>
  <si>
    <t>L2</t>
  </si>
  <si>
    <t>LED1, LED2, LED3, LED5, LED17</t>
  </si>
  <si>
    <t>LED4</t>
  </si>
  <si>
    <t>LED6, LED16</t>
  </si>
  <si>
    <t>LED7, LED8, LED9, LED10, LED11, LED12, LED13, LED14, LED15</t>
  </si>
  <si>
    <t>Q1</t>
  </si>
  <si>
    <t>Q2</t>
  </si>
  <si>
    <t>Q3, Q8, Q9, Q10, Q11</t>
  </si>
  <si>
    <t>Q4, Q5, Q6, Q7</t>
  </si>
  <si>
    <t>Q12</t>
  </si>
  <si>
    <t>Q13, Q14, Q15, Q16, Q17, Q18</t>
  </si>
  <si>
    <t>R1, R4, R5</t>
  </si>
  <si>
    <t>R2</t>
  </si>
  <si>
    <t>R3</t>
  </si>
  <si>
    <t>R6</t>
  </si>
  <si>
    <t>R7</t>
  </si>
  <si>
    <t>R8</t>
  </si>
  <si>
    <t>R9, R55, R128, R133, R142, R144</t>
  </si>
  <si>
    <t>R10, R11, R12, R13, R14, R15, R16, R17, R18, R19, R20, R21, R22, R23, R24, R25, R26, R27, R28, R29, R30, R31, R32, R33, R34, R35, R36, R37, R38, R39, R40, R41, R42, R43, R44, R45, R46, R47, R48, R49, R51, R52, R54, R59, R60, R61, R62, R63, R64, R65, R66, R67, R68, R69, R70, R71, R72, R73, R74, R75, R76, R77, R78, R79, R80, R81, R82, R83, R84, R85, R86, R87, R88, R89, R90, R91, R92, R93, R94, R95, R96, R97, R98, R99, R100, R101, R102, R103, R104, R105, R106, R107, R108, R109, R110, R111, R112, R113, R114, R115, R116, R117, R118, R151, R152, R154, R156, R157, R159, R160, R161, R162, R164, R165, R167, R168, R169, R172, R173, R174, R175, R176, R177, R178, R180, R182, R183, R185, R186, R187, R188, R189, R190, R191, R193, R194, R195, R197, R198, R208, R209, R210, R217, R218, R219, R221, R222, R223, R227, R228, R229, R233, R234, R249, R262, R264, R265, R266, R304, R305, R306, R308, R309, R323, R324, R325, R326, R327, R328, R336, R337, R338</t>
  </si>
  <si>
    <t>R50, R53, R56, R57, R119, R120, R121, R122, R123, R134, R141, R158, R170, R171, R181, R184, R196, R203, R204, R205, R206, R207, R212, R213, R214, R215, R216, R225, R231, R236, R237, R251, R259, R260, R261, R263, R267, R302, R313, R333, R334, R335</t>
  </si>
  <si>
    <t>R58, R138, R139, R163, R199, R200, R201, R202, R211, R220, R226, R232</t>
  </si>
  <si>
    <t>R124, R125, R126, R127</t>
  </si>
  <si>
    <t>R129, R132, R137</t>
  </si>
  <si>
    <t>R130, R131, R136, R140</t>
  </si>
  <si>
    <t>R135</t>
  </si>
  <si>
    <t>R143, R145, R147</t>
  </si>
  <si>
    <t>R146, R253, R255, R256, R272, R273, R274, R275, R276, R277, R280, R281, R285, R286, R291, R292</t>
  </si>
  <si>
    <t>R148</t>
  </si>
  <si>
    <t>R149</t>
  </si>
  <si>
    <t>R150</t>
  </si>
  <si>
    <t>R153, R155</t>
  </si>
  <si>
    <t>R166, R179, R192, R224, R230, R235</t>
  </si>
  <si>
    <t>R238, R239, R240, R241, R244, R245, R246, R247, R307</t>
  </si>
  <si>
    <t>R242, R248</t>
  </si>
  <si>
    <t>R243, R254, R257, R258</t>
  </si>
  <si>
    <t>R250</t>
  </si>
  <si>
    <t>R252</t>
  </si>
  <si>
    <t>R268, R269, R270, R271</t>
  </si>
  <si>
    <t>R278, R279, R282, R283, R287, R288, R293, R294</t>
  </si>
  <si>
    <t>R284, R289, R290, R295</t>
  </si>
  <si>
    <t>R296, R300, R303, R311, R314, R320</t>
  </si>
  <si>
    <t>R297, R298</t>
  </si>
  <si>
    <t>R299</t>
  </si>
  <si>
    <t>R301</t>
  </si>
  <si>
    <t>R310, R319, R329, R330, R331, R332</t>
  </si>
  <si>
    <t>R312</t>
  </si>
  <si>
    <t>R315</t>
  </si>
  <si>
    <t>R316</t>
  </si>
  <si>
    <t>R317</t>
  </si>
  <si>
    <t>R318</t>
  </si>
  <si>
    <t>R321, R322</t>
  </si>
  <si>
    <t>SW1, SW2, SW3, SW4, SW5, SW6, SW7</t>
  </si>
  <si>
    <t>SW8</t>
  </si>
  <si>
    <t>T1</t>
  </si>
  <si>
    <t>U1</t>
  </si>
  <si>
    <t>U2</t>
  </si>
  <si>
    <t>U3</t>
  </si>
  <si>
    <t>U4</t>
  </si>
  <si>
    <t>U5</t>
  </si>
  <si>
    <t>U6</t>
  </si>
  <si>
    <t>U7, U9</t>
  </si>
  <si>
    <t>U8</t>
  </si>
  <si>
    <t>U10, U11, U12</t>
  </si>
  <si>
    <t>U13, U14</t>
  </si>
  <si>
    <t>U15, U16, U17</t>
  </si>
  <si>
    <t>U18</t>
  </si>
  <si>
    <t>U19</t>
  </si>
  <si>
    <t>U20, U21, U22, U23, U24, U25, U26, U27</t>
  </si>
  <si>
    <t>U28</t>
  </si>
  <si>
    <t>U29</t>
  </si>
  <si>
    <t>U30</t>
  </si>
  <si>
    <t>U31</t>
  </si>
  <si>
    <t>U32</t>
  </si>
  <si>
    <t>X1, X3</t>
  </si>
  <si>
    <t>X2</t>
  </si>
  <si>
    <t>X4</t>
  </si>
  <si>
    <t>Description</t>
  </si>
  <si>
    <t>CAP ALUM 220UF 20% 50V SMD</t>
  </si>
  <si>
    <t>47uF 50V 66mA@120Hz ±20% SMD,D6.3xL7.7mm Aluminum Electrolytic Capacitors - SMD ROHS</t>
  </si>
  <si>
    <t>CAP CER 0.022UF 100V X7R 0805</t>
  </si>
  <si>
    <t>CAP CER 10UF 50V X5R 0805</t>
  </si>
  <si>
    <t>CAP CER 1UF 50V X5R 0603</t>
  </si>
  <si>
    <t>CAP CER 0.1UF 50V X7R 0603</t>
  </si>
  <si>
    <t>CAP CER 4.7UF 50V X7R 1206</t>
  </si>
  <si>
    <t>CAP CER 0.22UF 50V X7R 1206</t>
  </si>
  <si>
    <t>CAP CER 47UF 25V X5R 1206</t>
  </si>
  <si>
    <t>CAP CER 6.8PF 50V C0G/NPO 0402</t>
  </si>
  <si>
    <t>CAP CER 2.2UF 25V X5R 0402</t>
  </si>
  <si>
    <t>CAP CER 4.7UF 10V X5R 0402</t>
  </si>
  <si>
    <t>CAP CER 0.1UF 16V X7R 0402</t>
  </si>
  <si>
    <t>CAP CER 1UF 16V X5R 0402</t>
  </si>
  <si>
    <t>CAP CER 15PF 50V C0G/NPO 0201</t>
  </si>
  <si>
    <t>CAP CER 10UF 10V X5R 0402</t>
  </si>
  <si>
    <t>50V 470pF ±10% 0402 Multilayer Ceramic Capacitors MLCC - SMD/SMT ROHS</t>
  </si>
  <si>
    <t>CAP CER 1000PF 2KV X7R 1206</t>
  </si>
  <si>
    <t>CAP CER 10PF 50V C0G/NP0 0402</t>
  </si>
  <si>
    <t>CAP CER 0.022UF 16V X7R 0402</t>
  </si>
  <si>
    <t>CAP CER 30PF 50V C0G/NPO 0402</t>
  </si>
  <si>
    <t>CAP CER 10000PF 50V X7R 0603</t>
  </si>
  <si>
    <t>50V 6.8nF X7R ±10% 0603</t>
  </si>
  <si>
    <t>CAP CER 0.47UF 16V X7R 0603</t>
  </si>
  <si>
    <t>CAP CER 1000PF 25V X7R 0402</t>
  </si>
  <si>
    <t>CAP CER 2.2UF 16V X7R 1206</t>
  </si>
  <si>
    <t>CAP CER 470PF 50V X7R 0603</t>
  </si>
  <si>
    <t>CAP CER 22UF 25V X5R 0805</t>
  </si>
  <si>
    <t>CAP CER 270PF 50V C0G/NPO 0402</t>
  </si>
  <si>
    <t>CAP CER 100PF 50V C0G/NPO 0402</t>
  </si>
  <si>
    <t>CAP CER 12PF 50V C0G/NP0 0402</t>
  </si>
  <si>
    <t>CAP CER 1UF 25V X7R 0603</t>
  </si>
  <si>
    <t>CAP TANT 10UF 10% 35V 2312</t>
  </si>
  <si>
    <t>TVS DIODE 58VWM 93.6VC SMB</t>
  </si>
  <si>
    <t>26.7V 24V SOD-123 ESD and Surge Protection (TVS/ESD) ROHS</t>
  </si>
  <si>
    <t>TVS DIODE 26VWM 42.1VC SMB</t>
  </si>
  <si>
    <t>6V 5V SOD-123 ESD and Surge Protection (TVS/ESD) ROHS</t>
  </si>
  <si>
    <t>TVS SURGE PROTECTOR 1-CH 3.3V</t>
  </si>
  <si>
    <t>DIODE BIDIR ESD X4DFN2</t>
  </si>
  <si>
    <t>TVS DIODE 3VWM SOT323-5</t>
  </si>
  <si>
    <t>TVS DIODE 5.25VWM 17VC SOT23-6</t>
  </si>
  <si>
    <t>TVS DIODE 5VWM 11.6VC 1610</t>
  </si>
  <si>
    <t>TVS DIODE 3VWM ST0201</t>
  </si>
  <si>
    <t>TVS DIODE 24VWM 40VC SOT23-3</t>
  </si>
  <si>
    <t>SOT-23 TVS ROHS</t>
  </si>
  <si>
    <t>60V 700mV@1A 1A SMA(DO-214AC) Schottky Barrier Diodes (SBD) ROHS</t>
  </si>
  <si>
    <t>DIODE ZENER 16V 1.5W SMA</t>
  </si>
  <si>
    <t>DIODE GEN PURP 100V 300MA SOD123</t>
  </si>
  <si>
    <t>DIODE ZENER 3.3V 200MW SOD323F</t>
  </si>
  <si>
    <t>DIODE ZENER 3.9V 500MW SOD123</t>
  </si>
  <si>
    <t>DIODE SCHOTTKY 60V 3A SMA</t>
  </si>
  <si>
    <t>DIODE SCHOTTKY 60V 3A SMC</t>
  </si>
  <si>
    <t>PTC RESET FUSE 6V 1.1A 0805</t>
  </si>
  <si>
    <t>30V 30mA 20A 90mA 0603 Resettable Fuses ROHS</t>
  </si>
  <si>
    <t>FERRITE BEAD 600 OHM 0603 1LN</t>
  </si>
  <si>
    <t>FERRITE BEAD 220 OHM 0603 1LN</t>
  </si>
  <si>
    <t>FUSE HOLDER BLADE 80V PCB</t>
  </si>
  <si>
    <t>1x3P 18A -40℃~+105℃ 250V Orange 12~30 Direct Insert 5.08mm 2.5 1 3 Plugin,P=5.08mm Screw Terminal Blocks ROHS</t>
  </si>
  <si>
    <t>CABLE ADAPTER 6 POS</t>
  </si>
  <si>
    <t>Gold 250V 3A Straight Square Pins 2.5mm 3P 260℃ 6mm -40℃~+105℃ 3mm 2.54mm Plugin Black Brass 1x3P Plugin,P=2.54mm Pin Headers ROHS</t>
  </si>
  <si>
    <t>RJ45 RJReceptacle 1 有屏蔽 Right-Angle 260℃ Gold Phosphor bronze WithLED -40℃~+85℃ Plugin Ethernet Connectors/Modular Connectors (RJ45 RJ11) ROHS</t>
  </si>
  <si>
    <t>3A 1 5P Mother -40℃~+85℃ Micro-B SMD USB Connectors ROHS</t>
  </si>
  <si>
    <t>5A 1 16P Mother -25℃~+85℃ Type-C SMD USB Connectors ROHS</t>
  </si>
  <si>
    <t>RJ45Receptacle Unshielded 1 Bend-in Gold Phosphor Bronze Without LED -40℃~+85℃ Plugin Ethernet Connectors / Modular Connectors (RJ45 RJ11) ROHS</t>
  </si>
  <si>
    <t>Gold 250V 3A Straight Square Pins 2.5mm 2P 260℃ 6mm -40℃~+105℃ 3mm 2.54mm Plugin Black Brass 1x2P Plugin,P=2.54mm Pin Headers ROHS</t>
  </si>
  <si>
    <t>1x3P 18A -40℃~+105℃ 250V Black 12~30 Straight pin 5.08mm 2.5 1 3 Plugin,P=5.08mm Screw terminal ROHS</t>
  </si>
  <si>
    <t>RJ45Receptacle 4 Unshielded Bend-in Gold Phosphor Bronze Without LED -40℃~+85℃ Plugin Ethernet Connectors / Modular Connectors (RJ45 RJ11) ROHS</t>
  </si>
  <si>
    <t>1x3P 18A -40℃~+105℃ 250V Green 12~30 Direct Insert 5.08mm 2.5 1 3 Plugin,P=5.08mm Screw Terminal Blocks ROHS</t>
  </si>
  <si>
    <t>1x3P 20A -40℃~+105℃ 300V Gray 12~30 Direct Insert 5.08mm 1~2.5 1 3 Plugin,P=5.08mm Screw Terminal Blocks ROHS</t>
  </si>
  <si>
    <t>RJ45 RJReceptacle 1 WithLED Plugin Ethernet Connectors/Modular Connectors (RJ45 RJ11) ROHS</t>
  </si>
  <si>
    <t>1x5P 20A -40℃~+105℃ 300V Green 12~30 Direct Insert 5.08mm 2.5 1 5 Plugin,P=5.08mm Screw Terminal Blocks ROHS</t>
  </si>
  <si>
    <t>1x2P 18A -40℃~+105℃ 250V Orange 12~30 Straight 5.08mm 2.5 1 2 Plugin,P=5.08mm Screw terminal ROHS</t>
  </si>
  <si>
    <t>1x2P 20A -40℃~+105℃ 300V Gray 12~30 Straight 5.08mm 1~2.5 1 2 Plugin,P=5.08mm Screw terminal ROHS</t>
  </si>
  <si>
    <t>1x2P 18A -40℃~+105℃ 250V Green 12~30 Straight 5.08mm 2.5 1 2 Plugin,P=5.08mm Screw terminal ROHS</t>
  </si>
  <si>
    <t>1x2P 18A -40℃~+105℃ 250V Black 12~30 Straight pin 5.08mm 2.5 1 2 Plugin,P=5.08mm Screw terminal ROHS</t>
  </si>
  <si>
    <t>1x12P -40℃~+105℃ 15A 300V Blue 12~24 Direct Insert 5mm 1 12 Plugin,P=5mm Screw Terminal Blocks ROHS</t>
  </si>
  <si>
    <t>1x12P 20A -40℃~+105℃ 300V Green 12~30 Direct Insert 5.08mm 2.5 1 12 Plugin,P=5.08mm Screw Terminal Blocks ROHS</t>
  </si>
  <si>
    <t>FIXED IND 15UH 9A 28 MOHM SMD</t>
  </si>
  <si>
    <t>Coupled Inductors 33uH Shld 20% 2.25A 150mOhms</t>
  </si>
  <si>
    <t>RED LED 0603 Light Emitting Diodes</t>
  </si>
  <si>
    <t>yellow 0603 Light Emitting Diodes (LED) ROHS</t>
  </si>
  <si>
    <t>Emerald 0603 Light Emitting Diodes (LED) ROHS</t>
  </si>
  <si>
    <t>Plugin,D=5mm RGB LEDs ROHS</t>
  </si>
  <si>
    <t>MOSFET N-CH 60V 15A PWRDI3333</t>
  </si>
  <si>
    <t>N-CHANNEL 20-V (D-S) MOSFET</t>
  </si>
  <si>
    <t>40V 200mW 100 200mA NPN SOT-23 Bipolar (BJT) ROHS</t>
  </si>
  <si>
    <t>Trans Mosfet P-ch 30V 4A 3-PIN SOT-23 T/r</t>
  </si>
  <si>
    <t>TRANS NPN 40V 0.2A SOT223</t>
  </si>
  <si>
    <t>NPN 246mW 100mA 50V SOT-23 Digital Transistors ROHS</t>
  </si>
  <si>
    <t>RES SMD 100K OHM 0.1% 1/16W 0402</t>
  </si>
  <si>
    <t>RES 3.9K OHM 1% 1/16W 0402</t>
  </si>
  <si>
    <t>RES SMD 698K OHM 0.1% 1/8W 0805</t>
  </si>
  <si>
    <t>RES SMD 51.1K OHM 0.1% 1/8W 0805</t>
  </si>
  <si>
    <t>RES SMD 24.9KOHM 0.1% 1/16W 0402</t>
  </si>
  <si>
    <t>RES 499 OHM 1% 1/16W 0402</t>
  </si>
  <si>
    <t>RES 240 OHM 1% 1/16W 0402</t>
  </si>
  <si>
    <t>RES 0 OHM JUMPER 1/16W 0402</t>
  </si>
  <si>
    <t>RES 10K OHM 1% 1/16W 0402</t>
  </si>
  <si>
    <t>RES 75 OHM 5% 1/16W 0402</t>
  </si>
  <si>
    <t>RES SMD 49.9 OHM 1% 1/20W 0201</t>
  </si>
  <si>
    <t>RES 33 OHM 1% 1/16W 0402</t>
  </si>
  <si>
    <t>RES SMD 12.1K OHM 1/10W 0603</t>
  </si>
  <si>
    <t>RES 47K OHM 1% 1/16W 0402</t>
  </si>
  <si>
    <t>RES 4.7K OHM 1% 1/16W 0402</t>
  </si>
  <si>
    <t>RES 2K OHM 1% 1/16W 0402</t>
  </si>
  <si>
    <t>RES 22.1K OHM 1% 1/10W 0603</t>
  </si>
  <si>
    <t>RES 47.5K OHM 1% 1/10W 0603</t>
  </si>
  <si>
    <t>RES 5.1K OHM 1% 1/16W 0402</t>
  </si>
  <si>
    <t>RES 120 OHM 1% 1/10W 0603</t>
  </si>
  <si>
    <t>RES 49.9 OHM 1% 1/10W 0603</t>
  </si>
  <si>
    <t>RESISTOR 0402 JUMPER ZERO OHM</t>
  </si>
  <si>
    <t>RES  SMD 330R 100 mW 0603</t>
  </si>
  <si>
    <t>RES SMD 12.1KOHM 0.1% 1/16W 0402</t>
  </si>
  <si>
    <t>RES 20K OHM 1% 1/16W 0402</t>
  </si>
  <si>
    <t>62.5mW Thick Film Resistors 50V ±100ppm/℃ ±1% 4.3kΩ 0402 Chip Resistor - Surface Mount ROHS</t>
  </si>
  <si>
    <t>RES 120 OHM 5% 1/10W 0603</t>
  </si>
  <si>
    <t>RES 0 OHM JUMPER 1/8W 0805</t>
  </si>
  <si>
    <t>RES 200 OHM 1% 1/8W 0805</t>
  </si>
  <si>
    <t>RES SMD 20 OHM 0.1% 1/16W 0402</t>
  </si>
  <si>
    <t>RES 100 OHM 1% 1/16W 0402</t>
  </si>
  <si>
    <t>RES SMD 422K OHM 0.1% 1/8W 0805</t>
  </si>
  <si>
    <t>RES 49.9K OHM 1% 1/8W 0805</t>
  </si>
  <si>
    <t>RES SMD 412K OHM 0.1% 1/8W 0805</t>
  </si>
  <si>
    <t>RES SMD 1.6K OHM 0.1% 1/16W 0402</t>
  </si>
  <si>
    <t>RES SMD 58.3KOHM 0.1% 1/16W 0402</t>
  </si>
  <si>
    <t>RES 1K OHM 1% 1/16W 0402</t>
  </si>
  <si>
    <t>SWITCH TACTILE SPST-NO 0.05A 12V</t>
  </si>
  <si>
    <t>3 positions SPST Black Flat Toggle, Raised Style SMD-6P,6x7.6mm DIP Switches ROHS</t>
  </si>
  <si>
    <t>XFRMR MAGNETIC 1PORT 1:1 10/100</t>
  </si>
  <si>
    <t>OR Controller N+1 ORing Controller N-Channel 1:1 SOT-23-6</t>
  </si>
  <si>
    <t>IC REG BUCK ADJ 4A 13WQFN</t>
  </si>
  <si>
    <t>IC REG LINEAR 3.3V 1.3A 6DFN</t>
  </si>
  <si>
    <t>IC MCU 32BIT 1MB FLASH 144LQFP</t>
  </si>
  <si>
    <t>IC TRANSCEIVER 1/1 24SQFN</t>
  </si>
  <si>
    <t>IC PWR SWITCH N-CHAN 1:1 SOT23-5</t>
  </si>
  <si>
    <t>6A 12V 150W 6V Unidirectional 5V SOT-23-6 ESD and Surge Protection (TVS/ESD) ROHS</t>
  </si>
  <si>
    <t>Full Speed USB to UART Bridge USB 2.0 3.3V T/R Automotive 28-Pin QFN EP</t>
  </si>
  <si>
    <t>IC TRANSCEIVER HALF 1/1 8SOIC</t>
  </si>
  <si>
    <t>IC TRANSCEIVER FULL 1/1 16VQFN</t>
  </si>
  <si>
    <t>2/3-PORT ETHERCAT SLAVE CTLR</t>
  </si>
  <si>
    <t>IC EEPROM 256KBIT I2C 1MHZ 8SOIC</t>
  </si>
  <si>
    <t>70V 5kV 50mA 100mV@1mA,20mA 1 6V 1.2V DC SMD-4 Transistor Output Optocoupler ROHS</t>
  </si>
  <si>
    <t>IC DAC 16BIT 16WQFN</t>
  </si>
  <si>
    <t>IC REG BCK SPLIT RAIL ADJ 8SOPWR</t>
  </si>
  <si>
    <t>IC OPAMP GP 4 CIRCUIT 14TSSOP</t>
  </si>
  <si>
    <t>IC DAC 16BIT V-OUT 14VQFN</t>
  </si>
  <si>
    <t>IC VREF SERIES 0.05% 8VSSOP</t>
  </si>
  <si>
    <t>CRYSTAL 25.0000MHZ 12PF SMD</t>
  </si>
  <si>
    <t>CRYSTAL 32.7680KHZ 12.5PF SMD</t>
  </si>
  <si>
    <t>25MHz 贴片晶振 18pF ±10ppm ±20ppm SMD3225-4P Crystals ROHS</t>
  </si>
  <si>
    <t>Footprint</t>
  </si>
  <si>
    <t>RVT1H470M0607</t>
  </si>
  <si>
    <t>Cap-0805</t>
  </si>
  <si>
    <t>Cap-0603</t>
  </si>
  <si>
    <t>Cap-1206</t>
  </si>
  <si>
    <t>Cap-0402</t>
  </si>
  <si>
    <t>Cap-0201</t>
  </si>
  <si>
    <t>Case-C</t>
  </si>
  <si>
    <t>SMB_</t>
  </si>
  <si>
    <t>SOD-123</t>
  </si>
  <si>
    <t>DFN-2(0.3x0.6)</t>
  </si>
  <si>
    <t>SOT-323-5</t>
  </si>
  <si>
    <t>SOT-23-6</t>
  </si>
  <si>
    <t>Diode 1610</t>
  </si>
  <si>
    <t>Diode-0201</t>
  </si>
  <si>
    <t>SOT-23</t>
  </si>
  <si>
    <t>SMA</t>
  </si>
  <si>
    <t>SOD323F</t>
  </si>
  <si>
    <t>SMA(DO-214AC)</t>
  </si>
  <si>
    <t>SMC</t>
  </si>
  <si>
    <t>Fuse-0805</t>
  </si>
  <si>
    <t>Fuse-0603</t>
  </si>
  <si>
    <t>IND-0603 (1608 Metric)</t>
  </si>
  <si>
    <t>178.6165.0002</t>
  </si>
  <si>
    <t>DB128L-5.08-3P-OG-S</t>
  </si>
  <si>
    <t>HDR1X3_</t>
  </si>
  <si>
    <t>X12ADAB1A3DY1027</t>
  </si>
  <si>
    <t>U-E-051N-4BH21-S1B</t>
  </si>
  <si>
    <t>U263-163N-4BQC65</t>
  </si>
  <si>
    <t>X10ADIWK1DY1006</t>
  </si>
  <si>
    <t>HDR1X2_</t>
  </si>
  <si>
    <t>DB128L-5.08-3P-BK-S</t>
  </si>
  <si>
    <t>X14CBIWB1DY1027</t>
  </si>
  <si>
    <t>DB128L-5.08-3P-GN-S</t>
  </si>
  <si>
    <t>DB128L-5.08-3P-GY-S</t>
  </si>
  <si>
    <t>HR911105A</t>
  </si>
  <si>
    <t>DB128V-5.08-5P-GN-S</t>
  </si>
  <si>
    <t>DB128L-5.08-2P-OG-S</t>
  </si>
  <si>
    <t>DB128L-5.08-2P-GY-S</t>
  </si>
  <si>
    <t>DB128L-5.08-2P-GN-S</t>
  </si>
  <si>
    <t>DB128L-5.08-2P-BK-S</t>
  </si>
  <si>
    <t>JL301-50012U01</t>
  </si>
  <si>
    <t>DB128V-5.08-12P-GN-S</t>
  </si>
  <si>
    <t>SRP1265A-150M</t>
  </si>
  <si>
    <t>MSD1278-333MLD</t>
  </si>
  <si>
    <t>LED-0603</t>
  </si>
  <si>
    <t>WS2812D-F5</t>
  </si>
  <si>
    <t>PowerDI-3333-8</t>
  </si>
  <si>
    <t>Sot-23</t>
  </si>
  <si>
    <t>PZT3904T1G</t>
  </si>
  <si>
    <t>Res-0402</t>
  </si>
  <si>
    <t>RES-0805</t>
  </si>
  <si>
    <t>Res-0201</t>
  </si>
  <si>
    <t>Res-0603</t>
  </si>
  <si>
    <t>Res-0805</t>
  </si>
  <si>
    <t>B3U-1000P</t>
  </si>
  <si>
    <t>DSIC03LSGET</t>
  </si>
  <si>
    <t>13-WQFN-HR (3x2)</t>
  </si>
  <si>
    <t>DFN-6(3x3)</t>
  </si>
  <si>
    <t>LQFP-144(20x20)</t>
  </si>
  <si>
    <t>24-QFN (4x4)</t>
  </si>
  <si>
    <t>SOT-23-5</t>
  </si>
  <si>
    <t>28-QFN (5x5)_</t>
  </si>
  <si>
    <t>SOIC-8(0.154", 3.90mm Width)</t>
  </si>
  <si>
    <t>16-QFN (3x3).</t>
  </si>
  <si>
    <t>QFN-64-EP(9x9)</t>
  </si>
  <si>
    <t>CAT24C256WI-GT3</t>
  </si>
  <si>
    <t>PC817C</t>
  </si>
  <si>
    <t>16-WQFN (4x4)</t>
  </si>
  <si>
    <t>8-SO PowerPad</t>
  </si>
  <si>
    <t>14-TSSOP</t>
  </si>
  <si>
    <t>14-VQFN (3.5x3.5)</t>
  </si>
  <si>
    <t>VSSOP-8-0.65mm</t>
  </si>
  <si>
    <t>Q22FA12800090</t>
  </si>
  <si>
    <t>SMD3225-4P</t>
  </si>
  <si>
    <t>Manufacturer Part Number</t>
  </si>
  <si>
    <t>UCD1H221MNL1GS</t>
  </si>
  <si>
    <t>CC0805JRX7R0BB223</t>
  </si>
  <si>
    <t>GRM21BR61H106ME43L</t>
  </si>
  <si>
    <t>CL10A105KB8NNNC</t>
  </si>
  <si>
    <t>UMK316AB7475KL-T</t>
  </si>
  <si>
    <t>CC1206JKX7R9BB224</t>
  </si>
  <si>
    <t>GRM31CR61E476ME44L</t>
  </si>
  <si>
    <t>CC0402CRNPO9BN6R8</t>
  </si>
  <si>
    <t>GRM155R61E225KE11D</t>
  </si>
  <si>
    <t>CC0402KRX5R6BB475</t>
  </si>
  <si>
    <t>CC0402JRX7R7BB104</t>
  </si>
  <si>
    <t>CC0402KRX5R7BB105</t>
  </si>
  <si>
    <t>CC0201JRNPO9BN150</t>
  </si>
  <si>
    <t>CC0402MRX5R6BB106</t>
  </si>
  <si>
    <t>GRM155R11H471KA01D</t>
  </si>
  <si>
    <t>CC1206KKX7RDBB102</t>
  </si>
  <si>
    <t>GRM1555C1H100JA01D</t>
  </si>
  <si>
    <t>CC0402JRX7R7BB223</t>
  </si>
  <si>
    <t>CC0402GRNPO9BN300</t>
  </si>
  <si>
    <t>CC0603KRX7R9BB103</t>
  </si>
  <si>
    <t>0603B682K500NT</t>
  </si>
  <si>
    <t>GRM188R71C474KA88D</t>
  </si>
  <si>
    <t>CC0402KRX7R8BB102</t>
  </si>
  <si>
    <t>CC1206KKX7R7BB225</t>
  </si>
  <si>
    <t>CC0603KPX7R9BB471</t>
  </si>
  <si>
    <t>CC0805MKX5R8BB226</t>
  </si>
  <si>
    <t>CC0402JRNPO9BN271</t>
  </si>
  <si>
    <t>CC0402JRNPO9BN101</t>
  </si>
  <si>
    <t>GJM1555C1H120GB01D</t>
  </si>
  <si>
    <t>C1608X7R1E105K080AB</t>
  </si>
  <si>
    <t>TAJC106K035RNJ</t>
  </si>
  <si>
    <t>SMBJ58A-13-F</t>
  </si>
  <si>
    <t>AZ4024-01G</t>
  </si>
  <si>
    <t>SMBJ26A-13-F</t>
  </si>
  <si>
    <t>AZ3005-01G</t>
  </si>
  <si>
    <t>AZ3003-01G</t>
  </si>
  <si>
    <t>ESDM2033MX4T5G</t>
  </si>
  <si>
    <t>ESDALC6V1W5</t>
  </si>
  <si>
    <t>ESDA7P60-1U1M</t>
  </si>
  <si>
    <t>ESDALC6V1-1U2</t>
  </si>
  <si>
    <t>CDSOT23-T24CAN-Q</t>
  </si>
  <si>
    <t>SM712</t>
  </si>
  <si>
    <t>SS16</t>
  </si>
  <si>
    <t>1SMA5930BT3G</t>
  </si>
  <si>
    <t>1N4148W-7-F</t>
  </si>
  <si>
    <t>MM3Z3V3B</t>
  </si>
  <si>
    <t>MMSZ4686T1G</t>
  </si>
  <si>
    <t>B360A-13-F</t>
  </si>
  <si>
    <t>B360-13-F</t>
  </si>
  <si>
    <t>0805L110SLYR</t>
  </si>
  <si>
    <t>SMD0603-003/30N</t>
  </si>
  <si>
    <t>BLM18HG601SN1D</t>
  </si>
  <si>
    <t>BLM18PG221SN1D</t>
  </si>
  <si>
    <t>TC2030-IDC</t>
  </si>
  <si>
    <t>X6511WV-03H-C60D30</t>
  </si>
  <si>
    <t>X6511WV-02H-C60D30</t>
  </si>
  <si>
    <t>NCD0603R3</t>
  </si>
  <si>
    <t>NCD0603Y2</t>
  </si>
  <si>
    <t>NCD0603G2</t>
  </si>
  <si>
    <t>DMT6007LFG-7</t>
  </si>
  <si>
    <t>SI2302CDS</t>
  </si>
  <si>
    <t>MMBT3904</t>
  </si>
  <si>
    <t>AO3401A</t>
  </si>
  <si>
    <t>LMUN2211LT1G</t>
  </si>
  <si>
    <t>RT0402BRD07100KL</t>
  </si>
  <si>
    <t>RC0402FR-073K9L</t>
  </si>
  <si>
    <t>RT0805BRD07698KL</t>
  </si>
  <si>
    <t>RT0805BRD0751K1L</t>
  </si>
  <si>
    <t>RT0402BRD0724K9L</t>
  </si>
  <si>
    <t>RC0402FR-07499RL</t>
  </si>
  <si>
    <t>RC0402FR-07240RL</t>
  </si>
  <si>
    <t>RC0402FR-070RL</t>
  </si>
  <si>
    <t>RC0402FR-0710KL</t>
  </si>
  <si>
    <t>RC0402JR-0775RL</t>
  </si>
  <si>
    <t>RC0201FR-0749R9L</t>
  </si>
  <si>
    <t>RC0402FR-0733RL</t>
  </si>
  <si>
    <t>RT0603CRD0712K1L</t>
  </si>
  <si>
    <t>RC0402FR-0747KL</t>
  </si>
  <si>
    <t>RC0402FR-074K7L</t>
  </si>
  <si>
    <t>RC0402FR-072KL</t>
  </si>
  <si>
    <t>RC0603FR-0722K1L</t>
  </si>
  <si>
    <t>RC0603FR-0747K5L</t>
  </si>
  <si>
    <t>RC0402FR-075K1L</t>
  </si>
  <si>
    <t>RC0603FR-07120RL</t>
  </si>
  <si>
    <t>RC0603FR-0749R9L</t>
  </si>
  <si>
    <t>AC0402FR-070RL</t>
  </si>
  <si>
    <t>RC0603JR-07330RL</t>
  </si>
  <si>
    <t>RT0402BRD0712K1L</t>
  </si>
  <si>
    <t>RC0402FR-0720KL</t>
  </si>
  <si>
    <t>0402WGF4301TCE</t>
  </si>
  <si>
    <t>RC0603JR-07120RL</t>
  </si>
  <si>
    <t>RC0805FR-070RL</t>
  </si>
  <si>
    <t>RC0805FR-07200RL</t>
  </si>
  <si>
    <t>RT0402BRD0720RL</t>
  </si>
  <si>
    <t>RC0402FR-07100RL</t>
  </si>
  <si>
    <t>RT0805BRD07422KL</t>
  </si>
  <si>
    <t>RC0805FR-0749K9L</t>
  </si>
  <si>
    <t>RT0805BRD07412KL</t>
  </si>
  <si>
    <t>RT0402BRD071K6L</t>
  </si>
  <si>
    <t>RT0402BRD0758K3L</t>
  </si>
  <si>
    <t>RC0402FR-071KL</t>
  </si>
  <si>
    <t>H1102NL</t>
  </si>
  <si>
    <t>LM74700QDBVRQ1</t>
  </si>
  <si>
    <t>LM60440AQRPKRQ1</t>
  </si>
  <si>
    <t>ST1L05APU33R</t>
  </si>
  <si>
    <t>STM32H723ZGT6</t>
  </si>
  <si>
    <t>LAN8742A-CZ-TR</t>
  </si>
  <si>
    <t>STMPS2161STR</t>
  </si>
  <si>
    <t>USBLC6-2SC6</t>
  </si>
  <si>
    <t>CP2102N-A02-GQFN28R</t>
  </si>
  <si>
    <t>TCAN3414DR</t>
  </si>
  <si>
    <t>TRSF3221EIRGTR</t>
  </si>
  <si>
    <t>THVD1449DR</t>
  </si>
  <si>
    <t>LAN9253-I/R4X</t>
  </si>
  <si>
    <t>DAC161S997RGHR</t>
  </si>
  <si>
    <t>TPS54360DDAR</t>
  </si>
  <si>
    <t>OPA4192IPWR</t>
  </si>
  <si>
    <t>DAC8832ICRGYT</t>
  </si>
  <si>
    <t>REF5050IDGKT</t>
  </si>
  <si>
    <t>NX3215SA-32.768K-STD-MUA-8</t>
  </si>
  <si>
    <t>X322525MRB4SI</t>
  </si>
  <si>
    <t>Manufacturer</t>
  </si>
  <si>
    <t>Nichicon</t>
  </si>
  <si>
    <t>ROQANG</t>
  </si>
  <si>
    <t>Yageo</t>
  </si>
  <si>
    <t>Murata</t>
  </si>
  <si>
    <t>Samsung</t>
  </si>
  <si>
    <t>Taiyo Yuden</t>
  </si>
  <si>
    <t>Murata Electronics</t>
  </si>
  <si>
    <t>FH</t>
  </si>
  <si>
    <t>TDK</t>
  </si>
  <si>
    <t>Kyocera AVX</t>
  </si>
  <si>
    <t>AMAZING</t>
  </si>
  <si>
    <t>Amazing</t>
  </si>
  <si>
    <t>ON Semiconductor</t>
  </si>
  <si>
    <t>STMicroelectronics</t>
  </si>
  <si>
    <t>Bourns</t>
  </si>
  <si>
    <t>TECH PUBLIC</t>
  </si>
  <si>
    <t>MDD</t>
  </si>
  <si>
    <t>onsemi</t>
  </si>
  <si>
    <t>ON Semiconductor / Fairchild</t>
  </si>
  <si>
    <t>Littelfuse</t>
  </si>
  <si>
    <t>BHFUSE</t>
  </si>
  <si>
    <t>Littelfuse Wickmann</t>
  </si>
  <si>
    <t>DORABO</t>
  </si>
  <si>
    <t>Tag-Connect</t>
  </si>
  <si>
    <t>XKB</t>
  </si>
  <si>
    <t>XKB Connectivity</t>
  </si>
  <si>
    <t>XKB Connection</t>
  </si>
  <si>
    <t>DIBO</t>
  </si>
  <si>
    <t>HANRUN</t>
  </si>
  <si>
    <t>JILN</t>
  </si>
  <si>
    <t>Coilcraft</t>
  </si>
  <si>
    <t>Foshan NationStar Optoelectronics</t>
  </si>
  <si>
    <t>Worldsemi</t>
  </si>
  <si>
    <t>ElecSuper</t>
  </si>
  <si>
    <t>Alpha &amp; Omega Semiconductor</t>
  </si>
  <si>
    <t>LRC</t>
  </si>
  <si>
    <t>Royal Electronic Factory</t>
  </si>
  <si>
    <t>Omron</t>
  </si>
  <si>
    <t>DongGuan KINGTEK Industrial Co.,LTD</t>
  </si>
  <si>
    <t>Pulse</t>
  </si>
  <si>
    <t>Texas Instruments</t>
  </si>
  <si>
    <t>Microchip</t>
  </si>
  <si>
    <t>Silicon Labs</t>
  </si>
  <si>
    <t>Slkor</t>
  </si>
  <si>
    <t>Seiko Epson</t>
  </si>
  <si>
    <t>NDK</t>
  </si>
  <si>
    <t>YXC</t>
  </si>
  <si>
    <t>LCSC Part Number</t>
  </si>
  <si>
    <t>C116211</t>
  </si>
  <si>
    <t>C72523</t>
  </si>
  <si>
    <t>C576993</t>
  </si>
  <si>
    <t>C2190942</t>
  </si>
  <si>
    <t>C15849</t>
  </si>
  <si>
    <t>C307348</t>
  </si>
  <si>
    <t>C92853</t>
  </si>
  <si>
    <t>C403725</t>
  </si>
  <si>
    <t>C189470</t>
  </si>
  <si>
    <t>C385032</t>
  </si>
  <si>
    <t>C541464</t>
  </si>
  <si>
    <t>C325464</t>
  </si>
  <si>
    <t>C277480</t>
  </si>
  <si>
    <t>C962143</t>
  </si>
  <si>
    <t>C576458</t>
  </si>
  <si>
    <t>C23631</t>
  </si>
  <si>
    <t>C76946</t>
  </si>
  <si>
    <t>C541459</t>
  </si>
  <si>
    <t>C277479</t>
  </si>
  <si>
    <t>C100042</t>
  </si>
  <si>
    <t>C1631</t>
  </si>
  <si>
    <t>C86019</t>
  </si>
  <si>
    <t>C541372</t>
  </si>
  <si>
    <t>C107183</t>
  </si>
  <si>
    <t>C784585</t>
  </si>
  <si>
    <t>C107003</t>
  </si>
  <si>
    <t>C106200</t>
  </si>
  <si>
    <t>C161305</t>
  </si>
  <si>
    <t>C7211</t>
  </si>
  <si>
    <t>C135085</t>
  </si>
  <si>
    <t>C135062</t>
  </si>
  <si>
    <t>-</t>
  </si>
  <si>
    <t>C703691</t>
  </si>
  <si>
    <t>C111212</t>
  </si>
  <si>
    <t>C1975146</t>
  </si>
  <si>
    <t>C350941</t>
  </si>
  <si>
    <t>C521963</t>
  </si>
  <si>
    <t>C2481</t>
  </si>
  <si>
    <t>C128848</t>
  </si>
  <si>
    <t>C83528</t>
  </si>
  <si>
    <t>C2978865</t>
  </si>
  <si>
    <t>C236098</t>
  </si>
  <si>
    <t>C94193</t>
  </si>
  <si>
    <t>C110487</t>
  </si>
  <si>
    <t>C207024</t>
  </si>
  <si>
    <t>C2687870</t>
  </si>
  <si>
    <t>C85830</t>
  </si>
  <si>
    <t>C80165</t>
  </si>
  <si>
    <t>C207061</t>
  </si>
  <si>
    <t>C430604</t>
  </si>
  <si>
    <t>C706875</t>
  </si>
  <si>
    <t>C2916459</t>
  </si>
  <si>
    <t>C319153</t>
  </si>
  <si>
    <t>C2938598</t>
  </si>
  <si>
    <t>C2916456</t>
  </si>
  <si>
    <t>C706874</t>
  </si>
  <si>
    <t>C430602</t>
  </si>
  <si>
    <t>C2931489</t>
  </si>
  <si>
    <t>C395869</t>
  </si>
  <si>
    <t>C500022</t>
  </si>
  <si>
    <t>C12074</t>
  </si>
  <si>
    <t>C2927513</t>
  </si>
  <si>
    <t>C430603</t>
  </si>
  <si>
    <t>C500021</t>
  </si>
  <si>
    <t>C395868</t>
  </si>
  <si>
    <t>C430601</t>
  </si>
  <si>
    <t>C1509686</t>
  </si>
  <si>
    <t>C2927515</t>
  </si>
  <si>
    <t>C189912</t>
  </si>
  <si>
    <t>C20417040</t>
  </si>
  <si>
    <t>C3151730</t>
  </si>
  <si>
    <t>C89811</t>
  </si>
  <si>
    <t>C87326</t>
  </si>
  <si>
    <t>C190565</t>
  </si>
  <si>
    <t>C2802568</t>
  </si>
  <si>
    <t>C5310968</t>
  </si>
  <si>
    <t>C5249683</t>
  </si>
  <si>
    <t>C181091</t>
  </si>
  <si>
    <t>C232396</t>
  </si>
  <si>
    <t>C12775</t>
  </si>
  <si>
    <t>C852472</t>
  </si>
  <si>
    <t>C131467</t>
  </si>
  <si>
    <t>C865618</t>
  </si>
  <si>
    <t>C865541</t>
  </si>
  <si>
    <t>C852664</t>
  </si>
  <si>
    <t>C137970</t>
  </si>
  <si>
    <t>C114755</t>
  </si>
  <si>
    <t>C106231</t>
  </si>
  <si>
    <t>C60490</t>
  </si>
  <si>
    <t>C137841</t>
  </si>
  <si>
    <t>C155744</t>
  </si>
  <si>
    <t>C138002</t>
  </si>
  <si>
    <t>C705893</t>
  </si>
  <si>
    <t>C93943</t>
  </si>
  <si>
    <t>C105871</t>
  </si>
  <si>
    <t>C60488</t>
  </si>
  <si>
    <t>C137768</t>
  </si>
  <si>
    <t>C137715</t>
  </si>
  <si>
    <t>C105872</t>
  </si>
  <si>
    <t>C114640</t>
  </si>
  <si>
    <t>C114625</t>
  </si>
  <si>
    <t>C226739</t>
  </si>
  <si>
    <t>C105879</t>
  </si>
  <si>
    <t>C281773</t>
  </si>
  <si>
    <t>C93942</t>
  </si>
  <si>
    <t>C25899</t>
  </si>
  <si>
    <t>C114681</t>
  </si>
  <si>
    <t>C114567</t>
  </si>
  <si>
    <t>C852630</t>
  </si>
  <si>
    <t>C106232</t>
  </si>
  <si>
    <t>C865483</t>
  </si>
  <si>
    <t>C114540</t>
  </si>
  <si>
    <t>C865478</t>
  </si>
  <si>
    <t>C852616</t>
  </si>
  <si>
    <t>C852851</t>
  </si>
  <si>
    <t>C106235</t>
  </si>
  <si>
    <t>C231329</t>
  </si>
  <si>
    <t>C57453</t>
  </si>
  <si>
    <t>C18584</t>
  </si>
  <si>
    <t>C2941042</t>
  </si>
  <si>
    <t>C3187981</t>
  </si>
  <si>
    <t>C283488</t>
  </si>
  <si>
    <t>C730146</t>
  </si>
  <si>
    <t>C621424</t>
  </si>
  <si>
    <t>C361034</t>
  </si>
  <si>
    <t>C2827654</t>
  </si>
  <si>
    <t>C964632</t>
  </si>
  <si>
    <t>C22396693</t>
  </si>
  <si>
    <t>C2861230</t>
  </si>
  <si>
    <t>C3235059</t>
  </si>
  <si>
    <t>C2936043</t>
  </si>
  <si>
    <t>C90500</t>
  </si>
  <si>
    <t>C44377</t>
  </si>
  <si>
    <t>C2057935</t>
  </si>
  <si>
    <t>C2876764</t>
  </si>
  <si>
    <t>C2156540</t>
  </si>
  <si>
    <t>C255883</t>
  </si>
  <si>
    <t>C156245</t>
  </si>
  <si>
    <t>220uF</t>
  </si>
  <si>
    <t>47uF</t>
  </si>
  <si>
    <t>22nF</t>
  </si>
  <si>
    <t>10uF</t>
  </si>
  <si>
    <t>1uF</t>
  </si>
  <si>
    <t>0.1uF</t>
  </si>
  <si>
    <t>4.7uF</t>
  </si>
  <si>
    <t>220nF</t>
  </si>
  <si>
    <t>6.8pF</t>
  </si>
  <si>
    <t>2.2uf</t>
  </si>
  <si>
    <t>15pF</t>
  </si>
  <si>
    <t>470pF</t>
  </si>
  <si>
    <t>1000pF</t>
  </si>
  <si>
    <t>10pF</t>
  </si>
  <si>
    <t>30pF</t>
  </si>
  <si>
    <t>10000pF</t>
  </si>
  <si>
    <t>6.8nF</t>
  </si>
  <si>
    <t>470nF</t>
  </si>
  <si>
    <t>1nF</t>
  </si>
  <si>
    <t>2.2uF</t>
  </si>
  <si>
    <t>22uF</t>
  </si>
  <si>
    <t>270pF</t>
  </si>
  <si>
    <t>100pF</t>
  </si>
  <si>
    <t>12pF</t>
  </si>
  <si>
    <t>15uH</t>
  </si>
  <si>
    <t>33uH</t>
  </si>
  <si>
    <t>100K</t>
  </si>
  <si>
    <t>3.9K</t>
  </si>
  <si>
    <t>698K</t>
  </si>
  <si>
    <t>51.1K</t>
  </si>
  <si>
    <t>24.9K</t>
  </si>
  <si>
    <t>499R</t>
  </si>
  <si>
    <t>240R</t>
  </si>
  <si>
    <t>0R</t>
  </si>
  <si>
    <t>10K</t>
  </si>
  <si>
    <t>75R</t>
  </si>
  <si>
    <t>49.9R</t>
  </si>
  <si>
    <t>DNP</t>
  </si>
  <si>
    <t>33R</t>
  </si>
  <si>
    <t>12.1K</t>
  </si>
  <si>
    <t>47K</t>
  </si>
  <si>
    <t>4.7K</t>
  </si>
  <si>
    <t>2K</t>
  </si>
  <si>
    <t>22.1K</t>
  </si>
  <si>
    <t>47.5K</t>
  </si>
  <si>
    <t>5.1K</t>
  </si>
  <si>
    <t>120R</t>
  </si>
  <si>
    <t>330R</t>
  </si>
  <si>
    <t>12.1k</t>
  </si>
  <si>
    <t>20K</t>
  </si>
  <si>
    <t>4.3K</t>
  </si>
  <si>
    <t>200R</t>
  </si>
  <si>
    <t>20R</t>
  </si>
  <si>
    <t>100R</t>
  </si>
  <si>
    <t>422k</t>
  </si>
  <si>
    <t>49.9K</t>
  </si>
  <si>
    <t>412K</t>
  </si>
  <si>
    <t>1.6K</t>
  </si>
  <si>
    <t>58.3K</t>
  </si>
  <si>
    <t>1K</t>
  </si>
  <si>
    <t>25MHz</t>
  </si>
  <si>
    <t>32.7680KHZ</t>
  </si>
  <si>
    <t>Quantity</t>
  </si>
  <si>
    <t>Bill of Materials for Project [Control-Boards-v2.0]</t>
  </si>
  <si>
    <t>Control-Boards-v2.0</t>
  </si>
  <si>
    <t>Tag Connect Cable</t>
  </si>
  <si>
    <t>Value</t>
  </si>
  <si>
    <t>Alternate Part Number</t>
  </si>
  <si>
    <t>Quantity (5 Boards)</t>
  </si>
  <si>
    <t>MOQ (5 Boards)</t>
  </si>
  <si>
    <t xml:space="preserve"> Links</t>
  </si>
  <si>
    <t>Unit Cost (5 Boards)</t>
  </si>
  <si>
    <t>Total Cost (5 Boards)</t>
  </si>
  <si>
    <t>Remarks</t>
  </si>
  <si>
    <t>DO NOT PLACE</t>
  </si>
  <si>
    <t>Custom</t>
  </si>
  <si>
    <t>CL10B104KB8WPNC</t>
  </si>
  <si>
    <t>USBLC6-4SC6</t>
  </si>
  <si>
    <t>C2170660</t>
  </si>
  <si>
    <t>C1974498</t>
  </si>
  <si>
    <t>C79987</t>
  </si>
  <si>
    <t>0.2438</t>
  </si>
  <si>
    <t>0.0273</t>
  </si>
  <si>
    <t>0.0122</t>
  </si>
  <si>
    <t>0.0037</t>
  </si>
  <si>
    <t>0.0056</t>
  </si>
  <si>
    <t>0.0440</t>
  </si>
  <si>
    <t>0.2797</t>
  </si>
  <si>
    <t>0.0015</t>
  </si>
  <si>
    <t>0.0176</t>
  </si>
  <si>
    <t>0.0016</t>
  </si>
  <si>
    <t>0.0038</t>
  </si>
  <si>
    <t>0.0010</t>
  </si>
  <si>
    <t>0.0235</t>
  </si>
  <si>
    <t>0.0044</t>
  </si>
  <si>
    <t>0.0119</t>
  </si>
  <si>
    <t>0.0020</t>
  </si>
  <si>
    <t>0.0028</t>
  </si>
  <si>
    <t>0.0021</t>
  </si>
  <si>
    <t>0.0150</t>
  </si>
  <si>
    <t>0.0011</t>
  </si>
  <si>
    <t>0.0295</t>
  </si>
  <si>
    <t>0.0664</t>
  </si>
  <si>
    <t>0.0023</t>
  </si>
  <si>
    <t>0.0112</t>
  </si>
  <si>
    <t>0.1015</t>
  </si>
  <si>
    <t>0.2670</t>
  </si>
  <si>
    <t>0.1283</t>
  </si>
  <si>
    <t>0.1385</t>
  </si>
  <si>
    <t>LCSC</t>
  </si>
  <si>
    <t>CC0603JRNPO9BN471</t>
  </si>
  <si>
    <t>C106211</t>
  </si>
  <si>
    <t>0.1435</t>
  </si>
  <si>
    <t>0.1617</t>
  </si>
  <si>
    <t>0.1649</t>
  </si>
  <si>
    <t>0.0466</t>
  </si>
  <si>
    <t>0.1345</t>
  </si>
  <si>
    <t>0.0344</t>
  </si>
  <si>
    <t>0.0186</t>
  </si>
  <si>
    <t>0.1778</t>
  </si>
  <si>
    <t>0.0141</t>
  </si>
  <si>
    <t>0.0398</t>
  </si>
  <si>
    <t>0.0339</t>
  </si>
  <si>
    <t>0.0711</t>
  </si>
  <si>
    <t>0.1381</t>
  </si>
  <si>
    <t>0.8078</t>
  </si>
  <si>
    <t>0.0415</t>
  </si>
  <si>
    <t>0.0198</t>
  </si>
  <si>
    <t>0.0073</t>
  </si>
  <si>
    <t>JLCPCB</t>
  </si>
  <si>
    <t>0.2674</t>
  </si>
  <si>
    <t>0.0400</t>
  </si>
  <si>
    <t>0.5511</t>
  </si>
  <si>
    <t>0.2021</t>
  </si>
  <si>
    <t>0.3247</t>
  </si>
  <si>
    <t>0.0289</t>
  </si>
  <si>
    <t>0.2839</t>
  </si>
  <si>
    <t>0.9235</t>
  </si>
  <si>
    <t>0.2640</t>
  </si>
  <si>
    <t>0.2623</t>
  </si>
  <si>
    <t>0.1851</t>
  </si>
  <si>
    <t>0.1791</t>
  </si>
  <si>
    <t>0.1683</t>
  </si>
  <si>
    <t>0.1915</t>
  </si>
  <si>
    <t>1.5776</t>
  </si>
  <si>
    <t>0.0222</t>
  </si>
  <si>
    <t>0.0218</t>
  </si>
  <si>
    <t>0.0215</t>
  </si>
  <si>
    <t>0.8750</t>
  </si>
  <si>
    <t>0.0265</t>
  </si>
  <si>
    <t>0.0070</t>
  </si>
  <si>
    <t>0.0268</t>
  </si>
  <si>
    <t>0.2264</t>
  </si>
  <si>
    <t>0.0148</t>
  </si>
  <si>
    <t>0.0179</t>
  </si>
  <si>
    <t>0.0006</t>
  </si>
  <si>
    <t>0.0361</t>
  </si>
  <si>
    <t>0.0341</t>
  </si>
  <si>
    <t>0.0007</t>
  </si>
  <si>
    <t>0.0005</t>
  </si>
  <si>
    <t>0.0009</t>
  </si>
  <si>
    <t>0.0012</t>
  </si>
  <si>
    <t>0.0181</t>
  </si>
  <si>
    <t>C96345</t>
  </si>
  <si>
    <t>RC0603FR-0712K1L</t>
  </si>
  <si>
    <t>0.0190</t>
  </si>
  <si>
    <t>0.0085</t>
  </si>
  <si>
    <t>0.06</t>
  </si>
  <si>
    <t>1.47</t>
  </si>
  <si>
    <t>0.35</t>
  </si>
  <si>
    <t>0.68</t>
  </si>
  <si>
    <t>3.16</t>
  </si>
  <si>
    <t>Chipsmall</t>
  </si>
  <si>
    <t>1.7875</t>
  </si>
  <si>
    <t>0.4412</t>
  </si>
  <si>
    <t>0.0330</t>
  </si>
  <si>
    <t>1.9146</t>
  </si>
  <si>
    <t>0.4458</t>
  </si>
  <si>
    <t>0.0646</t>
  </si>
  <si>
    <t>4.1328</t>
  </si>
  <si>
    <t>0.7249</t>
  </si>
  <si>
    <t>11.1548</t>
  </si>
  <si>
    <t>0.2328</t>
  </si>
  <si>
    <t>0.2558</t>
  </si>
  <si>
    <t>Digikey</t>
  </si>
  <si>
    <t>Quantity (25 Boards)</t>
  </si>
  <si>
    <t>C107186</t>
  </si>
  <si>
    <t>C368809</t>
  </si>
  <si>
    <t>CL05A475KP5NRNC</t>
  </si>
  <si>
    <t>C33, C34, C36, C50,  C97</t>
  </si>
  <si>
    <t>MOQ (25 Boards)</t>
  </si>
  <si>
    <t>Unit Cost (25 Boards)</t>
  </si>
  <si>
    <t>Total Cost (25 Boards)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</si>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</sst>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5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  <font>
      <strike/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>
      <alignment vertical="center"/>
    </xf>
  </cellStyleXfs>
  <cellXfs count="6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4" fillId="4" borderId="5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165" fontId="20" fillId="2" borderId="8" xfId="0" applyNumberFormat="1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165" fontId="20" fillId="2" borderId="7" xfId="0" applyNumberFormat="1" applyFont="1" applyFill="1" applyBorder="1" applyAlignment="1">
      <alignment horizontal="center" vertical="center" wrapText="1"/>
    </xf>
    <xf numFmtId="0" fontId="23" fillId="0" borderId="13" xfId="1" applyFont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4" fillId="0" borderId="13" xfId="1" applyFont="1" applyBorder="1" applyAlignment="1">
      <alignment horizontal="center" vertical="center" wrapText="1"/>
    </xf>
    <xf numFmtId="166" fontId="15" fillId="2" borderId="8" xfId="0" applyNumberFormat="1" applyFont="1" applyFill="1" applyBorder="1" applyAlignment="1">
      <alignment horizontal="center" vertical="center" wrapText="1"/>
    </xf>
    <xf numFmtId="0" fontId="23" fillId="2" borderId="8" xfId="1" applyFont="1" applyFill="1" applyBorder="1" applyAlignment="1">
      <alignment horizontal="center" vertical="center" wrapText="1"/>
    </xf>
    <xf numFmtId="0" fontId="23" fillId="2" borderId="7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csc.com/product-detail/chip-resistor-surface-mount_yageo-rc0805fr-0749k9l_C114540.html" TargetMode="External"/><Relationship Id="rId21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42" Type="http://schemas.openxmlformats.org/officeDocument/2006/relationships/hyperlink" Target="https://www.lcsc.com/product-detail/switching-diodes_diodes-incorporated-1n4148w-7-f_C83528.html" TargetMode="External"/><Relationship Id="rId63" Type="http://schemas.openxmlformats.org/officeDocument/2006/relationships/hyperlink" Target="https://www.lcsc.com/product-detail/ethernet-connectors-modular-connectors-rj45-rj11_hanrun-zhongshan-hanrun-elec-hr911105a_C12074.html" TargetMode="External"/><Relationship Id="rId84" Type="http://schemas.openxmlformats.org/officeDocument/2006/relationships/hyperlink" Target="https://www.lcsc.com/product-detail/chip-resistor-surface-mount_yageo-rc0402fr-073k9l_C131467.html" TargetMode="External"/><Relationship Id="rId138" Type="http://schemas.openxmlformats.org/officeDocument/2006/relationships/hyperlink" Target="https://www.lcsc.com/product-detail/transistor-photovoltaic-output-optoisolators_slkor-slkormicro-elec-pc817c_C2936043.html" TargetMode="External"/><Relationship Id="rId107" Type="http://schemas.openxmlformats.org/officeDocument/2006/relationships/hyperlink" Target="https://www.lcsc.com/product-detail/chip-resistor-surface-mount_yageo-rc0402fr-074k7l_C105871.html" TargetMode="External"/><Relationship Id="rId11" Type="http://schemas.openxmlformats.org/officeDocument/2006/relationships/hyperlink" Target="https://www.lcsc.com/product-detail/multilayer-ceramic-capacitors-mlcc-smd-smt_yageo-cc0402jrx7r7bb104_C541464.html" TargetMode="External"/><Relationship Id="rId32" Type="http://schemas.openxmlformats.org/officeDocument/2006/relationships/hyperlink" Target="https://www.lcsc.com/product-detail/esd-and-surge-protection-tvs-esd_diodes-incorporated-smbj26a-13-f_C135062.html" TargetMode="External"/><Relationship Id="rId53" Type="http://schemas.openxmlformats.org/officeDocument/2006/relationships/hyperlink" Target="https://www.lcsc.com/product-detail/pin-headers_xkb-connection-x6511wv-03h-c60d30_C706875.html" TargetMode="External"/><Relationship Id="rId74" Type="http://schemas.openxmlformats.org/officeDocument/2006/relationships/hyperlink" Target="https://www.lcsc.com/product-detail/led-indication-discrete_foshan-nationstar-optoelectronics-ncd0603y2_C89811.html" TargetMode="External"/><Relationship Id="rId128" Type="http://schemas.openxmlformats.org/officeDocument/2006/relationships/hyperlink" Target="https://jlcpcb.com/partdetail/Stmicroelectronics-STM32H723ZGT6/C730146" TargetMode="External"/><Relationship Id="rId149" Type="http://schemas.openxmlformats.org/officeDocument/2006/relationships/hyperlink" Target="https://www.digikey.com/en/products/detail/amazing/AZ3005-01G/16615381?s=N4IgTCBcDaIIIC0DMAGFBWAtCgjAcRAF0BfIA" TargetMode="External"/><Relationship Id="rId5" Type="http://schemas.openxmlformats.org/officeDocument/2006/relationships/hyperlink" Target="https://www.lcsc.com/product-detail/multilayer-ceramic-capacitors-mlcc-smd-smt_samsung-electro-mechanics-cl10a105kb8nnnc_C15849.html" TargetMode="External"/><Relationship Id="rId95" Type="http://schemas.openxmlformats.org/officeDocument/2006/relationships/hyperlink" Target="https://www.lcsc.com/product-detail/chip-resistor-surface-mount_yageo-rc0402fr-0733rl_C138002.html" TargetMode="External"/><Relationship Id="rId22" Type="http://schemas.openxmlformats.org/officeDocument/2006/relationships/hyperlink" Target="https://www.lcsc.com/product-detail/multilayer-ceramic-capacitors-mlcc-smd-smt_murata-electronics-grm188r71c474ka88d_C86019.html" TargetMode="External"/><Relationship Id="rId27" Type="http://schemas.openxmlformats.org/officeDocument/2006/relationships/hyperlink" Target="https://www.lcsc.com/product-detail/multilayer-ceramic-capacitors-mlcc-smd-smt_yageo-cc0402jrnpo9bn101_C106200.html" TargetMode="External"/><Relationship Id="rId43" Type="http://schemas.openxmlformats.org/officeDocument/2006/relationships/hyperlink" Target="https://www.lcsc.com/product-detail/zener-diodes_eic-semicon-mm3z3v3b_C2978865.html" TargetMode="External"/><Relationship Id="rId48" Type="http://schemas.openxmlformats.org/officeDocument/2006/relationships/hyperlink" Target="https://www.lcsc.com/product-detail/resettable-fuses_born-smd0603-003-30n_C2687870.html" TargetMode="External"/><Relationship Id="rId64" Type="http://schemas.openxmlformats.org/officeDocument/2006/relationships/hyperlink" Target="https://www.lcsc.com/product-detail/screw-terminal-blocks_dorabo-db128v-5-08-5p-gn-s_C2927513.html" TargetMode="External"/><Relationship Id="rId69" Type="http://schemas.openxmlformats.org/officeDocument/2006/relationships/hyperlink" Target="https://www.lcsc.com/product-detail/screw-terminal-blocks_jiln-jl301-50012u01_C1509686.html" TargetMode="External"/><Relationship Id="rId113" Type="http://schemas.openxmlformats.org/officeDocument/2006/relationships/hyperlink" Target="https://www.lcsc.com/product-detail/chip-resistor-surface-mount_yageo-rc0805fr-07200rl_C114567.html" TargetMode="External"/><Relationship Id="rId118" Type="http://schemas.openxmlformats.org/officeDocument/2006/relationships/hyperlink" Target="https://www.lcsc.com/product-detail/chip-resistor-surface-mount_yageo-rt0805brd07412kl_C865478.html" TargetMode="External"/><Relationship Id="rId134" Type="http://schemas.openxmlformats.org/officeDocument/2006/relationships/hyperlink" Target="https://www.lcsc.com/product-detail/rs232-ics_texas-instruments-trsf3221eirgtr_C2861230.html" TargetMode="External"/><Relationship Id="rId139" Type="http://schemas.openxmlformats.org/officeDocument/2006/relationships/hyperlink" Target="https://www.lcsc.com/product-detail/digital-to-analog-converters-dac_texas-instruments-dac161s997rghr_C90500.html" TargetMode="External"/><Relationship Id="rId80" Type="http://schemas.openxmlformats.org/officeDocument/2006/relationships/hyperlink" Target="https://www.lcsc.com/product-detail/mosfets_guangdong-hottech-ao3401_C181091.html" TargetMode="External"/><Relationship Id="rId85" Type="http://schemas.openxmlformats.org/officeDocument/2006/relationships/hyperlink" Target="https://www.lcsc.com/product-detail/chip-resistor-surface-mount_yageo-rt0805brd07698kl_C865618.html" TargetMode="External"/><Relationship Id="rId150" Type="http://schemas.openxmlformats.org/officeDocument/2006/relationships/hyperlink" Target="https://www.digikey.com/en/products/detail/amazing/AZ3003-01G/16615352?s=N4IgTCBcDaIIIC0DMAGFSC0KCMBxEAugL5A" TargetMode="External"/><Relationship Id="rId12" Type="http://schemas.openxmlformats.org/officeDocument/2006/relationships/hyperlink" Target="https://www.lcsc.com/product-detail/multilayer-ceramic-capacitors-mlcc-smd-smt_yageo-cc0402krx5r7bb105_C325464.html" TargetMode="External"/><Relationship Id="rId17" Type="http://schemas.openxmlformats.org/officeDocument/2006/relationships/hyperlink" Target="https://www.lcsc.com/product-detail/multilayer-ceramic-capacitors-mlcc-smd-smt_murata-electronics-grm1555c1h100ja01d_C76946.html" TargetMode="External"/><Relationship Id="rId33" Type="http://schemas.openxmlformats.org/officeDocument/2006/relationships/hyperlink" Target="https://www.lcsc.com/product-detail/Multilayer-Ceramic-Capacitors-MLCC-SMD-SMT_YAGEO-CC0603JRNPO9BN471_C106211.html" TargetMode="External"/><Relationship Id="rId38" Type="http://schemas.openxmlformats.org/officeDocument/2006/relationships/hyperlink" Target="https://www.lcsc.com/product-detail/esd-and-surge-protection-tvs-esd_bourns-cdsot23-t24can-q_C350941.html" TargetMode="External"/><Relationship Id="rId59" Type="http://schemas.openxmlformats.org/officeDocument/2006/relationships/hyperlink" Target="https://www.lcsc.com/product-detail/screw-terminal-blocks_dorabo-db128l-5-08-3p-bk-s_C430602.html" TargetMode="External"/><Relationship Id="rId103" Type="http://schemas.openxmlformats.org/officeDocument/2006/relationships/hyperlink" Target="https://www.lcsc.com/product-detail/chip-resistor-surface-mount_yageo-rc0603fr-0749r9l_C114625.html" TargetMode="External"/><Relationship Id="rId108" Type="http://schemas.openxmlformats.org/officeDocument/2006/relationships/hyperlink" Target="https://www.lcsc.com/product-detail/chip-resistor-surface-mount_yageo-rc0402fr-0720kl_C93942.html" TargetMode="External"/><Relationship Id="rId124" Type="http://schemas.openxmlformats.org/officeDocument/2006/relationships/hyperlink" Target="https://www.lcsc.com/product-detail/pulse-transformers-lan_pulse-elec-h1102nlt_C18584.html" TargetMode="External"/><Relationship Id="rId129" Type="http://schemas.openxmlformats.org/officeDocument/2006/relationships/hyperlink" Target="https://www.lcsc.com/product-detail/ethernet-transceivers_microchip-tech-lan8742a-cz-tr_C621424.html" TargetMode="External"/><Relationship Id="rId54" Type="http://schemas.openxmlformats.org/officeDocument/2006/relationships/hyperlink" Target="https://www.lcsc.com/product-detail/ethernet-connectors-modular-connectors-rj45-rj11_xkb-connection-x12adab1a3dy1027_C2916459.html" TargetMode="External"/><Relationship Id="rId70" Type="http://schemas.openxmlformats.org/officeDocument/2006/relationships/hyperlink" Target="https://www.lcsc.com/product-detail/screw-terminal-blocks_dorabo-db128v-5-08-12p-gn-s_C2927515.html" TargetMode="External"/><Relationship Id="rId75" Type="http://schemas.openxmlformats.org/officeDocument/2006/relationships/hyperlink" Target="https://www.lcsc.com/product-detail/led-indication-discrete_foshan-nationstar-optoelectronics-ncd0603g2_C87326.html" TargetMode="External"/><Relationship Id="rId91" Type="http://schemas.openxmlformats.org/officeDocument/2006/relationships/hyperlink" Target="https://www.lcsc.com/product-detail/chip-resistor-surface-mount_yageo-rc0402fr-0710kl_C60490.html" TargetMode="External"/><Relationship Id="rId96" Type="http://schemas.openxmlformats.org/officeDocument/2006/relationships/hyperlink" Target="https://www.lcsc.com/product-detail/chip-resistor-surface-mount_yageo-rc0402fr-0747kl_C93943.html" TargetMode="External"/><Relationship Id="rId140" Type="http://schemas.openxmlformats.org/officeDocument/2006/relationships/hyperlink" Target="https://www.lcsc.com/product-detail/dc-dc-converters_texas-instruments-tps54360ddar_C44377.html" TargetMode="External"/><Relationship Id="rId145" Type="http://schemas.openxmlformats.org/officeDocument/2006/relationships/hyperlink" Target="https://www.lcsc.com/product-detail/crystals_ndk-nx3215sa-32-768k-std-mua-8_C156245.html" TargetMode="External"/><Relationship Id="rId1" Type="http://schemas.openxmlformats.org/officeDocument/2006/relationships/hyperlink" Target="https://www.lcsc.com/product-detail/aluminum-electrolytic-capacitors-smd_nichicon-ucd1h221mnl1gs_C116211.html" TargetMode="External"/><Relationship Id="rId6" Type="http://schemas.openxmlformats.org/officeDocument/2006/relationships/hyperlink" Target="https://www.lcsc.com/product-detail/multilayer-ceramic-capacitors-mlcc-smd-smt_samsung-electro-mechanics-cl10b104kb8wpnc_C307348.html" TargetMode="External"/><Relationship Id="rId23" Type="http://schemas.openxmlformats.org/officeDocument/2006/relationships/hyperlink" Target="https://www.lcsc.com/product-detail/multilayer-ceramic-capacitors-mlcc-smd-smt_yageo-cc0402krx7r8bb102_C541372.html" TargetMode="External"/><Relationship Id="rId28" Type="http://schemas.openxmlformats.org/officeDocument/2006/relationships/hyperlink" Target="https://www.lcsc.com/product-detail/multilayer-ceramic-capacitors-mlcc-smd-smt_murata-electronics-gjm1555c1h120gb01d_C161305.html" TargetMode="External"/><Relationship Id="rId49" Type="http://schemas.openxmlformats.org/officeDocument/2006/relationships/hyperlink" Target="https://www.lcsc.com/product-detail/ferrite-beads_murata-electronics-blm18hg601sn1d_C85830.html" TargetMode="External"/><Relationship Id="rId114" Type="http://schemas.openxmlformats.org/officeDocument/2006/relationships/hyperlink" Target="https://www.lcsc.com/product-detail/chip-resistor-surface-mount_yageo-rt0402brd0720rl_C852630.html" TargetMode="External"/><Relationship Id="rId119" Type="http://schemas.openxmlformats.org/officeDocument/2006/relationships/hyperlink" Target="https://www.lcsc.com/product-detail/chip-resistor-surface-mount_yageo-rt0402brd071k6l_C852616.html" TargetMode="External"/><Relationship Id="rId44" Type="http://schemas.openxmlformats.org/officeDocument/2006/relationships/hyperlink" Target="https://www.lcsc.com/product-detail/zener-diodes_onsemi-mmsz4686t1g_C236098.html" TargetMode="External"/><Relationship Id="rId60" Type="http://schemas.openxmlformats.org/officeDocument/2006/relationships/hyperlink" Target="https://www.lcsc.com/product-detail/ethernet-connectors-modular-connectors-rj45-rj11_xkb-connection-x14cbiwb1dy1027_C2931489.html" TargetMode="External"/><Relationship Id="rId65" Type="http://schemas.openxmlformats.org/officeDocument/2006/relationships/hyperlink" Target="https://www.lcsc.com/product-detail/screw-terminal-blocks_dorabo-db128l-5-08-2p-og-s_C430603.html" TargetMode="External"/><Relationship Id="rId81" Type="http://schemas.openxmlformats.org/officeDocument/2006/relationships/hyperlink" Target="https://www.lcsc.com/product-detail/bipolar-bjt_onsemi-pzt3904t1g_C232396.html" TargetMode="External"/><Relationship Id="rId86" Type="http://schemas.openxmlformats.org/officeDocument/2006/relationships/hyperlink" Target="https://www.lcsc.com/product-detail/chip-resistor-surface-mount_yageo-rt0805brd0751k1l_C865541.html" TargetMode="External"/><Relationship Id="rId130" Type="http://schemas.openxmlformats.org/officeDocument/2006/relationships/hyperlink" Target="https://www.lcsc.com/product-detail/power-distribution-switches_stmicroelectronics-stmps2161str_C361034.html" TargetMode="External"/><Relationship Id="rId135" Type="http://schemas.openxmlformats.org/officeDocument/2006/relationships/hyperlink" Target="https://www.lcsc.com/product-detail/rs-485-rs-422-ics_texas-instruments-thvd1449dr_C3235059.html" TargetMode="External"/><Relationship Id="rId151" Type="http://schemas.openxmlformats.org/officeDocument/2006/relationships/hyperlink" Target="https://www.chipsmall.com/Products/ESDM2033MX4T5G_ON-Semiconductor_20281488.html" TargetMode="External"/><Relationship Id="rId13" Type="http://schemas.openxmlformats.org/officeDocument/2006/relationships/hyperlink" Target="https://www.lcsc.com/product-detail/multilayer-ceramic-capacitors-mlcc-smd-smt_yageo-cc0201jrnpo9bn150_C277480.html" TargetMode="External"/><Relationship Id="rId18" Type="http://schemas.openxmlformats.org/officeDocument/2006/relationships/hyperlink" Target="https://www.lcsc.com/product-detail/multilayer-ceramic-capacitors-mlcc-smd-smt_yageo-cc0402jrx7r7bb223_C541459.html" TargetMode="External"/><Relationship Id="rId39" Type="http://schemas.openxmlformats.org/officeDocument/2006/relationships/hyperlink" Target="https://www.lcsc.com/product-detail/esd-and-surge-protection-tvs-esd_tech-public-sm712_C521963.html" TargetMode="External"/><Relationship Id="rId109" Type="http://schemas.openxmlformats.org/officeDocument/2006/relationships/hyperlink" Target="https://www.lcsc.com/product-detail/chip-resistor-surface-mount_uni-royal-uniroyal-elec-0402wgf4301tce_C25899.html" TargetMode="External"/><Relationship Id="rId34" Type="http://schemas.openxmlformats.org/officeDocument/2006/relationships/hyperlink" Target="https://www.lcsc.com/product-detail/esd-and-surge-protection-tvs-esd_stmicroelectronics-esdalc6v1w5_C703691.html" TargetMode="External"/><Relationship Id="rId50" Type="http://schemas.openxmlformats.org/officeDocument/2006/relationships/hyperlink" Target="https://www.lcsc.com/product-detail/ferrite-beads_murata-electronics-blm18pg221sn1d_C80165.html" TargetMode="External"/><Relationship Id="rId55" Type="http://schemas.openxmlformats.org/officeDocument/2006/relationships/hyperlink" Target="https://www.lcsc.com/product-detail/usb-connectors_xkb-connection-u-e-051n-4bh21-s1b_C319153.html" TargetMode="External"/><Relationship Id="rId76" Type="http://schemas.openxmlformats.org/officeDocument/2006/relationships/hyperlink" Target="https://www.lcsc.com/product-detail/rgb-leds-built-in-ic_worldsemi-ws2812d-f5_C190565.html" TargetMode="External"/><Relationship Id="rId97" Type="http://schemas.openxmlformats.org/officeDocument/2006/relationships/hyperlink" Target="https://www.lcsc.com/product-detail/chip-resistor-surface-mount_yageo-rc0402fr-074k7l_C105871.html" TargetMode="External"/><Relationship Id="rId104" Type="http://schemas.openxmlformats.org/officeDocument/2006/relationships/hyperlink" Target="https://www.lcsc.com/product-detail/chip-resistor-surface-mount_yageo-ac0402fr-070rl_C226739.html" TargetMode="External"/><Relationship Id="rId120" Type="http://schemas.openxmlformats.org/officeDocument/2006/relationships/hyperlink" Target="https://www.lcsc.com/product-detail/Chip-Resistor-Surface-Mount_YAGEO-RT0402BRD0758K3L_C852851.html" TargetMode="External"/><Relationship Id="rId125" Type="http://schemas.openxmlformats.org/officeDocument/2006/relationships/hyperlink" Target="https://www.lcsc.com/product-detail/power-distribution-switches_texas-instruments-lm74700qdbvrq1_C2941042.html" TargetMode="External"/><Relationship Id="rId141" Type="http://schemas.openxmlformats.org/officeDocument/2006/relationships/hyperlink" Target="https://www.chipsmall.com/Products/OPA4192IPWR_10042324.html" TargetMode="External"/><Relationship Id="rId146" Type="http://schemas.openxmlformats.org/officeDocument/2006/relationships/hyperlink" Target="https://www.chipsmall.com/Products/X322525MRB4SI_Yangxing-Tech_20410221.html" TargetMode="External"/><Relationship Id="rId7" Type="http://schemas.openxmlformats.org/officeDocument/2006/relationships/hyperlink" Target="https://www.lcsc.com/product-detail/multilayer-ceramic-capacitors-mlcc-smd-smt_taiyo-yuden-umk316ab7475kl-t_C92853.html" TargetMode="External"/><Relationship Id="rId71" Type="http://schemas.openxmlformats.org/officeDocument/2006/relationships/hyperlink" Target="https://www.lcsc.com/product-detail/power-inductors_bourns-srp1265a-150m_C189912.html" TargetMode="External"/><Relationship Id="rId92" Type="http://schemas.openxmlformats.org/officeDocument/2006/relationships/hyperlink" Target="https://www.lcsc.com/product-detail/chip-resistor-surface-mount_yageo-rc0402jr-0775rl_C137841.html" TargetMode="External"/><Relationship Id="rId2" Type="http://schemas.openxmlformats.org/officeDocument/2006/relationships/hyperlink" Target="https://www.lcsc.com/product-detail/aluminum-electrolytic-capacitors-smd_roqang-rvt1h470m0607_C72523.html" TargetMode="External"/><Relationship Id="rId29" Type="http://schemas.openxmlformats.org/officeDocument/2006/relationships/hyperlink" Target="https://www.lcsc.com/product-detail/multilayer-ceramic-capacitors-mlcc-smd-smt_tdk-c1608x7r1e105k080ab_C2170660.html" TargetMode="External"/><Relationship Id="rId24" Type="http://schemas.openxmlformats.org/officeDocument/2006/relationships/hyperlink" Target="https://www.lcsc.com/product-detail/multilayer-ceramic-capacitors-mlcc-smd-smt_yageo-cc1206kkx7r7bb225_C107183.html" TargetMode="External"/><Relationship Id="rId40" Type="http://schemas.openxmlformats.org/officeDocument/2006/relationships/hyperlink" Target="https://www.lcsc.com/product-detail/schottky-diodes_mdd-microdiode-semiconductor-ss16_C2481.html" TargetMode="External"/><Relationship Id="rId45" Type="http://schemas.openxmlformats.org/officeDocument/2006/relationships/hyperlink" Target="https://www.lcsc.com/product-detail/schottky-diodes_diodes-incorporated-b360a-13-f_C94193.html" TargetMode="External"/><Relationship Id="rId66" Type="http://schemas.openxmlformats.org/officeDocument/2006/relationships/hyperlink" Target="https://www.lcsc.com/product-detail/screw-terminal-blocks_dorabo-db128l-5-08-2p-gy-s_C500021.html" TargetMode="External"/><Relationship Id="rId87" Type="http://schemas.openxmlformats.org/officeDocument/2006/relationships/hyperlink" Target="https://www.lcsc.com/product-detail/chip-resistor-surface-mount_yageo-rt0402brd0724k9l_C852664.html" TargetMode="External"/><Relationship Id="rId110" Type="http://schemas.openxmlformats.org/officeDocument/2006/relationships/hyperlink" Target="https://www.lcsc.com/product-detail/chip-resistor-surface-mount_yageo-rc0603jr-07120rl_C114681.html" TargetMode="External"/><Relationship Id="rId115" Type="http://schemas.openxmlformats.org/officeDocument/2006/relationships/hyperlink" Target="https://www.lcsc.com/product-detail/chip-resistor-surface-mount_yageo-rc0402fr-07100rl_C106232.html" TargetMode="External"/><Relationship Id="rId131" Type="http://schemas.openxmlformats.org/officeDocument/2006/relationships/hyperlink" Target="https://www.lcsc.com/product-detail/esd-and-surge-protection-tvs-esd_tech-public-usblc6-2sc6_C2827654.html" TargetMode="External"/><Relationship Id="rId136" Type="http://schemas.openxmlformats.org/officeDocument/2006/relationships/hyperlink" Target="https://www.chipsmall.com/Products/LAN9253-I-R4X_33343268.html" TargetMode="External"/><Relationship Id="rId61" Type="http://schemas.openxmlformats.org/officeDocument/2006/relationships/hyperlink" Target="https://www.lcsc.com/product-detail/screw-terminal-blocks_dorabo-db128l-5-08-3p-gn-s_C395869.html" TargetMode="External"/><Relationship Id="rId82" Type="http://schemas.openxmlformats.org/officeDocument/2006/relationships/hyperlink" Target="https://www.lcsc.com/product-detail/digital-transistors_lrc-lmun2211lt1g_C12775.html" TargetMode="External"/><Relationship Id="rId152" Type="http://schemas.openxmlformats.org/officeDocument/2006/relationships/hyperlink" Target="https://www.lcsc.com/product-detail/Multilayer-Ceramic-Capacitors-MLCC-SMD-SMT_YAGEO-CC1206KKX7R9BB224_C107186.html" TargetMode="External"/><Relationship Id="rId19" Type="http://schemas.openxmlformats.org/officeDocument/2006/relationships/hyperlink" Target="https://www.lcsc.com/product-detail/multilayer-ceramic-capacitors-mlcc-smd-smt_yageo-cc0402grnpo9bn300_C277479.html" TargetMode="External"/><Relationship Id="rId14" Type="http://schemas.openxmlformats.org/officeDocument/2006/relationships/hyperlink" Target="https://www.lcsc.com/product-detail/multilayer-ceramic-capacitors-mlcc-smd-smt_yageo-cc0402mrx5r6bb106_C962143.html" TargetMode="External"/><Relationship Id="rId30" Type="http://schemas.openxmlformats.org/officeDocument/2006/relationships/hyperlink" Target="https://www.lcsc.com/product-detail/tantalum-capacitors_kyocera-avx-tajc106k035rnj_C7211.html" TargetMode="External"/><Relationship Id="rId35" Type="http://schemas.openxmlformats.org/officeDocument/2006/relationships/hyperlink" Target="https://www.lcsc.com/product-detail/esd-and-surge-protection-tvs-esd_stmicroelectronics-usblc6-4sc6_C111212.html" TargetMode="External"/><Relationship Id="rId56" Type="http://schemas.openxmlformats.org/officeDocument/2006/relationships/hyperlink" Target="https://www.lcsc.com/product-detail/usb-connectors_xkb-connection-u263-163n-4bqc65_C2938598.html" TargetMode="External"/><Relationship Id="rId77" Type="http://schemas.openxmlformats.org/officeDocument/2006/relationships/hyperlink" Target="https://www.lcsc.com/product-detail/mosfets_diodes-incorporated-dmt6007lfg-7_C2802568.html" TargetMode="External"/><Relationship Id="rId100" Type="http://schemas.openxmlformats.org/officeDocument/2006/relationships/hyperlink" Target="https://www.lcsc.com/product-detail/chip-resistor-surface-mount_yageo-rc0603fr-0747k5l_C137715.html" TargetMode="External"/><Relationship Id="rId105" Type="http://schemas.openxmlformats.org/officeDocument/2006/relationships/hyperlink" Target="https://www.lcsc.com/product-detail/chip-resistor-surface-mount_yageo-rc0603jr-07330rl_C105879.html" TargetMode="External"/><Relationship Id="rId126" Type="http://schemas.openxmlformats.org/officeDocument/2006/relationships/hyperlink" Target="https://www.lcsc.com/product-detail/dc-dc-converters_texas-instruments-lm60440aqrpkrq1_C3187981.html" TargetMode="External"/><Relationship Id="rId147" Type="http://schemas.openxmlformats.org/officeDocument/2006/relationships/hyperlink" Target="https://www.chipsmall.com/Products/TC2030-IDC_10471659.html" TargetMode="External"/><Relationship Id="rId8" Type="http://schemas.openxmlformats.org/officeDocument/2006/relationships/hyperlink" Target="https://www.lcsc.com/product-detail/multilayer-ceramic-capacitors-mlcc-smd-smt_murata-electronics-grm31cr61e476me44l_C403725.html" TargetMode="External"/><Relationship Id="rId51" Type="http://schemas.openxmlformats.org/officeDocument/2006/relationships/hyperlink" Target="https://jlcpcb.com/partdetail/Littelfuse-178_61650002/C207061" TargetMode="External"/><Relationship Id="rId72" Type="http://schemas.openxmlformats.org/officeDocument/2006/relationships/hyperlink" Target="https://www.lcsc.com/product-detail/power-inductors_coilcraft-msd1278-333mld_C20417040.html" TargetMode="External"/><Relationship Id="rId93" Type="http://schemas.openxmlformats.org/officeDocument/2006/relationships/hyperlink" Target="https://www.lcsc.com/product-detail/chip-resistor-surface-mount_yageo-rc0201fr-0749r9l_C155744.html" TargetMode="External"/><Relationship Id="rId98" Type="http://schemas.openxmlformats.org/officeDocument/2006/relationships/hyperlink" Target="https://www.lcsc.com/product-detail/chip-resistor-surface-mount_yageo-rc0402fr-072kl_C60488.html" TargetMode="External"/><Relationship Id="rId121" Type="http://schemas.openxmlformats.org/officeDocument/2006/relationships/hyperlink" Target="https://www.lcsc.com/product-detail/chip-resistor-surface-mount_yageo-rc0402fr-071kl_C106235.html" TargetMode="External"/><Relationship Id="rId142" Type="http://schemas.openxmlformats.org/officeDocument/2006/relationships/hyperlink" Target="https://www.lcsc.com/product-detail/digital-to-analog-converters-dac_texas-instruments-dac8832icrgyt_C2876764.html" TargetMode="External"/><Relationship Id="rId3" Type="http://schemas.openxmlformats.org/officeDocument/2006/relationships/hyperlink" Target="https://www.lcsc.com/product-detail/multilayer-ceramic-capacitors-mlcc-smd-smt_yageo-cc0805jrx7r0bb223_C576993.html" TargetMode="External"/><Relationship Id="rId25" Type="http://schemas.openxmlformats.org/officeDocument/2006/relationships/hyperlink" Target="https://www.lcsc.com/product-detail/multilayer-ceramic-capacitors-mlcc-smd-smt_yageo-cc0805mkx5r8bb226_C784585.html" TargetMode="External"/><Relationship Id="rId46" Type="http://schemas.openxmlformats.org/officeDocument/2006/relationships/hyperlink" Target="https://www.lcsc.com/product-detail/schottky-diodes_diodes-incorporated-b360-13-f_C110487.html" TargetMode="External"/><Relationship Id="rId67" Type="http://schemas.openxmlformats.org/officeDocument/2006/relationships/hyperlink" Target="https://www.lcsc.com/product-detail/screw-terminal-blocks_dorabo-db128l-5-08-2p-gn-s_C395868.html" TargetMode="External"/><Relationship Id="rId116" Type="http://schemas.openxmlformats.org/officeDocument/2006/relationships/hyperlink" Target="https://www.lcsc.com/product-detail/chip-resistor-surface-mount_yageo-rt0805brd07422kl_C865483.html" TargetMode="External"/><Relationship Id="rId137" Type="http://schemas.openxmlformats.org/officeDocument/2006/relationships/hyperlink" Target="https://www.lcsc.com/product-detail/eeprom_onsemi-cat24c256wi-gt3_C79987.html" TargetMode="External"/><Relationship Id="rId20" Type="http://schemas.openxmlformats.org/officeDocument/2006/relationships/hyperlink" Target="https://www.lcsc.com/product-detail/multilayer-ceramic-capacitors-mlcc-smd-smt_yageo-cc0603krx7r9bb103_C100042.html" TargetMode="External"/><Relationship Id="rId41" Type="http://schemas.openxmlformats.org/officeDocument/2006/relationships/hyperlink" Target="https://www.lcsc.com/product-detail/zener-diodes_onsemi-1sma5930bt3g_C128848.html" TargetMode="External"/><Relationship Id="rId62" Type="http://schemas.openxmlformats.org/officeDocument/2006/relationships/hyperlink" Target="https://www.lcsc.com/product-detail/screw-terminal-blocks_dorabo-db128l-5-08-3p-gy-s_C500022.html" TargetMode="External"/><Relationship Id="rId83" Type="http://schemas.openxmlformats.org/officeDocument/2006/relationships/hyperlink" Target="https://www.lcsc.com/product-detail/chip-resistor-surface-mount_yageo-rt0402brd07100kl_C852472.html" TargetMode="External"/><Relationship Id="rId88" Type="http://schemas.openxmlformats.org/officeDocument/2006/relationships/hyperlink" Target="https://www.lcsc.com/product-detail/chip-resistor-surface-mount_yageo-rc0402fr-07499rl_C137970.html" TargetMode="External"/><Relationship Id="rId111" Type="http://schemas.openxmlformats.org/officeDocument/2006/relationships/hyperlink" Target="https://www.lcsc.com/product-detail/Chip-Resistor-Surface-Mount_YAGEO-RC0805JR-070RL_C96345.html" TargetMode="External"/><Relationship Id="rId132" Type="http://schemas.openxmlformats.org/officeDocument/2006/relationships/hyperlink" Target="https://www.lcsc.com/product-detail/usb-converters_skyworks-silicon-labs-cp2102n-a02-gqfn28r_C964632.html" TargetMode="External"/><Relationship Id="rId153" Type="http://schemas.openxmlformats.org/officeDocument/2006/relationships/hyperlink" Target="https://www.lcsc.com/product-detail/Multilayer-Ceramic-Capacitors-MLCC-SMD-SMT_Samsung-Electro-Mechanics-CL05A475KP5NRNC_C368809.html" TargetMode="External"/><Relationship Id="rId15" Type="http://schemas.openxmlformats.org/officeDocument/2006/relationships/hyperlink" Target="https://www.lcsc.com/product-detail/multilayer-ceramic-capacitors-mlcc-smd-smt_murata-electronics-grm155r11h471ka01d_C576458.html" TargetMode="External"/><Relationship Id="rId36" Type="http://schemas.openxmlformats.org/officeDocument/2006/relationships/hyperlink" Target="https://www.lcsc.com/product-detail/esd-and-surge-protection-tvs-esd_stmicroelectronics-esda7p60-1u1m_C1975146.html" TargetMode="External"/><Relationship Id="rId57" Type="http://schemas.openxmlformats.org/officeDocument/2006/relationships/hyperlink" Target="https://www.lcsc.com/product-detail/ethernet-connectors-modular-connectors-rj45-rj11_xkb-connection-x10adiwk1dy1006_C2916456.html" TargetMode="External"/><Relationship Id="rId106" Type="http://schemas.openxmlformats.org/officeDocument/2006/relationships/hyperlink" Target="https://www.lcsc.com/product-detail/chip-resistor-surface-mount_yageo-rt0402brd0712k1l_C281773.html" TargetMode="External"/><Relationship Id="rId127" Type="http://schemas.openxmlformats.org/officeDocument/2006/relationships/hyperlink" Target="https://www.chipsmall.com/Products/ST1L05APU33R_10354770.html" TargetMode="External"/><Relationship Id="rId10" Type="http://schemas.openxmlformats.org/officeDocument/2006/relationships/hyperlink" Target="https://www.lcsc.com/product-detail/multilayer-ceramic-capacitors-mlcc-smd-smt_murata-electronics-grm155r61e225ke11d_C385032.html" TargetMode="External"/><Relationship Id="rId31" Type="http://schemas.openxmlformats.org/officeDocument/2006/relationships/hyperlink" Target="https://www.lcsc.com/product-detail/esd-and-surge-protection-tvs-esd_diodes-incorporated-smbj58a-13-f_C135085.html" TargetMode="External"/><Relationship Id="rId52" Type="http://schemas.openxmlformats.org/officeDocument/2006/relationships/hyperlink" Target="https://www.lcsc.com/product-detail/screw-terminal-blocks_dorabo-db128l-5-08-3p-og-s_C430604.html" TargetMode="External"/><Relationship Id="rId73" Type="http://schemas.openxmlformats.org/officeDocument/2006/relationships/hyperlink" Target="https://www.lcsc.com/product-detail/led-indication-discrete_foshan-nationstar-optoelectronics-ncd0603r3_C3151730.html" TargetMode="External"/><Relationship Id="rId78" Type="http://schemas.openxmlformats.org/officeDocument/2006/relationships/hyperlink" Target="https://www.lcsc.com/product-detail/mosfets_tech-public-si2302cds_C5310968.html" TargetMode="External"/><Relationship Id="rId94" Type="http://schemas.openxmlformats.org/officeDocument/2006/relationships/hyperlink" Target="https://www.lcsc.com/product-detail/chip-resistor-surface-mount_yageo-rc0402fr-070rl_C106231.html" TargetMode="External"/><Relationship Id="rId99" Type="http://schemas.openxmlformats.org/officeDocument/2006/relationships/hyperlink" Target="https://www.lcsc.com/product-detail/chip-resistor-surface-mount_yageo-rc0603fr-0722k1l_C137768.html" TargetMode="External"/><Relationship Id="rId101" Type="http://schemas.openxmlformats.org/officeDocument/2006/relationships/hyperlink" Target="https://www.lcsc.com/product-detail/chip-resistor-surface-mount_yageo-rc0402fr-075k1l_C105872.html" TargetMode="External"/><Relationship Id="rId122" Type="http://schemas.openxmlformats.org/officeDocument/2006/relationships/hyperlink" Target="https://www.lcsc.com/product-detail/tactile-switches_omron-electronics-b3u-1000p_C231329.html" TargetMode="External"/><Relationship Id="rId143" Type="http://schemas.openxmlformats.org/officeDocument/2006/relationships/hyperlink" Target="https://www.chipsmall.com/Products/REF5050IDGKT_10075802.html" TargetMode="External"/><Relationship Id="rId148" Type="http://schemas.openxmlformats.org/officeDocument/2006/relationships/hyperlink" Target="https://www.digikey.com/en/products/detail/amazing/AZ4024-01G/16615396?s=N4IgTCBcDaIIIC0AsAGMSC0KCMBxEAugL5A" TargetMode="External"/><Relationship Id="rId4" Type="http://schemas.openxmlformats.org/officeDocument/2006/relationships/hyperlink" Target="https://www.lcsc.com/product-detail/multilayer-ceramic-capacitors-mlcc-smd-smt_murata-electronics-grm21br61h106me43l_C2190942.html" TargetMode="External"/><Relationship Id="rId9" Type="http://schemas.openxmlformats.org/officeDocument/2006/relationships/hyperlink" Target="https://www.lcsc.com/product-detail/multilayer-ceramic-capacitors-mlcc-smd-smt_yageo-cc0402crnpo9bn6r8_C189470.html" TargetMode="External"/><Relationship Id="rId26" Type="http://schemas.openxmlformats.org/officeDocument/2006/relationships/hyperlink" Target="https://www.lcsc.com/product-detail/multilayer-ceramic-capacitors-mlcc-smd-smt_yageo-cc0402jrnpo9bn271_C107003.html" TargetMode="External"/><Relationship Id="rId47" Type="http://schemas.openxmlformats.org/officeDocument/2006/relationships/hyperlink" Target="https://www.lcsc.com/product-detail/resettable-fuses_littelfuse-0805l110slyr_C207024.html" TargetMode="External"/><Relationship Id="rId68" Type="http://schemas.openxmlformats.org/officeDocument/2006/relationships/hyperlink" Target="https://www.lcsc.com/product-detail/screw-terminal-blocks_dorabo-db128l-5-08-2p-bk-s_C430601.html" TargetMode="External"/><Relationship Id="rId89" Type="http://schemas.openxmlformats.org/officeDocument/2006/relationships/hyperlink" Target="https://www.lcsc.com/product-detail/chip-resistor-surface-mount_yageo-rc0402fr-07240rl_C114755.html" TargetMode="External"/><Relationship Id="rId112" Type="http://schemas.openxmlformats.org/officeDocument/2006/relationships/hyperlink" Target="https://www.lcsc.com/product-detail/Chip-Resistor-Surface-Mount_YAGEO-RC0603FR-0712K1L_C123417.html" TargetMode="External"/><Relationship Id="rId133" Type="http://schemas.openxmlformats.org/officeDocument/2006/relationships/hyperlink" Target="https://www.lcsc.com/product-detail/can-transceivers_texas-instruments-tcan3414dr_C22396693.html" TargetMode="External"/><Relationship Id="rId154" Type="http://schemas.openxmlformats.org/officeDocument/2006/relationships/printerSettings" Target="../printerSettings/printerSettings1.bin"/><Relationship Id="rId16" Type="http://schemas.openxmlformats.org/officeDocument/2006/relationships/hyperlink" Target="https://www.lcsc.com/product-detail/multilayer-ceramic-capacitors-mlcc-smd-smt_yageo-cc1206kkx7rdbb102_C23631.html" TargetMode="External"/><Relationship Id="rId37" Type="http://schemas.openxmlformats.org/officeDocument/2006/relationships/hyperlink" Target="https://www.lcsc.com/product-detail/esd-and-surge-protection-tvs-esd_stmicroelectronics-esdalc6v1-1u2_C1974498.html" TargetMode="External"/><Relationship Id="rId58" Type="http://schemas.openxmlformats.org/officeDocument/2006/relationships/hyperlink" Target="https://www.lcsc.com/product-detail/pin-headers_xkb-connection-x6511wv-02h-c60d30_C706874.html" TargetMode="External"/><Relationship Id="rId79" Type="http://schemas.openxmlformats.org/officeDocument/2006/relationships/hyperlink" Target="https://www.lcsc.com/product-detail/bipolar-bjt_elecsuper-mmbt3904_C5249683.html" TargetMode="External"/><Relationship Id="rId102" Type="http://schemas.openxmlformats.org/officeDocument/2006/relationships/hyperlink" Target="https://www.lcsc.com/product-detail/chip-resistor-surface-mount_yageo-rc0603fr-07120rl_C114640.html" TargetMode="External"/><Relationship Id="rId123" Type="http://schemas.openxmlformats.org/officeDocument/2006/relationships/hyperlink" Target="https://www.lcsc.com/product-detail/dip-switches_dongguan-kingtek-industrial-co-ltd-dsic03lsget_C57453.html" TargetMode="External"/><Relationship Id="rId144" Type="http://schemas.openxmlformats.org/officeDocument/2006/relationships/hyperlink" Target="https://www.lcsc.com/product-detail/crystals_seiko-epson-q22fa12800090_C255883.html" TargetMode="External"/><Relationship Id="rId90" Type="http://schemas.openxmlformats.org/officeDocument/2006/relationships/hyperlink" Target="https://www.lcsc.com/product-detail/chip-resistor-surface-mount_yageo-rc0402fr-070rl_C106231.htm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csc.com/product-detail/chip-resistor-surface-mount_yageo-rc0805fr-0749k9l_C114540.html" TargetMode="External"/><Relationship Id="rId21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42" Type="http://schemas.openxmlformats.org/officeDocument/2006/relationships/hyperlink" Target="https://www.lcsc.com/product-detail/switching-diodes_diodes-incorporated-1n4148w-7-f_C83528.html" TargetMode="External"/><Relationship Id="rId63" Type="http://schemas.openxmlformats.org/officeDocument/2006/relationships/hyperlink" Target="https://www.lcsc.com/product-detail/ethernet-connectors-modular-connectors-rj45-rj11_hanrun-zhongshan-hanrun-elec-hr911105a_C12074.html" TargetMode="External"/><Relationship Id="rId84" Type="http://schemas.openxmlformats.org/officeDocument/2006/relationships/hyperlink" Target="https://www.lcsc.com/product-detail/chip-resistor-surface-mount_yageo-rc0402fr-073k9l_C131467.html" TargetMode="External"/><Relationship Id="rId138" Type="http://schemas.openxmlformats.org/officeDocument/2006/relationships/hyperlink" Target="https://www.lcsc.com/product-detail/transistor-photovoltaic-output-optoisolators_slkor-slkormicro-elec-pc817c_C2936043.html" TargetMode="External"/><Relationship Id="rId107" Type="http://schemas.openxmlformats.org/officeDocument/2006/relationships/hyperlink" Target="https://www.lcsc.com/product-detail/chip-resistor-surface-mount_yageo-rc0402fr-074k7l_C105871.html" TargetMode="External"/><Relationship Id="rId11" Type="http://schemas.openxmlformats.org/officeDocument/2006/relationships/hyperlink" Target="https://www.lcsc.com/product-detail/multilayer-ceramic-capacitors-mlcc-smd-smt_yageo-cc0402jrx7r7bb104_C541464.html" TargetMode="External"/><Relationship Id="rId32" Type="http://schemas.openxmlformats.org/officeDocument/2006/relationships/hyperlink" Target="https://www.lcsc.com/product-detail/esd-and-surge-protection-tvs-esd_diodes-incorporated-smbj26a-13-f_C135062.html" TargetMode="External"/><Relationship Id="rId53" Type="http://schemas.openxmlformats.org/officeDocument/2006/relationships/hyperlink" Target="https://www.lcsc.com/product-detail/pin-headers_xkb-connection-x6511wv-03h-c60d30_C706875.html" TargetMode="External"/><Relationship Id="rId74" Type="http://schemas.openxmlformats.org/officeDocument/2006/relationships/hyperlink" Target="https://www.lcsc.com/product-detail/led-indication-discrete_foshan-nationstar-optoelectronics-ncd0603y2_C89811.html" TargetMode="External"/><Relationship Id="rId128" Type="http://schemas.openxmlformats.org/officeDocument/2006/relationships/hyperlink" Target="https://jlcpcb.com/partdetail/Stmicroelectronics-STM32H723ZGT6/C730146" TargetMode="External"/><Relationship Id="rId149" Type="http://schemas.openxmlformats.org/officeDocument/2006/relationships/hyperlink" Target="https://www.digikey.com/en/products/detail/amazing/AZ3005-01G/16615381?s=N4IgTCBcDaIIIC0DMAGFBWAtCgjAcRAF0BfIA" TargetMode="External"/><Relationship Id="rId5" Type="http://schemas.openxmlformats.org/officeDocument/2006/relationships/hyperlink" Target="https://www.lcsc.com/product-detail/multilayer-ceramic-capacitors-mlcc-smd-smt_samsung-electro-mechanics-cl10a105kb8nnnc_C15849.html" TargetMode="External"/><Relationship Id="rId95" Type="http://schemas.openxmlformats.org/officeDocument/2006/relationships/hyperlink" Target="https://www.lcsc.com/product-detail/chip-resistor-surface-mount_yageo-rc0402fr-0733rl_C138002.html" TargetMode="External"/><Relationship Id="rId22" Type="http://schemas.openxmlformats.org/officeDocument/2006/relationships/hyperlink" Target="https://www.lcsc.com/product-detail/multilayer-ceramic-capacitors-mlcc-smd-smt_murata-electronics-grm188r71c474ka88d_C86019.html" TargetMode="External"/><Relationship Id="rId27" Type="http://schemas.openxmlformats.org/officeDocument/2006/relationships/hyperlink" Target="https://www.lcsc.com/product-detail/multilayer-ceramic-capacitors-mlcc-smd-smt_yageo-cc0402jrnpo9bn101_C106200.html" TargetMode="External"/><Relationship Id="rId43" Type="http://schemas.openxmlformats.org/officeDocument/2006/relationships/hyperlink" Target="https://www.lcsc.com/product-detail/zener-diodes_eic-semicon-mm3z3v3b_C2978865.html" TargetMode="External"/><Relationship Id="rId48" Type="http://schemas.openxmlformats.org/officeDocument/2006/relationships/hyperlink" Target="https://www.lcsc.com/product-detail/resettable-fuses_born-smd0603-003-30n_C2687870.html" TargetMode="External"/><Relationship Id="rId64" Type="http://schemas.openxmlformats.org/officeDocument/2006/relationships/hyperlink" Target="https://www.lcsc.com/product-detail/screw-terminal-blocks_dorabo-db128v-5-08-5p-gn-s_C2927513.html" TargetMode="External"/><Relationship Id="rId69" Type="http://schemas.openxmlformats.org/officeDocument/2006/relationships/hyperlink" Target="https://www.lcsc.com/product-detail/screw-terminal-blocks_jiln-jl301-50012u01_C1509686.html" TargetMode="External"/><Relationship Id="rId113" Type="http://schemas.openxmlformats.org/officeDocument/2006/relationships/hyperlink" Target="https://www.lcsc.com/product-detail/chip-resistor-surface-mount_yageo-rc0805fr-07200rl_C114567.html" TargetMode="External"/><Relationship Id="rId118" Type="http://schemas.openxmlformats.org/officeDocument/2006/relationships/hyperlink" Target="https://www.lcsc.com/product-detail/chip-resistor-surface-mount_yageo-rt0805brd07412kl_C865478.html" TargetMode="External"/><Relationship Id="rId134" Type="http://schemas.openxmlformats.org/officeDocument/2006/relationships/hyperlink" Target="https://www.lcsc.com/product-detail/rs232-ics_texas-instruments-trsf3221eirgtr_C2861230.html" TargetMode="External"/><Relationship Id="rId139" Type="http://schemas.openxmlformats.org/officeDocument/2006/relationships/hyperlink" Target="https://www.lcsc.com/product-detail/digital-to-analog-converters-dac_texas-instruments-dac161s997rghr_C90500.html" TargetMode="External"/><Relationship Id="rId80" Type="http://schemas.openxmlformats.org/officeDocument/2006/relationships/hyperlink" Target="https://www.lcsc.com/product-detail/mosfets_guangdong-hottech-ao3401_C181091.html" TargetMode="External"/><Relationship Id="rId85" Type="http://schemas.openxmlformats.org/officeDocument/2006/relationships/hyperlink" Target="https://www.lcsc.com/product-detail/chip-resistor-surface-mount_yageo-rt0805brd07698kl_C865618.html" TargetMode="External"/><Relationship Id="rId150" Type="http://schemas.openxmlformats.org/officeDocument/2006/relationships/hyperlink" Target="https://www.digikey.com/en/products/detail/amazing/AZ3003-01G/16615352?s=N4IgTCBcDaIIIC0DMAGFSC0KCMBxEAugL5A" TargetMode="External"/><Relationship Id="rId12" Type="http://schemas.openxmlformats.org/officeDocument/2006/relationships/hyperlink" Target="https://www.lcsc.com/product-detail/multilayer-ceramic-capacitors-mlcc-smd-smt_yageo-cc0402krx5r7bb105_C325464.html" TargetMode="External"/><Relationship Id="rId17" Type="http://schemas.openxmlformats.org/officeDocument/2006/relationships/hyperlink" Target="https://www.lcsc.com/product-detail/multilayer-ceramic-capacitors-mlcc-smd-smt_murata-electronics-grm1555c1h100ja01d_C76946.html" TargetMode="External"/><Relationship Id="rId33" Type="http://schemas.openxmlformats.org/officeDocument/2006/relationships/hyperlink" Target="https://www.lcsc.com/product-detail/Multilayer-Ceramic-Capacitors-MLCC-SMD-SMT_YAGEO-CC0603JRNPO9BN471_C106211.html" TargetMode="External"/><Relationship Id="rId38" Type="http://schemas.openxmlformats.org/officeDocument/2006/relationships/hyperlink" Target="https://www.lcsc.com/product-detail/esd-and-surge-protection-tvs-esd_bourns-cdsot23-t24can-q_C350941.html" TargetMode="External"/><Relationship Id="rId59" Type="http://schemas.openxmlformats.org/officeDocument/2006/relationships/hyperlink" Target="https://www.lcsc.com/product-detail/screw-terminal-blocks_dorabo-db128l-5-08-3p-bk-s_C430602.html" TargetMode="External"/><Relationship Id="rId103" Type="http://schemas.openxmlformats.org/officeDocument/2006/relationships/hyperlink" Target="https://www.lcsc.com/product-detail/chip-resistor-surface-mount_yageo-rc0603fr-0749r9l_C114625.html" TargetMode="External"/><Relationship Id="rId108" Type="http://schemas.openxmlformats.org/officeDocument/2006/relationships/hyperlink" Target="https://www.lcsc.com/product-detail/chip-resistor-surface-mount_yageo-rc0402fr-0720kl_C93942.html" TargetMode="External"/><Relationship Id="rId124" Type="http://schemas.openxmlformats.org/officeDocument/2006/relationships/hyperlink" Target="https://www.lcsc.com/product-detail/pulse-transformers-lan_pulse-elec-h1102nlt_C18584.html" TargetMode="External"/><Relationship Id="rId129" Type="http://schemas.openxmlformats.org/officeDocument/2006/relationships/hyperlink" Target="https://www.lcsc.com/product-detail/ethernet-transceivers_microchip-tech-lan8742a-cz-tr_C621424.html" TargetMode="External"/><Relationship Id="rId54" Type="http://schemas.openxmlformats.org/officeDocument/2006/relationships/hyperlink" Target="https://www.lcsc.com/product-detail/ethernet-connectors-modular-connectors-rj45-rj11_xkb-connection-x12adab1a3dy1027_C2916459.html" TargetMode="External"/><Relationship Id="rId70" Type="http://schemas.openxmlformats.org/officeDocument/2006/relationships/hyperlink" Target="https://www.lcsc.com/product-detail/screw-terminal-blocks_dorabo-db128v-5-08-12p-gn-s_C2927515.html" TargetMode="External"/><Relationship Id="rId75" Type="http://schemas.openxmlformats.org/officeDocument/2006/relationships/hyperlink" Target="https://www.lcsc.com/product-detail/led-indication-discrete_foshan-nationstar-optoelectronics-ncd0603g2_C87326.html" TargetMode="External"/><Relationship Id="rId91" Type="http://schemas.openxmlformats.org/officeDocument/2006/relationships/hyperlink" Target="https://www.lcsc.com/product-detail/chip-resistor-surface-mount_yageo-rc0402fr-0710kl_C60490.html" TargetMode="External"/><Relationship Id="rId96" Type="http://schemas.openxmlformats.org/officeDocument/2006/relationships/hyperlink" Target="https://www.lcsc.com/product-detail/chip-resistor-surface-mount_yageo-rc0402fr-0747kl_C93943.html" TargetMode="External"/><Relationship Id="rId140" Type="http://schemas.openxmlformats.org/officeDocument/2006/relationships/hyperlink" Target="https://www.lcsc.com/product-detail/dc-dc-converters_texas-instruments-tps54360ddar_C44377.html" TargetMode="External"/><Relationship Id="rId145" Type="http://schemas.openxmlformats.org/officeDocument/2006/relationships/hyperlink" Target="https://www.lcsc.com/product-detail/crystals_ndk-nx3215sa-32-768k-std-mua-8_C156245.html" TargetMode="External"/><Relationship Id="rId1" Type="http://schemas.openxmlformats.org/officeDocument/2006/relationships/hyperlink" Target="https://www.lcsc.com/product-detail/aluminum-electrolytic-capacitors-smd_nichicon-ucd1h221mnl1gs_C116211.html" TargetMode="External"/><Relationship Id="rId6" Type="http://schemas.openxmlformats.org/officeDocument/2006/relationships/hyperlink" Target="https://www.lcsc.com/product-detail/multilayer-ceramic-capacitors-mlcc-smd-smt_samsung-electro-mechanics-cl10b104kb8wpnc_C307348.html" TargetMode="External"/><Relationship Id="rId23" Type="http://schemas.openxmlformats.org/officeDocument/2006/relationships/hyperlink" Target="https://www.lcsc.com/product-detail/multilayer-ceramic-capacitors-mlcc-smd-smt_yageo-cc0402krx7r8bb102_C541372.html" TargetMode="External"/><Relationship Id="rId28" Type="http://schemas.openxmlformats.org/officeDocument/2006/relationships/hyperlink" Target="https://www.lcsc.com/product-detail/multilayer-ceramic-capacitors-mlcc-smd-smt_murata-electronics-gjm1555c1h120gb01d_C161305.html" TargetMode="External"/><Relationship Id="rId49" Type="http://schemas.openxmlformats.org/officeDocument/2006/relationships/hyperlink" Target="https://www.lcsc.com/product-detail/ferrite-beads_murata-electronics-blm18hg601sn1d_C85830.html" TargetMode="External"/><Relationship Id="rId114" Type="http://schemas.openxmlformats.org/officeDocument/2006/relationships/hyperlink" Target="https://www.lcsc.com/product-detail/chip-resistor-surface-mount_yageo-rt0402brd0720rl_C852630.html" TargetMode="External"/><Relationship Id="rId119" Type="http://schemas.openxmlformats.org/officeDocument/2006/relationships/hyperlink" Target="https://www.lcsc.com/product-detail/chip-resistor-surface-mount_yageo-rt0402brd071k6l_C852616.html" TargetMode="External"/><Relationship Id="rId44" Type="http://schemas.openxmlformats.org/officeDocument/2006/relationships/hyperlink" Target="https://www.lcsc.com/product-detail/zener-diodes_onsemi-mmsz4686t1g_C236098.html" TargetMode="External"/><Relationship Id="rId60" Type="http://schemas.openxmlformats.org/officeDocument/2006/relationships/hyperlink" Target="https://www.lcsc.com/product-detail/ethernet-connectors-modular-connectors-rj45-rj11_xkb-connection-x14cbiwb1dy1027_C2931489.html" TargetMode="External"/><Relationship Id="rId65" Type="http://schemas.openxmlformats.org/officeDocument/2006/relationships/hyperlink" Target="https://www.lcsc.com/product-detail/screw-terminal-blocks_dorabo-db128l-5-08-2p-og-s_C430603.html" TargetMode="External"/><Relationship Id="rId81" Type="http://schemas.openxmlformats.org/officeDocument/2006/relationships/hyperlink" Target="https://www.lcsc.com/product-detail/bipolar-bjt_onsemi-pzt3904t1g_C232396.html" TargetMode="External"/><Relationship Id="rId86" Type="http://schemas.openxmlformats.org/officeDocument/2006/relationships/hyperlink" Target="https://www.lcsc.com/product-detail/chip-resistor-surface-mount_yageo-rt0805brd0751k1l_C865541.html" TargetMode="External"/><Relationship Id="rId130" Type="http://schemas.openxmlformats.org/officeDocument/2006/relationships/hyperlink" Target="https://www.lcsc.com/product-detail/power-distribution-switches_stmicroelectronics-stmps2161str_C361034.html" TargetMode="External"/><Relationship Id="rId135" Type="http://schemas.openxmlformats.org/officeDocument/2006/relationships/hyperlink" Target="https://www.lcsc.com/product-detail/rs-485-rs-422-ics_texas-instruments-thvd1449dr_C3235059.html" TargetMode="External"/><Relationship Id="rId151" Type="http://schemas.openxmlformats.org/officeDocument/2006/relationships/hyperlink" Target="https://www.chipsmall.com/Products/ESDM2033MX4T5G_ON-Semiconductor_20281488.html" TargetMode="External"/><Relationship Id="rId13" Type="http://schemas.openxmlformats.org/officeDocument/2006/relationships/hyperlink" Target="https://www.lcsc.com/product-detail/multilayer-ceramic-capacitors-mlcc-smd-smt_yageo-cc0201jrnpo9bn150_C277480.html" TargetMode="External"/><Relationship Id="rId18" Type="http://schemas.openxmlformats.org/officeDocument/2006/relationships/hyperlink" Target="https://www.lcsc.com/product-detail/multilayer-ceramic-capacitors-mlcc-smd-smt_yageo-cc0402jrx7r7bb223_C541459.html" TargetMode="External"/><Relationship Id="rId39" Type="http://schemas.openxmlformats.org/officeDocument/2006/relationships/hyperlink" Target="https://www.lcsc.com/product-detail/esd-and-surge-protection-tvs-esd_tech-public-sm712_C521963.html" TargetMode="External"/><Relationship Id="rId109" Type="http://schemas.openxmlformats.org/officeDocument/2006/relationships/hyperlink" Target="https://www.lcsc.com/product-detail/chip-resistor-surface-mount_uni-royal-uniroyal-elec-0402wgf4301tce_C25899.html" TargetMode="External"/><Relationship Id="rId34" Type="http://schemas.openxmlformats.org/officeDocument/2006/relationships/hyperlink" Target="https://www.lcsc.com/product-detail/esd-and-surge-protection-tvs-esd_stmicroelectronics-esdalc6v1w5_C703691.html" TargetMode="External"/><Relationship Id="rId50" Type="http://schemas.openxmlformats.org/officeDocument/2006/relationships/hyperlink" Target="https://www.lcsc.com/product-detail/ferrite-beads_murata-electronics-blm18pg221sn1d_C80165.html" TargetMode="External"/><Relationship Id="rId55" Type="http://schemas.openxmlformats.org/officeDocument/2006/relationships/hyperlink" Target="https://www.lcsc.com/product-detail/usb-connectors_xkb-connection-u-e-051n-4bh21-s1b_C319153.html" TargetMode="External"/><Relationship Id="rId76" Type="http://schemas.openxmlformats.org/officeDocument/2006/relationships/hyperlink" Target="https://www.lcsc.com/product-detail/rgb-leds-built-in-ic_worldsemi-ws2812d-f5_C190565.html" TargetMode="External"/><Relationship Id="rId97" Type="http://schemas.openxmlformats.org/officeDocument/2006/relationships/hyperlink" Target="https://www.lcsc.com/product-detail/chip-resistor-surface-mount_yageo-rc0402fr-074k7l_C105871.html" TargetMode="External"/><Relationship Id="rId104" Type="http://schemas.openxmlformats.org/officeDocument/2006/relationships/hyperlink" Target="https://www.lcsc.com/product-detail/chip-resistor-surface-mount_yageo-ac0402fr-070rl_C226739.html" TargetMode="External"/><Relationship Id="rId120" Type="http://schemas.openxmlformats.org/officeDocument/2006/relationships/hyperlink" Target="https://www.lcsc.com/product-detail/Chip-Resistor-Surface-Mount_YAGEO-RT0402BRD0758K3L_C852851.html" TargetMode="External"/><Relationship Id="rId125" Type="http://schemas.openxmlformats.org/officeDocument/2006/relationships/hyperlink" Target="https://www.lcsc.com/product-detail/power-distribution-switches_texas-instruments-lm74700qdbvrq1_C2941042.html" TargetMode="External"/><Relationship Id="rId141" Type="http://schemas.openxmlformats.org/officeDocument/2006/relationships/hyperlink" Target="https://www.chipsmall.com/Products/OPA4192IPWR_10042324.html" TargetMode="External"/><Relationship Id="rId146" Type="http://schemas.openxmlformats.org/officeDocument/2006/relationships/hyperlink" Target="https://www.chipsmall.com/Products/X322525MRB4SI_Yangxing-Tech_20410221.html" TargetMode="External"/><Relationship Id="rId7" Type="http://schemas.openxmlformats.org/officeDocument/2006/relationships/hyperlink" Target="https://www.lcsc.com/product-detail/multilayer-ceramic-capacitors-mlcc-smd-smt_taiyo-yuden-umk316ab7475kl-t_C92853.html" TargetMode="External"/><Relationship Id="rId71" Type="http://schemas.openxmlformats.org/officeDocument/2006/relationships/hyperlink" Target="https://www.lcsc.com/product-detail/power-inductors_bourns-srp1265a-150m_C189912.html" TargetMode="External"/><Relationship Id="rId92" Type="http://schemas.openxmlformats.org/officeDocument/2006/relationships/hyperlink" Target="https://www.lcsc.com/product-detail/chip-resistor-surface-mount_yageo-rc0402jr-0775rl_C137841.html" TargetMode="External"/><Relationship Id="rId2" Type="http://schemas.openxmlformats.org/officeDocument/2006/relationships/hyperlink" Target="https://www.lcsc.com/product-detail/aluminum-electrolytic-capacitors-smd_roqang-rvt1h470m0607_C72523.html" TargetMode="External"/><Relationship Id="rId29" Type="http://schemas.openxmlformats.org/officeDocument/2006/relationships/hyperlink" Target="https://www.lcsc.com/product-detail/multilayer-ceramic-capacitors-mlcc-smd-smt_tdk-c1608x7r1e105k080ab_C2170660.html" TargetMode="External"/><Relationship Id="rId24" Type="http://schemas.openxmlformats.org/officeDocument/2006/relationships/hyperlink" Target="https://www.lcsc.com/product-detail/multilayer-ceramic-capacitors-mlcc-smd-smt_yageo-cc1206kkx7r7bb225_C107183.html" TargetMode="External"/><Relationship Id="rId40" Type="http://schemas.openxmlformats.org/officeDocument/2006/relationships/hyperlink" Target="https://www.lcsc.com/product-detail/schottky-diodes_mdd-microdiode-semiconductor-ss16_C2481.html" TargetMode="External"/><Relationship Id="rId45" Type="http://schemas.openxmlformats.org/officeDocument/2006/relationships/hyperlink" Target="https://www.lcsc.com/product-detail/schottky-diodes_diodes-incorporated-b360a-13-f_C94193.html" TargetMode="External"/><Relationship Id="rId66" Type="http://schemas.openxmlformats.org/officeDocument/2006/relationships/hyperlink" Target="https://www.lcsc.com/product-detail/screw-terminal-blocks_dorabo-db128l-5-08-2p-gy-s_C500021.html" TargetMode="External"/><Relationship Id="rId87" Type="http://schemas.openxmlformats.org/officeDocument/2006/relationships/hyperlink" Target="https://www.lcsc.com/product-detail/chip-resistor-surface-mount_yageo-rt0402brd0724k9l_C852664.html" TargetMode="External"/><Relationship Id="rId110" Type="http://schemas.openxmlformats.org/officeDocument/2006/relationships/hyperlink" Target="https://www.lcsc.com/product-detail/chip-resistor-surface-mount_yageo-rc0603jr-07120rl_C114681.html" TargetMode="External"/><Relationship Id="rId115" Type="http://schemas.openxmlformats.org/officeDocument/2006/relationships/hyperlink" Target="https://www.lcsc.com/product-detail/chip-resistor-surface-mount_yageo-rc0402fr-07100rl_C106232.html" TargetMode="External"/><Relationship Id="rId131" Type="http://schemas.openxmlformats.org/officeDocument/2006/relationships/hyperlink" Target="https://www.lcsc.com/product-detail/esd-and-surge-protection-tvs-esd_tech-public-usblc6-2sc6_C2827654.html" TargetMode="External"/><Relationship Id="rId136" Type="http://schemas.openxmlformats.org/officeDocument/2006/relationships/hyperlink" Target="https://www.chipsmall.com/Products/LAN9253-I-R4X_33343268.html" TargetMode="External"/><Relationship Id="rId61" Type="http://schemas.openxmlformats.org/officeDocument/2006/relationships/hyperlink" Target="https://www.lcsc.com/product-detail/screw-terminal-blocks_dorabo-db128l-5-08-3p-gn-s_C395869.html" TargetMode="External"/><Relationship Id="rId82" Type="http://schemas.openxmlformats.org/officeDocument/2006/relationships/hyperlink" Target="https://www.lcsc.com/product-detail/digital-transistors_lrc-lmun2211lt1g_C12775.html" TargetMode="External"/><Relationship Id="rId152" Type="http://schemas.openxmlformats.org/officeDocument/2006/relationships/hyperlink" Target="https://www.lcsc.com/product-detail/Multilayer-Ceramic-Capacitors-MLCC-SMD-SMT_YAGEO-CC1206KKX7R9BB224_C107186.html" TargetMode="External"/><Relationship Id="rId19" Type="http://schemas.openxmlformats.org/officeDocument/2006/relationships/hyperlink" Target="https://www.lcsc.com/product-detail/multilayer-ceramic-capacitors-mlcc-smd-smt_yageo-cc0402grnpo9bn300_C277479.html" TargetMode="External"/><Relationship Id="rId14" Type="http://schemas.openxmlformats.org/officeDocument/2006/relationships/hyperlink" Target="https://www.lcsc.com/product-detail/multilayer-ceramic-capacitors-mlcc-smd-smt_yageo-cc0402mrx5r6bb106_C962143.html" TargetMode="External"/><Relationship Id="rId30" Type="http://schemas.openxmlformats.org/officeDocument/2006/relationships/hyperlink" Target="https://www.lcsc.com/product-detail/tantalum-capacitors_kyocera-avx-tajc106k035rnj_C7211.html" TargetMode="External"/><Relationship Id="rId35" Type="http://schemas.openxmlformats.org/officeDocument/2006/relationships/hyperlink" Target="https://www.lcsc.com/product-detail/esd-and-surge-protection-tvs-esd_stmicroelectronics-usblc6-4sc6_C111212.html" TargetMode="External"/><Relationship Id="rId56" Type="http://schemas.openxmlformats.org/officeDocument/2006/relationships/hyperlink" Target="https://www.lcsc.com/product-detail/usb-connectors_xkb-connection-u263-163n-4bqc65_C2938598.html" TargetMode="External"/><Relationship Id="rId77" Type="http://schemas.openxmlformats.org/officeDocument/2006/relationships/hyperlink" Target="https://www.lcsc.com/product-detail/mosfets_diodes-incorporated-dmt6007lfg-7_C2802568.html" TargetMode="External"/><Relationship Id="rId100" Type="http://schemas.openxmlformats.org/officeDocument/2006/relationships/hyperlink" Target="https://www.lcsc.com/product-detail/chip-resistor-surface-mount_yageo-rc0603fr-0747k5l_C137715.html" TargetMode="External"/><Relationship Id="rId105" Type="http://schemas.openxmlformats.org/officeDocument/2006/relationships/hyperlink" Target="https://www.lcsc.com/product-detail/chip-resistor-surface-mount_yageo-rc0603jr-07330rl_C105879.html" TargetMode="External"/><Relationship Id="rId126" Type="http://schemas.openxmlformats.org/officeDocument/2006/relationships/hyperlink" Target="https://www.lcsc.com/product-detail/dc-dc-converters_texas-instruments-lm60440aqrpkrq1_C3187981.html" TargetMode="External"/><Relationship Id="rId147" Type="http://schemas.openxmlformats.org/officeDocument/2006/relationships/hyperlink" Target="https://www.chipsmall.com/Products/TC2030-IDC_10471659.html" TargetMode="External"/><Relationship Id="rId8" Type="http://schemas.openxmlformats.org/officeDocument/2006/relationships/hyperlink" Target="https://www.lcsc.com/product-detail/multilayer-ceramic-capacitors-mlcc-smd-smt_murata-electronics-grm31cr61e476me44l_C403725.html" TargetMode="External"/><Relationship Id="rId51" Type="http://schemas.openxmlformats.org/officeDocument/2006/relationships/hyperlink" Target="https://jlcpcb.com/partdetail/Littelfuse-178_61650002/C207061" TargetMode="External"/><Relationship Id="rId72" Type="http://schemas.openxmlformats.org/officeDocument/2006/relationships/hyperlink" Target="https://www.lcsc.com/product-detail/power-inductors_coilcraft-msd1278-333mld_C20417040.html" TargetMode="External"/><Relationship Id="rId93" Type="http://schemas.openxmlformats.org/officeDocument/2006/relationships/hyperlink" Target="https://www.lcsc.com/product-detail/chip-resistor-surface-mount_yageo-rc0201fr-0749r9l_C155744.html" TargetMode="External"/><Relationship Id="rId98" Type="http://schemas.openxmlformats.org/officeDocument/2006/relationships/hyperlink" Target="https://www.lcsc.com/product-detail/chip-resistor-surface-mount_yageo-rc0402fr-072kl_C60488.html" TargetMode="External"/><Relationship Id="rId121" Type="http://schemas.openxmlformats.org/officeDocument/2006/relationships/hyperlink" Target="https://www.lcsc.com/product-detail/chip-resistor-surface-mount_yageo-rc0402fr-071kl_C106235.html" TargetMode="External"/><Relationship Id="rId142" Type="http://schemas.openxmlformats.org/officeDocument/2006/relationships/hyperlink" Target="https://www.lcsc.com/product-detail/digital-to-analog-converters-dac_texas-instruments-dac8832icrgyt_C2876764.html" TargetMode="External"/><Relationship Id="rId3" Type="http://schemas.openxmlformats.org/officeDocument/2006/relationships/hyperlink" Target="https://www.lcsc.com/product-detail/multilayer-ceramic-capacitors-mlcc-smd-smt_yageo-cc0805jrx7r0bb223_C576993.html" TargetMode="External"/><Relationship Id="rId25" Type="http://schemas.openxmlformats.org/officeDocument/2006/relationships/hyperlink" Target="https://www.lcsc.com/product-detail/multilayer-ceramic-capacitors-mlcc-smd-smt_yageo-cc0805mkx5r8bb226_C784585.html" TargetMode="External"/><Relationship Id="rId46" Type="http://schemas.openxmlformats.org/officeDocument/2006/relationships/hyperlink" Target="https://www.lcsc.com/product-detail/schottky-diodes_diodes-incorporated-b360-13-f_C110487.html" TargetMode="External"/><Relationship Id="rId67" Type="http://schemas.openxmlformats.org/officeDocument/2006/relationships/hyperlink" Target="https://www.lcsc.com/product-detail/screw-terminal-blocks_dorabo-db128l-5-08-2p-gn-s_C395868.html" TargetMode="External"/><Relationship Id="rId116" Type="http://schemas.openxmlformats.org/officeDocument/2006/relationships/hyperlink" Target="https://www.lcsc.com/product-detail/chip-resistor-surface-mount_yageo-rt0805brd07422kl_C865483.html" TargetMode="External"/><Relationship Id="rId137" Type="http://schemas.openxmlformats.org/officeDocument/2006/relationships/hyperlink" Target="https://www.lcsc.com/product-detail/eeprom_onsemi-cat24c256wi-gt3_C79987.html" TargetMode="External"/><Relationship Id="rId20" Type="http://schemas.openxmlformats.org/officeDocument/2006/relationships/hyperlink" Target="https://www.lcsc.com/product-detail/multilayer-ceramic-capacitors-mlcc-smd-smt_yageo-cc0603krx7r9bb103_C100042.html" TargetMode="External"/><Relationship Id="rId41" Type="http://schemas.openxmlformats.org/officeDocument/2006/relationships/hyperlink" Target="https://www.lcsc.com/product-detail/zener-diodes_onsemi-1sma5930bt3g_C128848.html" TargetMode="External"/><Relationship Id="rId62" Type="http://schemas.openxmlformats.org/officeDocument/2006/relationships/hyperlink" Target="https://www.lcsc.com/product-detail/screw-terminal-blocks_dorabo-db128l-5-08-3p-gy-s_C500022.html" TargetMode="External"/><Relationship Id="rId83" Type="http://schemas.openxmlformats.org/officeDocument/2006/relationships/hyperlink" Target="https://www.lcsc.com/product-detail/chip-resistor-surface-mount_yageo-rt0402brd07100kl_C852472.html" TargetMode="External"/><Relationship Id="rId88" Type="http://schemas.openxmlformats.org/officeDocument/2006/relationships/hyperlink" Target="https://www.lcsc.com/product-detail/chip-resistor-surface-mount_yageo-rc0402fr-07499rl_C137970.html" TargetMode="External"/><Relationship Id="rId111" Type="http://schemas.openxmlformats.org/officeDocument/2006/relationships/hyperlink" Target="https://www.lcsc.com/product-detail/Chip-Resistor-Surface-Mount_YAGEO-RC0805JR-070RL_C96345.html" TargetMode="External"/><Relationship Id="rId132" Type="http://schemas.openxmlformats.org/officeDocument/2006/relationships/hyperlink" Target="https://www.lcsc.com/product-detail/usb-converters_skyworks-silicon-labs-cp2102n-a02-gqfn28r_C964632.html" TargetMode="External"/><Relationship Id="rId153" Type="http://schemas.openxmlformats.org/officeDocument/2006/relationships/hyperlink" Target="https://www.lcsc.com/product-detail/Multilayer-Ceramic-Capacitors-MLCC-SMD-SMT_Samsung-Electro-Mechanics-CL05A475KP5NRNC_C368809.html" TargetMode="External"/><Relationship Id="rId15" Type="http://schemas.openxmlformats.org/officeDocument/2006/relationships/hyperlink" Target="https://www.lcsc.com/product-detail/multilayer-ceramic-capacitors-mlcc-smd-smt_murata-electronics-grm155r11h471ka01d_C576458.html" TargetMode="External"/><Relationship Id="rId36" Type="http://schemas.openxmlformats.org/officeDocument/2006/relationships/hyperlink" Target="https://www.lcsc.com/product-detail/esd-and-surge-protection-tvs-esd_stmicroelectronics-esda7p60-1u1m_C1975146.html" TargetMode="External"/><Relationship Id="rId57" Type="http://schemas.openxmlformats.org/officeDocument/2006/relationships/hyperlink" Target="https://www.lcsc.com/product-detail/ethernet-connectors-modular-connectors-rj45-rj11_xkb-connection-x10adiwk1dy1006_C2916456.html" TargetMode="External"/><Relationship Id="rId106" Type="http://schemas.openxmlformats.org/officeDocument/2006/relationships/hyperlink" Target="https://www.lcsc.com/product-detail/chip-resistor-surface-mount_yageo-rt0402brd0712k1l_C281773.html" TargetMode="External"/><Relationship Id="rId127" Type="http://schemas.openxmlformats.org/officeDocument/2006/relationships/hyperlink" Target="https://www.chipsmall.com/Products/ST1L05APU33R_10354770.html" TargetMode="External"/><Relationship Id="rId10" Type="http://schemas.openxmlformats.org/officeDocument/2006/relationships/hyperlink" Target="https://www.lcsc.com/product-detail/multilayer-ceramic-capacitors-mlcc-smd-smt_murata-electronics-grm155r61e225ke11d_C385032.html" TargetMode="External"/><Relationship Id="rId31" Type="http://schemas.openxmlformats.org/officeDocument/2006/relationships/hyperlink" Target="https://www.lcsc.com/product-detail/esd-and-surge-protection-tvs-esd_diodes-incorporated-smbj58a-13-f_C135085.html" TargetMode="External"/><Relationship Id="rId52" Type="http://schemas.openxmlformats.org/officeDocument/2006/relationships/hyperlink" Target="https://www.lcsc.com/product-detail/screw-terminal-blocks_dorabo-db128l-5-08-3p-og-s_C430604.html" TargetMode="External"/><Relationship Id="rId73" Type="http://schemas.openxmlformats.org/officeDocument/2006/relationships/hyperlink" Target="https://www.lcsc.com/product-detail/led-indication-discrete_foshan-nationstar-optoelectronics-ncd0603r3_C3151730.html" TargetMode="External"/><Relationship Id="rId78" Type="http://schemas.openxmlformats.org/officeDocument/2006/relationships/hyperlink" Target="https://www.lcsc.com/product-detail/mosfets_tech-public-si2302cds_C5310968.html" TargetMode="External"/><Relationship Id="rId94" Type="http://schemas.openxmlformats.org/officeDocument/2006/relationships/hyperlink" Target="https://www.lcsc.com/product-detail/chip-resistor-surface-mount_yageo-rc0402fr-070rl_C106231.html" TargetMode="External"/><Relationship Id="rId99" Type="http://schemas.openxmlformats.org/officeDocument/2006/relationships/hyperlink" Target="https://www.lcsc.com/product-detail/chip-resistor-surface-mount_yageo-rc0603fr-0722k1l_C137768.html" TargetMode="External"/><Relationship Id="rId101" Type="http://schemas.openxmlformats.org/officeDocument/2006/relationships/hyperlink" Target="https://www.lcsc.com/product-detail/chip-resistor-surface-mount_yageo-rc0402fr-075k1l_C105872.html" TargetMode="External"/><Relationship Id="rId122" Type="http://schemas.openxmlformats.org/officeDocument/2006/relationships/hyperlink" Target="https://www.lcsc.com/product-detail/tactile-switches_omron-electronics-b3u-1000p_C231329.html" TargetMode="External"/><Relationship Id="rId143" Type="http://schemas.openxmlformats.org/officeDocument/2006/relationships/hyperlink" Target="https://www.chipsmall.com/Products/REF5050IDGKT_10075802.html" TargetMode="External"/><Relationship Id="rId148" Type="http://schemas.openxmlformats.org/officeDocument/2006/relationships/hyperlink" Target="https://www.digikey.com/en/products/detail/amazing/AZ4024-01G/16615396?s=N4IgTCBcDaIIIC0AsAGMSC0KCMBxEAugL5A" TargetMode="External"/><Relationship Id="rId4" Type="http://schemas.openxmlformats.org/officeDocument/2006/relationships/hyperlink" Target="https://www.lcsc.com/product-detail/multilayer-ceramic-capacitors-mlcc-smd-smt_murata-electronics-grm21br61h106me43l_C2190942.html" TargetMode="External"/><Relationship Id="rId9" Type="http://schemas.openxmlformats.org/officeDocument/2006/relationships/hyperlink" Target="https://www.lcsc.com/product-detail/multilayer-ceramic-capacitors-mlcc-smd-smt_yageo-cc0402crnpo9bn6r8_C189470.html" TargetMode="External"/><Relationship Id="rId26" Type="http://schemas.openxmlformats.org/officeDocument/2006/relationships/hyperlink" Target="https://www.lcsc.com/product-detail/multilayer-ceramic-capacitors-mlcc-smd-smt_yageo-cc0402jrnpo9bn271_C107003.html" TargetMode="External"/><Relationship Id="rId47" Type="http://schemas.openxmlformats.org/officeDocument/2006/relationships/hyperlink" Target="https://www.lcsc.com/product-detail/resettable-fuses_littelfuse-0805l110slyr_C207024.html" TargetMode="External"/><Relationship Id="rId68" Type="http://schemas.openxmlformats.org/officeDocument/2006/relationships/hyperlink" Target="https://www.lcsc.com/product-detail/screw-terminal-blocks_dorabo-db128l-5-08-2p-bk-s_C430601.html" TargetMode="External"/><Relationship Id="rId89" Type="http://schemas.openxmlformats.org/officeDocument/2006/relationships/hyperlink" Target="https://www.lcsc.com/product-detail/chip-resistor-surface-mount_yageo-rc0402fr-07240rl_C114755.html" TargetMode="External"/><Relationship Id="rId112" Type="http://schemas.openxmlformats.org/officeDocument/2006/relationships/hyperlink" Target="https://www.lcsc.com/product-detail/Chip-Resistor-Surface-Mount_YAGEO-RC0603FR-0712K1L_C123417.html" TargetMode="External"/><Relationship Id="rId133" Type="http://schemas.openxmlformats.org/officeDocument/2006/relationships/hyperlink" Target="https://www.lcsc.com/product-detail/can-transceivers_texas-instruments-tcan3414dr_C22396693.html" TargetMode="External"/><Relationship Id="rId154" Type="http://schemas.openxmlformats.org/officeDocument/2006/relationships/printerSettings" Target="../printerSettings/printerSettings2.bin"/><Relationship Id="rId16" Type="http://schemas.openxmlformats.org/officeDocument/2006/relationships/hyperlink" Target="https://www.lcsc.com/product-detail/multilayer-ceramic-capacitors-mlcc-smd-smt_yageo-cc1206kkx7rdbb102_C23631.html" TargetMode="External"/><Relationship Id="rId37" Type="http://schemas.openxmlformats.org/officeDocument/2006/relationships/hyperlink" Target="https://www.lcsc.com/product-detail/esd-and-surge-protection-tvs-esd_stmicroelectronics-esdalc6v1-1u2_C1974498.html" TargetMode="External"/><Relationship Id="rId58" Type="http://schemas.openxmlformats.org/officeDocument/2006/relationships/hyperlink" Target="https://www.lcsc.com/product-detail/pin-headers_xkb-connection-x6511wv-02h-c60d30_C706874.html" TargetMode="External"/><Relationship Id="rId79" Type="http://schemas.openxmlformats.org/officeDocument/2006/relationships/hyperlink" Target="https://www.lcsc.com/product-detail/bipolar-bjt_elecsuper-mmbt3904_C5249683.html" TargetMode="External"/><Relationship Id="rId102" Type="http://schemas.openxmlformats.org/officeDocument/2006/relationships/hyperlink" Target="https://www.lcsc.com/product-detail/chip-resistor-surface-mount_yageo-rc0603fr-07120rl_C114640.html" TargetMode="External"/><Relationship Id="rId123" Type="http://schemas.openxmlformats.org/officeDocument/2006/relationships/hyperlink" Target="https://www.lcsc.com/product-detail/dip-switches_dongguan-kingtek-industrial-co-ltd-dsic03lsget_C57453.html" TargetMode="External"/><Relationship Id="rId144" Type="http://schemas.openxmlformats.org/officeDocument/2006/relationships/hyperlink" Target="https://www.lcsc.com/product-detail/crystals_seiko-epson-q22fa12800090_C255883.html" TargetMode="External"/><Relationship Id="rId90" Type="http://schemas.openxmlformats.org/officeDocument/2006/relationships/hyperlink" Target="https://www.lcsc.com/product-detail/chip-resistor-surface-mount_yageo-rc0402fr-070rl_C10623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75"/>
  <sheetViews>
    <sheetView workbookViewId="0">
      <selection activeCell="H165" sqref="H165"/>
    </sheetView>
  </sheetViews>
  <sheetFormatPr defaultRowHeight="15"/>
  <cols>
    <col min="2" max="2" width="4" style="10" bestFit="1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9.425781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1.85546875" customWidth="1"/>
    <col min="16" max="16" width="18.7109375" bestFit="1" customWidth="1"/>
    <col min="17" max="17" width="19.28515625" bestFit="1" customWidth="1"/>
    <col min="18" max="18" width="16.5703125" bestFit="1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59"/>
      <c r="L1" s="59"/>
      <c r="M1" s="59"/>
      <c r="N1" s="59"/>
      <c r="O1" s="59"/>
      <c r="P1" s="59"/>
      <c r="Q1" s="59"/>
      <c r="R1" s="59"/>
    </row>
    <row r="2" spans="1:18" ht="32.25" thickBot="1">
      <c r="A2" s="1"/>
      <c r="B2" s="7"/>
      <c r="C2" s="13"/>
      <c r="D2" s="4" t="s">
        <v>0</v>
      </c>
      <c r="E2" s="4"/>
      <c r="F2" s="40" t="s">
        <v>792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793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5</v>
      </c>
      <c r="D7" s="12" t="s">
        <v>40</v>
      </c>
      <c r="E7" s="12" t="s">
        <v>194</v>
      </c>
      <c r="F7" s="12" t="s">
        <v>345</v>
      </c>
      <c r="G7" s="12" t="s">
        <v>420</v>
      </c>
      <c r="H7" s="12" t="s">
        <v>542</v>
      </c>
      <c r="I7" s="12" t="s">
        <v>796</v>
      </c>
      <c r="J7" s="12" t="s">
        <v>590</v>
      </c>
      <c r="K7" s="42" t="s">
        <v>795</v>
      </c>
      <c r="L7" s="12" t="s">
        <v>791</v>
      </c>
      <c r="M7" s="12" t="s">
        <v>797</v>
      </c>
      <c r="N7" s="12" t="s">
        <v>798</v>
      </c>
      <c r="O7" s="12" t="s">
        <v>799</v>
      </c>
      <c r="P7" s="12" t="s">
        <v>800</v>
      </c>
      <c r="Q7" s="12" t="s">
        <v>801</v>
      </c>
      <c r="R7" s="12" t="s">
        <v>802</v>
      </c>
    </row>
    <row r="8" spans="1:18">
      <c r="A8" s="1"/>
      <c r="B8" s="16">
        <f>ROW(B8) - ROW($B$7)</f>
        <v>1</v>
      </c>
      <c r="C8" s="22" t="s">
        <v>6</v>
      </c>
      <c r="D8" s="14" t="s">
        <v>41</v>
      </c>
      <c r="E8" s="14" t="s">
        <v>195</v>
      </c>
      <c r="F8" s="14" t="s">
        <v>804</v>
      </c>
      <c r="G8" s="14" t="s">
        <v>421</v>
      </c>
      <c r="H8" s="14" t="s">
        <v>543</v>
      </c>
      <c r="I8" s="14" t="s">
        <v>622</v>
      </c>
      <c r="J8" s="14" t="s">
        <v>591</v>
      </c>
      <c r="K8" s="43" t="s">
        <v>729</v>
      </c>
      <c r="L8" s="14">
        <v>1</v>
      </c>
      <c r="M8" s="14">
        <f>L8*5</f>
        <v>5</v>
      </c>
      <c r="N8" s="14">
        <v>10</v>
      </c>
      <c r="O8" s="52" t="s">
        <v>838</v>
      </c>
      <c r="P8" s="15" t="s">
        <v>810</v>
      </c>
      <c r="Q8" s="15">
        <f>P8*N8</f>
        <v>2.4379999999999997</v>
      </c>
      <c r="R8" s="14"/>
    </row>
    <row r="9" spans="1:18" ht="36">
      <c r="A9" s="1"/>
      <c r="B9" s="17">
        <f t="shared" ref="B9:B160" si="0">ROW(B9) - ROW($B$7)</f>
        <v>2</v>
      </c>
      <c r="C9" s="23" t="s">
        <v>6</v>
      </c>
      <c r="D9" s="20" t="s">
        <v>42</v>
      </c>
      <c r="E9" s="20" t="s">
        <v>196</v>
      </c>
      <c r="F9" s="20" t="s">
        <v>804</v>
      </c>
      <c r="G9" s="20" t="s">
        <v>346</v>
      </c>
      <c r="H9" s="20" t="s">
        <v>544</v>
      </c>
      <c r="I9" s="14" t="s">
        <v>622</v>
      </c>
      <c r="J9" s="20" t="s">
        <v>592</v>
      </c>
      <c r="K9" s="44" t="s">
        <v>730</v>
      </c>
      <c r="L9" s="20">
        <v>1</v>
      </c>
      <c r="M9" s="20">
        <f t="shared" ref="M9" si="1">L9*5</f>
        <v>5</v>
      </c>
      <c r="N9" s="20">
        <v>20</v>
      </c>
      <c r="O9" s="52" t="s">
        <v>838</v>
      </c>
      <c r="P9" s="21" t="s">
        <v>811</v>
      </c>
      <c r="Q9" s="21">
        <f t="shared" ref="Q9" si="2">P9*N9</f>
        <v>0.54600000000000004</v>
      </c>
      <c r="R9" s="20"/>
    </row>
    <row r="10" spans="1:18">
      <c r="A10" s="1"/>
      <c r="B10" s="16">
        <f>ROW(B10) - ROW($B$7)</f>
        <v>3</v>
      </c>
      <c r="C10" s="23" t="s">
        <v>6</v>
      </c>
      <c r="D10" s="14" t="s">
        <v>43</v>
      </c>
      <c r="E10" s="14" t="s">
        <v>197</v>
      </c>
      <c r="F10" s="14" t="s">
        <v>347</v>
      </c>
      <c r="G10" s="14" t="s">
        <v>422</v>
      </c>
      <c r="H10" s="14" t="s">
        <v>545</v>
      </c>
      <c r="I10" s="14" t="s">
        <v>622</v>
      </c>
      <c r="J10" s="14" t="s">
        <v>593</v>
      </c>
      <c r="K10" s="43" t="s">
        <v>731</v>
      </c>
      <c r="L10" s="14">
        <v>1</v>
      </c>
      <c r="M10" s="14">
        <f>L10*5</f>
        <v>5</v>
      </c>
      <c r="N10" s="14">
        <v>50</v>
      </c>
      <c r="O10" s="52" t="s">
        <v>838</v>
      </c>
      <c r="P10" s="15" t="s">
        <v>812</v>
      </c>
      <c r="Q10" s="15">
        <f>P10*N10</f>
        <v>0.61</v>
      </c>
      <c r="R10" s="14"/>
    </row>
    <row r="11" spans="1:18" ht="24">
      <c r="A11" s="1"/>
      <c r="B11" s="17">
        <f t="shared" si="0"/>
        <v>4</v>
      </c>
      <c r="C11" s="23" t="s">
        <v>6</v>
      </c>
      <c r="D11" s="20" t="s">
        <v>44</v>
      </c>
      <c r="E11" s="20" t="s">
        <v>198</v>
      </c>
      <c r="F11" s="20" t="s">
        <v>347</v>
      </c>
      <c r="G11" s="20" t="s">
        <v>423</v>
      </c>
      <c r="H11" s="20" t="s">
        <v>546</v>
      </c>
      <c r="I11" s="14" t="s">
        <v>622</v>
      </c>
      <c r="J11" s="20" t="s">
        <v>594</v>
      </c>
      <c r="K11" s="44" t="s">
        <v>732</v>
      </c>
      <c r="L11" s="20">
        <v>9</v>
      </c>
      <c r="M11" s="20">
        <f t="shared" ref="M11" si="3">L11*5</f>
        <v>45</v>
      </c>
      <c r="N11" s="20">
        <v>50</v>
      </c>
      <c r="O11" s="52" t="s">
        <v>838</v>
      </c>
      <c r="P11" s="21">
        <v>9.9400000000000002E-2</v>
      </c>
      <c r="Q11" s="21">
        <f t="shared" ref="Q11" si="4">P11*N11</f>
        <v>4.97</v>
      </c>
      <c r="R11" s="20"/>
    </row>
    <row r="12" spans="1:18">
      <c r="A12" s="1"/>
      <c r="B12" s="16">
        <f>ROW(B12) - ROW($B$7)</f>
        <v>5</v>
      </c>
      <c r="C12" s="23" t="s">
        <v>6</v>
      </c>
      <c r="D12" s="14" t="s">
        <v>45</v>
      </c>
      <c r="E12" s="14" t="s">
        <v>199</v>
      </c>
      <c r="F12" s="14" t="s">
        <v>348</v>
      </c>
      <c r="G12" s="14" t="s">
        <v>424</v>
      </c>
      <c r="H12" s="14" t="s">
        <v>547</v>
      </c>
      <c r="I12" s="14" t="s">
        <v>622</v>
      </c>
      <c r="J12" s="14" t="s">
        <v>595</v>
      </c>
      <c r="K12" s="43" t="s">
        <v>733</v>
      </c>
      <c r="L12" s="14">
        <v>4</v>
      </c>
      <c r="M12" s="14">
        <f>L12*5</f>
        <v>20</v>
      </c>
      <c r="N12" s="14">
        <v>50</v>
      </c>
      <c r="O12" s="52" t="s">
        <v>838</v>
      </c>
      <c r="P12" s="15" t="s">
        <v>813</v>
      </c>
      <c r="Q12" s="15">
        <f>P12*N12</f>
        <v>0.185</v>
      </c>
      <c r="R12" s="14"/>
    </row>
    <row r="13" spans="1:18" ht="24">
      <c r="A13" s="1"/>
      <c r="B13" s="17">
        <f t="shared" si="0"/>
        <v>6</v>
      </c>
      <c r="C13" s="23" t="s">
        <v>6</v>
      </c>
      <c r="D13" s="20" t="s">
        <v>46</v>
      </c>
      <c r="E13" s="20" t="s">
        <v>200</v>
      </c>
      <c r="F13" s="20" t="s">
        <v>348</v>
      </c>
      <c r="G13" s="44" t="s">
        <v>805</v>
      </c>
      <c r="H13" s="14" t="s">
        <v>547</v>
      </c>
      <c r="I13" s="20" t="s">
        <v>622</v>
      </c>
      <c r="J13" s="20" t="s">
        <v>596</v>
      </c>
      <c r="K13" s="45" t="s">
        <v>734</v>
      </c>
      <c r="L13" s="20">
        <v>13</v>
      </c>
      <c r="M13" s="20">
        <f t="shared" ref="M13" si="5">L13*5</f>
        <v>65</v>
      </c>
      <c r="N13" s="20">
        <v>100</v>
      </c>
      <c r="O13" s="52" t="s">
        <v>838</v>
      </c>
      <c r="P13" s="21" t="s">
        <v>814</v>
      </c>
      <c r="Q13" s="21">
        <f t="shared" ref="Q13" si="6">P13*N13</f>
        <v>0.55999999999999994</v>
      </c>
      <c r="R13" s="20"/>
    </row>
    <row r="14" spans="1:18">
      <c r="A14" s="1"/>
      <c r="B14" s="16">
        <f>ROW(B14) - ROW($B$7)</f>
        <v>7</v>
      </c>
      <c r="C14" s="23" t="s">
        <v>6</v>
      </c>
      <c r="D14" s="14" t="s">
        <v>47</v>
      </c>
      <c r="E14" s="14" t="s">
        <v>201</v>
      </c>
      <c r="F14" s="14" t="s">
        <v>349</v>
      </c>
      <c r="G14" s="14" t="s">
        <v>425</v>
      </c>
      <c r="H14" s="14" t="s">
        <v>548</v>
      </c>
      <c r="I14" s="14" t="s">
        <v>622</v>
      </c>
      <c r="J14" s="14" t="s">
        <v>597</v>
      </c>
      <c r="K14" s="43" t="s">
        <v>735</v>
      </c>
      <c r="L14" s="14">
        <v>3</v>
      </c>
      <c r="M14" s="14">
        <f>L14*5</f>
        <v>15</v>
      </c>
      <c r="N14" s="14">
        <v>20</v>
      </c>
      <c r="O14" s="52" t="s">
        <v>838</v>
      </c>
      <c r="P14" s="15" t="s">
        <v>815</v>
      </c>
      <c r="Q14" s="15">
        <f>P14*N14</f>
        <v>0.87999999999999989</v>
      </c>
      <c r="R14" s="14"/>
    </row>
    <row r="15" spans="1:18">
      <c r="A15" s="1"/>
      <c r="B15" s="17">
        <f t="shared" si="0"/>
        <v>8</v>
      </c>
      <c r="C15" s="23" t="s">
        <v>6</v>
      </c>
      <c r="D15" s="20" t="s">
        <v>48</v>
      </c>
      <c r="E15" s="20" t="s">
        <v>202</v>
      </c>
      <c r="F15" s="20" t="s">
        <v>349</v>
      </c>
      <c r="G15" s="47" t="s">
        <v>426</v>
      </c>
      <c r="H15" s="20" t="s">
        <v>545</v>
      </c>
      <c r="I15" s="14" t="s">
        <v>426</v>
      </c>
      <c r="J15" s="20" t="s">
        <v>915</v>
      </c>
      <c r="K15" s="44" t="s">
        <v>736</v>
      </c>
      <c r="L15" s="20">
        <v>4</v>
      </c>
      <c r="M15" s="20">
        <f t="shared" ref="M15" si="7">L15*5</f>
        <v>20</v>
      </c>
      <c r="N15" s="20">
        <v>40</v>
      </c>
      <c r="O15" s="52" t="s">
        <v>838</v>
      </c>
      <c r="P15" s="21">
        <v>2.4400000000000002E-2</v>
      </c>
      <c r="Q15" s="21">
        <f t="shared" ref="Q15" si="8">P15*N15</f>
        <v>0.97600000000000009</v>
      </c>
      <c r="R15" s="20"/>
    </row>
    <row r="16" spans="1:18">
      <c r="A16" s="1"/>
      <c r="B16" s="16">
        <f>ROW(B16) - ROW($B$7)</f>
        <v>9</v>
      </c>
      <c r="C16" s="23" t="s">
        <v>6</v>
      </c>
      <c r="D16" s="14" t="s">
        <v>49</v>
      </c>
      <c r="E16" s="14" t="s">
        <v>203</v>
      </c>
      <c r="F16" s="14" t="s">
        <v>349</v>
      </c>
      <c r="G16" s="14" t="s">
        <v>427</v>
      </c>
      <c r="H16" s="14" t="s">
        <v>546</v>
      </c>
      <c r="I16" s="14" t="s">
        <v>622</v>
      </c>
      <c r="J16" s="14" t="s">
        <v>598</v>
      </c>
      <c r="K16" s="43" t="s">
        <v>730</v>
      </c>
      <c r="L16" s="14">
        <v>3</v>
      </c>
      <c r="M16" s="14">
        <f>L16*5</f>
        <v>15</v>
      </c>
      <c r="N16" s="14">
        <v>20</v>
      </c>
      <c r="O16" s="52" t="s">
        <v>838</v>
      </c>
      <c r="P16" s="15" t="s">
        <v>816</v>
      </c>
      <c r="Q16" s="15">
        <f>P16*N16</f>
        <v>5.5940000000000003</v>
      </c>
      <c r="R16" s="14"/>
    </row>
    <row r="17" spans="1:18">
      <c r="A17" s="1"/>
      <c r="B17" s="17">
        <f t="shared" si="0"/>
        <v>10</v>
      </c>
      <c r="C17" s="23" t="s">
        <v>6</v>
      </c>
      <c r="D17" s="20" t="s">
        <v>50</v>
      </c>
      <c r="E17" s="20" t="s">
        <v>204</v>
      </c>
      <c r="F17" s="20" t="s">
        <v>350</v>
      </c>
      <c r="G17" s="20" t="s">
        <v>428</v>
      </c>
      <c r="H17" s="20" t="s">
        <v>545</v>
      </c>
      <c r="I17" s="14" t="s">
        <v>622</v>
      </c>
      <c r="J17" s="20" t="s">
        <v>599</v>
      </c>
      <c r="K17" s="44" t="s">
        <v>737</v>
      </c>
      <c r="L17" s="20">
        <v>1</v>
      </c>
      <c r="M17" s="20">
        <f t="shared" ref="M17" si="9">L17*5</f>
        <v>5</v>
      </c>
      <c r="N17" s="20">
        <v>100</v>
      </c>
      <c r="O17" s="52" t="s">
        <v>838</v>
      </c>
      <c r="P17" s="21" t="s">
        <v>817</v>
      </c>
      <c r="Q17" s="21">
        <f t="shared" ref="Q17" si="10">P17*N17</f>
        <v>0.15</v>
      </c>
      <c r="R17" s="20"/>
    </row>
    <row r="18" spans="1:18">
      <c r="A18" s="1"/>
      <c r="B18" s="16">
        <f>ROW(B18) - ROW($B$7)</f>
        <v>11</v>
      </c>
      <c r="C18" s="23" t="s">
        <v>6</v>
      </c>
      <c r="D18" s="14" t="s">
        <v>51</v>
      </c>
      <c r="E18" s="14" t="s">
        <v>205</v>
      </c>
      <c r="F18" s="14" t="s">
        <v>350</v>
      </c>
      <c r="G18" s="14" t="s">
        <v>429</v>
      </c>
      <c r="H18" s="14" t="s">
        <v>546</v>
      </c>
      <c r="I18" s="14" t="s">
        <v>622</v>
      </c>
      <c r="J18" s="14" t="s">
        <v>600</v>
      </c>
      <c r="K18" s="43" t="s">
        <v>738</v>
      </c>
      <c r="L18" s="14">
        <v>2</v>
      </c>
      <c r="M18" s="14">
        <f>L18*5</f>
        <v>10</v>
      </c>
      <c r="N18" s="14">
        <v>50</v>
      </c>
      <c r="O18" s="52" t="s">
        <v>838</v>
      </c>
      <c r="P18" s="15" t="s">
        <v>818</v>
      </c>
      <c r="Q18" s="15">
        <f>P18*N18</f>
        <v>0.88</v>
      </c>
      <c r="R18" s="14"/>
    </row>
    <row r="19" spans="1:18">
      <c r="A19" s="1"/>
      <c r="B19" s="17">
        <f t="shared" si="0"/>
        <v>12</v>
      </c>
      <c r="C19" s="23" t="s">
        <v>6</v>
      </c>
      <c r="D19" s="20" t="s">
        <v>52</v>
      </c>
      <c r="E19" s="20" t="s">
        <v>206</v>
      </c>
      <c r="F19" s="20" t="s">
        <v>350</v>
      </c>
      <c r="G19" s="47" t="s">
        <v>430</v>
      </c>
      <c r="H19" s="20" t="s">
        <v>545</v>
      </c>
      <c r="I19" s="14" t="s">
        <v>917</v>
      </c>
      <c r="J19" s="20" t="s">
        <v>916</v>
      </c>
      <c r="K19" s="44" t="s">
        <v>735</v>
      </c>
      <c r="L19" s="20">
        <v>5</v>
      </c>
      <c r="M19" s="20">
        <f t="shared" ref="M19" si="11">L19*5</f>
        <v>25</v>
      </c>
      <c r="N19" s="20">
        <v>50</v>
      </c>
      <c r="O19" s="52" t="s">
        <v>838</v>
      </c>
      <c r="P19" s="21">
        <v>5.5999999999999999E-3</v>
      </c>
      <c r="Q19" s="21">
        <f t="shared" ref="Q19" si="12">P19*N19</f>
        <v>0.27999999999999997</v>
      </c>
      <c r="R19" s="20"/>
    </row>
    <row r="20" spans="1:18" ht="108">
      <c r="A20" s="1"/>
      <c r="B20" s="16">
        <f>ROW(B20) - ROW($B$7)</f>
        <v>13</v>
      </c>
      <c r="C20" s="23" t="s">
        <v>6</v>
      </c>
      <c r="D20" s="14" t="s">
        <v>53</v>
      </c>
      <c r="E20" s="14" t="s">
        <v>207</v>
      </c>
      <c r="F20" s="14" t="s">
        <v>350</v>
      </c>
      <c r="G20" s="14" t="s">
        <v>431</v>
      </c>
      <c r="H20" s="14" t="s">
        <v>545</v>
      </c>
      <c r="I20" s="14" t="s">
        <v>622</v>
      </c>
      <c r="J20" s="14" t="s">
        <v>601</v>
      </c>
      <c r="K20" s="43" t="s">
        <v>734</v>
      </c>
      <c r="L20" s="14">
        <v>62</v>
      </c>
      <c r="M20" s="14">
        <f>L20*5</f>
        <v>310</v>
      </c>
      <c r="N20" s="14">
        <v>400</v>
      </c>
      <c r="O20" s="52" t="s">
        <v>838</v>
      </c>
      <c r="P20" s="15" t="s">
        <v>819</v>
      </c>
      <c r="Q20" s="15">
        <f>P20*N20</f>
        <v>0.64</v>
      </c>
      <c r="R20" s="14"/>
    </row>
    <row r="21" spans="1:18">
      <c r="A21" s="1"/>
      <c r="B21" s="17">
        <f t="shared" si="0"/>
        <v>14</v>
      </c>
      <c r="C21" s="23" t="s">
        <v>6</v>
      </c>
      <c r="D21" s="20" t="s">
        <v>918</v>
      </c>
      <c r="E21" s="20" t="s">
        <v>208</v>
      </c>
      <c r="F21" s="20" t="s">
        <v>350</v>
      </c>
      <c r="G21" s="20" t="s">
        <v>432</v>
      </c>
      <c r="H21" s="20" t="s">
        <v>545</v>
      </c>
      <c r="I21" s="14" t="s">
        <v>622</v>
      </c>
      <c r="J21" s="20" t="s">
        <v>602</v>
      </c>
      <c r="K21" s="44" t="s">
        <v>733</v>
      </c>
      <c r="L21" s="20">
        <v>5</v>
      </c>
      <c r="M21" s="20">
        <f t="shared" ref="M21" si="13">L21*5</f>
        <v>25</v>
      </c>
      <c r="N21" s="20">
        <v>100</v>
      </c>
      <c r="O21" s="52" t="s">
        <v>838</v>
      </c>
      <c r="P21" s="21" t="s">
        <v>820</v>
      </c>
      <c r="Q21" s="21">
        <f t="shared" ref="Q21" si="14">P21*N21</f>
        <v>0.38</v>
      </c>
      <c r="R21" s="20"/>
    </row>
    <row r="22" spans="1:18">
      <c r="A22" s="1"/>
      <c r="B22" s="16">
        <f>ROW(B22) - ROW($B$7)</f>
        <v>15</v>
      </c>
      <c r="C22" s="23" t="s">
        <v>6</v>
      </c>
      <c r="D22" s="14" t="s">
        <v>54</v>
      </c>
      <c r="E22" s="14" t="s">
        <v>209</v>
      </c>
      <c r="F22" s="14" t="s">
        <v>351</v>
      </c>
      <c r="G22" s="14" t="s">
        <v>433</v>
      </c>
      <c r="H22" s="14" t="s">
        <v>545</v>
      </c>
      <c r="I22" s="14" t="s">
        <v>622</v>
      </c>
      <c r="J22" s="14" t="s">
        <v>603</v>
      </c>
      <c r="K22" s="43" t="s">
        <v>739</v>
      </c>
      <c r="L22" s="14">
        <v>6</v>
      </c>
      <c r="M22" s="14">
        <f>L22*5</f>
        <v>30</v>
      </c>
      <c r="N22" s="14">
        <v>100</v>
      </c>
      <c r="O22" s="52" t="s">
        <v>838</v>
      </c>
      <c r="P22" s="15" t="s">
        <v>821</v>
      </c>
      <c r="Q22" s="15">
        <f>P22*N22</f>
        <v>0.1</v>
      </c>
      <c r="R22" s="14"/>
    </row>
    <row r="23" spans="1:18">
      <c r="A23" s="1"/>
      <c r="B23" s="17">
        <f t="shared" si="0"/>
        <v>16</v>
      </c>
      <c r="C23" s="23" t="s">
        <v>6</v>
      </c>
      <c r="D23" s="20" t="s">
        <v>55</v>
      </c>
      <c r="E23" s="20" t="s">
        <v>210</v>
      </c>
      <c r="F23" s="20" t="s">
        <v>350</v>
      </c>
      <c r="G23" s="20" t="s">
        <v>434</v>
      </c>
      <c r="H23" s="20" t="s">
        <v>545</v>
      </c>
      <c r="I23" s="14" t="s">
        <v>622</v>
      </c>
      <c r="J23" s="20" t="s">
        <v>604</v>
      </c>
      <c r="K23" s="44" t="s">
        <v>732</v>
      </c>
      <c r="L23" s="20">
        <v>1</v>
      </c>
      <c r="M23" s="20">
        <f t="shared" ref="M23" si="15">L23*5</f>
        <v>5</v>
      </c>
      <c r="N23" s="20">
        <v>20</v>
      </c>
      <c r="O23" s="52" t="s">
        <v>838</v>
      </c>
      <c r="P23" s="21" t="s">
        <v>822</v>
      </c>
      <c r="Q23" s="21">
        <f t="shared" ref="Q23" si="16">P23*N23</f>
        <v>0.47</v>
      </c>
      <c r="R23" s="20"/>
    </row>
    <row r="24" spans="1:18" ht="36">
      <c r="A24" s="1"/>
      <c r="B24" s="16">
        <f>ROW(B24) - ROW($B$7)</f>
        <v>17</v>
      </c>
      <c r="C24" s="23" t="s">
        <v>6</v>
      </c>
      <c r="D24" s="14" t="s">
        <v>56</v>
      </c>
      <c r="E24" s="14" t="s">
        <v>211</v>
      </c>
      <c r="F24" s="14" t="s">
        <v>350</v>
      </c>
      <c r="G24" s="14" t="s">
        <v>435</v>
      </c>
      <c r="H24" s="14" t="s">
        <v>549</v>
      </c>
      <c r="I24" s="14" t="s">
        <v>622</v>
      </c>
      <c r="J24" s="14" t="s">
        <v>605</v>
      </c>
      <c r="K24" s="43" t="s">
        <v>740</v>
      </c>
      <c r="L24" s="14">
        <v>2</v>
      </c>
      <c r="M24" s="14">
        <f>L24*5</f>
        <v>10</v>
      </c>
      <c r="N24" s="14">
        <v>100</v>
      </c>
      <c r="O24" s="52" t="s">
        <v>838</v>
      </c>
      <c r="P24" s="15" t="s">
        <v>823</v>
      </c>
      <c r="Q24" s="15">
        <f>P24*N24</f>
        <v>0.44</v>
      </c>
      <c r="R24" s="14"/>
    </row>
    <row r="25" spans="1:18">
      <c r="A25" s="1"/>
      <c r="B25" s="16">
        <f>ROW(B25) - ROW($B$7)</f>
        <v>18</v>
      </c>
      <c r="C25" s="23" t="s">
        <v>6</v>
      </c>
      <c r="D25" s="14" t="s">
        <v>57</v>
      </c>
      <c r="E25" s="14" t="s">
        <v>212</v>
      </c>
      <c r="F25" s="14" t="s">
        <v>349</v>
      </c>
      <c r="G25" s="14" t="s">
        <v>436</v>
      </c>
      <c r="H25" s="14" t="s">
        <v>545</v>
      </c>
      <c r="I25" s="14" t="s">
        <v>622</v>
      </c>
      <c r="J25" s="14" t="s">
        <v>606</v>
      </c>
      <c r="K25" s="43" t="s">
        <v>741</v>
      </c>
      <c r="L25" s="14">
        <v>1</v>
      </c>
      <c r="M25" s="14">
        <f>L25*5</f>
        <v>5</v>
      </c>
      <c r="N25" s="14">
        <v>50</v>
      </c>
      <c r="O25" s="52" t="s">
        <v>838</v>
      </c>
      <c r="P25" s="15" t="s">
        <v>824</v>
      </c>
      <c r="Q25" s="15">
        <f>P25*N25</f>
        <v>0.59500000000000008</v>
      </c>
      <c r="R25" s="14"/>
    </row>
    <row r="26" spans="1:18" ht="24">
      <c r="A26" s="1"/>
      <c r="B26" s="17">
        <f t="shared" si="0"/>
        <v>19</v>
      </c>
      <c r="C26" s="23" t="s">
        <v>6</v>
      </c>
      <c r="D26" s="20" t="s">
        <v>58</v>
      </c>
      <c r="E26" s="20" t="s">
        <v>213</v>
      </c>
      <c r="F26" s="20" t="s">
        <v>350</v>
      </c>
      <c r="G26" s="20" t="s">
        <v>437</v>
      </c>
      <c r="H26" s="20" t="s">
        <v>546</v>
      </c>
      <c r="I26" s="14" t="s">
        <v>622</v>
      </c>
      <c r="J26" s="20" t="s">
        <v>607</v>
      </c>
      <c r="K26" s="44" t="s">
        <v>742</v>
      </c>
      <c r="L26" s="20">
        <v>8</v>
      </c>
      <c r="M26" s="20">
        <f t="shared" ref="M26" si="17">L26*5</f>
        <v>40</v>
      </c>
      <c r="N26" s="20">
        <v>100</v>
      </c>
      <c r="O26" s="52" t="s">
        <v>838</v>
      </c>
      <c r="P26" s="21" t="s">
        <v>825</v>
      </c>
      <c r="Q26" s="21">
        <f t="shared" ref="Q26" si="18">P26*N26</f>
        <v>0.2</v>
      </c>
      <c r="R26" s="20"/>
    </row>
    <row r="27" spans="1:18">
      <c r="A27" s="1"/>
      <c r="B27" s="16">
        <f>ROW(B27) - ROW($B$7)</f>
        <v>20</v>
      </c>
      <c r="C27" s="23" t="s">
        <v>6</v>
      </c>
      <c r="D27" s="14" t="s">
        <v>59</v>
      </c>
      <c r="E27" s="14" t="s">
        <v>214</v>
      </c>
      <c r="F27" s="14" t="s">
        <v>350</v>
      </c>
      <c r="G27" s="14" t="s">
        <v>438</v>
      </c>
      <c r="H27" s="14" t="s">
        <v>545</v>
      </c>
      <c r="I27" s="14" t="s">
        <v>622</v>
      </c>
      <c r="J27" s="14" t="s">
        <v>608</v>
      </c>
      <c r="K27" s="43" t="s">
        <v>731</v>
      </c>
      <c r="L27" s="14">
        <v>2</v>
      </c>
      <c r="M27" s="14">
        <f>L27*5</f>
        <v>10</v>
      </c>
      <c r="N27" s="14">
        <v>100</v>
      </c>
      <c r="O27" s="52" t="s">
        <v>838</v>
      </c>
      <c r="P27" s="15" t="s">
        <v>826</v>
      </c>
      <c r="Q27" s="15">
        <f>P27*N27</f>
        <v>0.27999999999999997</v>
      </c>
      <c r="R27" s="14"/>
    </row>
    <row r="28" spans="1:18">
      <c r="A28" s="1"/>
      <c r="B28" s="17">
        <f t="shared" si="0"/>
        <v>21</v>
      </c>
      <c r="C28" s="23" t="s">
        <v>6</v>
      </c>
      <c r="D28" s="20" t="s">
        <v>60</v>
      </c>
      <c r="E28" s="20" t="s">
        <v>215</v>
      </c>
      <c r="F28" s="14" t="s">
        <v>350</v>
      </c>
      <c r="G28" s="20" t="s">
        <v>439</v>
      </c>
      <c r="H28" s="20" t="s">
        <v>545</v>
      </c>
      <c r="I28" s="14" t="s">
        <v>622</v>
      </c>
      <c r="J28" s="20" t="s">
        <v>609</v>
      </c>
      <c r="K28" s="43" t="s">
        <v>743</v>
      </c>
      <c r="L28" s="20">
        <v>2</v>
      </c>
      <c r="M28" s="20">
        <f t="shared" ref="M28" si="19">L28*5</f>
        <v>10</v>
      </c>
      <c r="N28" s="20">
        <v>100</v>
      </c>
      <c r="O28" s="52" t="s">
        <v>838</v>
      </c>
      <c r="P28" s="21" t="s">
        <v>827</v>
      </c>
      <c r="Q28" s="21">
        <f t="shared" ref="Q28" si="20">P28*N28</f>
        <v>0.21</v>
      </c>
      <c r="R28" s="20"/>
    </row>
    <row r="29" spans="1:18">
      <c r="A29" s="1"/>
      <c r="B29" s="16">
        <f>ROW(B29) - ROW($B$7)</f>
        <v>22</v>
      </c>
      <c r="C29" s="23" t="s">
        <v>6</v>
      </c>
      <c r="D29" s="14" t="s">
        <v>61</v>
      </c>
      <c r="E29" s="14" t="s">
        <v>216</v>
      </c>
      <c r="F29" s="20" t="s">
        <v>348</v>
      </c>
      <c r="G29" s="14" t="s">
        <v>440</v>
      </c>
      <c r="H29" s="14" t="s">
        <v>545</v>
      </c>
      <c r="I29" s="14" t="s">
        <v>622</v>
      </c>
      <c r="J29" s="14" t="s">
        <v>610</v>
      </c>
      <c r="K29" s="44" t="s">
        <v>744</v>
      </c>
      <c r="L29" s="14">
        <v>1</v>
      </c>
      <c r="M29" s="14">
        <f>L29*5</f>
        <v>5</v>
      </c>
      <c r="N29" s="14">
        <v>100</v>
      </c>
      <c r="O29" s="52" t="s">
        <v>838</v>
      </c>
      <c r="P29" s="15" t="s">
        <v>825</v>
      </c>
      <c r="Q29" s="15">
        <f>P29*N29</f>
        <v>0.2</v>
      </c>
      <c r="R29" s="14"/>
    </row>
    <row r="30" spans="1:18">
      <c r="A30" s="1"/>
      <c r="B30" s="17">
        <f t="shared" si="0"/>
        <v>23</v>
      </c>
      <c r="C30" s="23" t="s">
        <v>6</v>
      </c>
      <c r="D30" s="20" t="s">
        <v>62</v>
      </c>
      <c r="E30" s="20" t="s">
        <v>217</v>
      </c>
      <c r="F30" s="14" t="s">
        <v>348</v>
      </c>
      <c r="G30" s="20" t="s">
        <v>441</v>
      </c>
      <c r="H30" s="20" t="s">
        <v>550</v>
      </c>
      <c r="I30" s="14" t="s">
        <v>622</v>
      </c>
      <c r="J30" s="20" t="s">
        <v>611</v>
      </c>
      <c r="K30" s="43" t="s">
        <v>745</v>
      </c>
      <c r="L30" s="20">
        <v>1</v>
      </c>
      <c r="M30" s="20">
        <f t="shared" ref="M30" si="21">L30*5</f>
        <v>5</v>
      </c>
      <c r="N30" s="20">
        <v>100</v>
      </c>
      <c r="O30" s="52" t="s">
        <v>838</v>
      </c>
      <c r="P30" s="21" t="s">
        <v>826</v>
      </c>
      <c r="Q30" s="21">
        <f t="shared" ref="Q30" si="22">P30*N30</f>
        <v>0.27999999999999997</v>
      </c>
      <c r="R30" s="20"/>
    </row>
    <row r="31" spans="1:18">
      <c r="A31" s="1"/>
      <c r="B31" s="16">
        <f>ROW(B31) - ROW($B$7)</f>
        <v>24</v>
      </c>
      <c r="C31" s="23" t="s">
        <v>6</v>
      </c>
      <c r="D31" s="14" t="s">
        <v>63</v>
      </c>
      <c r="E31" s="14" t="s">
        <v>218</v>
      </c>
      <c r="F31" s="20" t="s">
        <v>348</v>
      </c>
      <c r="G31" s="14" t="s">
        <v>442</v>
      </c>
      <c r="H31" s="14" t="s">
        <v>546</v>
      </c>
      <c r="I31" s="14" t="s">
        <v>622</v>
      </c>
      <c r="J31" s="14" t="s">
        <v>612</v>
      </c>
      <c r="K31" s="44" t="s">
        <v>746</v>
      </c>
      <c r="L31" s="14">
        <v>1</v>
      </c>
      <c r="M31" s="14">
        <f>L31*5</f>
        <v>5</v>
      </c>
      <c r="N31" s="14">
        <v>50</v>
      </c>
      <c r="O31" s="52" t="s">
        <v>838</v>
      </c>
      <c r="P31" s="15" t="s">
        <v>828</v>
      </c>
      <c r="Q31" s="15">
        <f>P31*N31</f>
        <v>0.75</v>
      </c>
      <c r="R31" s="14"/>
    </row>
    <row r="32" spans="1:18">
      <c r="A32" s="1"/>
      <c r="B32" s="17">
        <f t="shared" si="0"/>
        <v>25</v>
      </c>
      <c r="C32" s="23" t="s">
        <v>6</v>
      </c>
      <c r="D32" s="20" t="s">
        <v>64</v>
      </c>
      <c r="E32" s="20" t="s">
        <v>219</v>
      </c>
      <c r="F32" s="14" t="s">
        <v>350</v>
      </c>
      <c r="G32" s="20" t="s">
        <v>443</v>
      </c>
      <c r="H32" s="20" t="s">
        <v>545</v>
      </c>
      <c r="I32" s="14" t="s">
        <v>622</v>
      </c>
      <c r="J32" s="20" t="s">
        <v>613</v>
      </c>
      <c r="K32" s="43" t="s">
        <v>747</v>
      </c>
      <c r="L32" s="20">
        <v>1</v>
      </c>
      <c r="M32" s="20">
        <f t="shared" ref="M32" si="23">L32*5</f>
        <v>5</v>
      </c>
      <c r="N32" s="20">
        <v>100</v>
      </c>
      <c r="O32" s="52" t="s">
        <v>838</v>
      </c>
      <c r="P32" s="21" t="s">
        <v>829</v>
      </c>
      <c r="Q32" s="21">
        <f t="shared" ref="Q32" si="24">P32*N32</f>
        <v>0.11</v>
      </c>
      <c r="R32" s="20"/>
    </row>
    <row r="33" spans="1:18">
      <c r="A33" s="1"/>
      <c r="B33" s="16">
        <f>ROW(B33) - ROW($B$7)</f>
        <v>26</v>
      </c>
      <c r="C33" s="23" t="s">
        <v>6</v>
      </c>
      <c r="D33" s="14" t="s">
        <v>65</v>
      </c>
      <c r="E33" s="14" t="s">
        <v>220</v>
      </c>
      <c r="F33" s="20" t="s">
        <v>349</v>
      </c>
      <c r="G33" s="14" t="s">
        <v>444</v>
      </c>
      <c r="H33" s="14" t="s">
        <v>545</v>
      </c>
      <c r="I33" s="14" t="s">
        <v>622</v>
      </c>
      <c r="J33" s="14" t="s">
        <v>614</v>
      </c>
      <c r="K33" s="44" t="s">
        <v>748</v>
      </c>
      <c r="L33" s="14">
        <v>1</v>
      </c>
      <c r="M33" s="14">
        <f>L33*5</f>
        <v>5</v>
      </c>
      <c r="N33" s="14">
        <v>20</v>
      </c>
      <c r="O33" s="52" t="s">
        <v>838</v>
      </c>
      <c r="P33" s="15" t="s">
        <v>830</v>
      </c>
      <c r="Q33" s="15">
        <f>P33*N33</f>
        <v>0.59</v>
      </c>
      <c r="R33" s="14"/>
    </row>
    <row r="34" spans="1:18">
      <c r="A34" s="1"/>
      <c r="B34" s="17">
        <f t="shared" si="0"/>
        <v>27</v>
      </c>
      <c r="C34" s="23" t="s">
        <v>6</v>
      </c>
      <c r="D34" s="20" t="s">
        <v>66</v>
      </c>
      <c r="E34" s="20" t="s">
        <v>221</v>
      </c>
      <c r="F34" s="14" t="s">
        <v>348</v>
      </c>
      <c r="G34" s="47" t="s">
        <v>445</v>
      </c>
      <c r="H34" s="20" t="s">
        <v>545</v>
      </c>
      <c r="I34" s="20" t="s">
        <v>839</v>
      </c>
      <c r="J34" s="20" t="s">
        <v>840</v>
      </c>
      <c r="K34" s="43" t="s">
        <v>740</v>
      </c>
      <c r="L34" s="20">
        <v>1</v>
      </c>
      <c r="M34" s="20">
        <f t="shared" ref="M34" si="25">L34*5</f>
        <v>5</v>
      </c>
      <c r="N34" s="20">
        <v>100</v>
      </c>
      <c r="O34" s="52" t="s">
        <v>838</v>
      </c>
      <c r="P34" s="21">
        <v>3.5000000000000001E-3</v>
      </c>
      <c r="Q34" s="21">
        <f t="shared" ref="Q34" si="26">P34*N34</f>
        <v>0.35000000000000003</v>
      </c>
      <c r="R34" s="20"/>
    </row>
    <row r="35" spans="1:18">
      <c r="A35" s="1"/>
      <c r="B35" s="16">
        <f>ROW(B35) - ROW($B$7)</f>
        <v>28</v>
      </c>
      <c r="C35" s="23" t="s">
        <v>6</v>
      </c>
      <c r="D35" s="14" t="s">
        <v>67</v>
      </c>
      <c r="E35" s="14" t="s">
        <v>222</v>
      </c>
      <c r="F35" s="20" t="s">
        <v>347</v>
      </c>
      <c r="G35" s="14" t="s">
        <v>446</v>
      </c>
      <c r="H35" s="14" t="s">
        <v>545</v>
      </c>
      <c r="I35" s="14" t="s">
        <v>622</v>
      </c>
      <c r="J35" s="14" t="s">
        <v>615</v>
      </c>
      <c r="K35" s="44" t="s">
        <v>749</v>
      </c>
      <c r="L35" s="14">
        <v>6</v>
      </c>
      <c r="M35" s="14">
        <f>L35*5</f>
        <v>30</v>
      </c>
      <c r="N35" s="14">
        <v>40</v>
      </c>
      <c r="O35" s="52" t="s">
        <v>838</v>
      </c>
      <c r="P35" s="15" t="s">
        <v>831</v>
      </c>
      <c r="Q35" s="15">
        <f>P35*N35</f>
        <v>2.6560000000000001</v>
      </c>
      <c r="R35" s="14"/>
    </row>
    <row r="36" spans="1:18">
      <c r="A36" s="1"/>
      <c r="B36" s="17">
        <f t="shared" si="0"/>
        <v>29</v>
      </c>
      <c r="C36" s="23" t="s">
        <v>6</v>
      </c>
      <c r="D36" s="20" t="s">
        <v>68</v>
      </c>
      <c r="E36" s="20" t="s">
        <v>223</v>
      </c>
      <c r="F36" s="14" t="s">
        <v>350</v>
      </c>
      <c r="G36" s="20" t="s">
        <v>447</v>
      </c>
      <c r="H36" s="20" t="s">
        <v>545</v>
      </c>
      <c r="I36" s="14" t="s">
        <v>622</v>
      </c>
      <c r="J36" s="20" t="s">
        <v>616</v>
      </c>
      <c r="K36" s="43" t="s">
        <v>750</v>
      </c>
      <c r="L36" s="20">
        <v>1</v>
      </c>
      <c r="M36" s="20">
        <f t="shared" ref="M36" si="27">L36*5</f>
        <v>5</v>
      </c>
      <c r="N36" s="20">
        <v>100</v>
      </c>
      <c r="O36" s="52" t="s">
        <v>838</v>
      </c>
      <c r="P36" s="21" t="s">
        <v>832</v>
      </c>
      <c r="Q36" s="21">
        <f t="shared" ref="Q36" si="28">P36*N36</f>
        <v>0.22999999999999998</v>
      </c>
      <c r="R36" s="20"/>
    </row>
    <row r="37" spans="1:18">
      <c r="A37" s="1"/>
      <c r="B37" s="16">
        <f>ROW(B37) - ROW($B$7)</f>
        <v>30</v>
      </c>
      <c r="C37" s="23" t="s">
        <v>6</v>
      </c>
      <c r="D37" s="14" t="s">
        <v>69</v>
      </c>
      <c r="E37" s="14" t="s">
        <v>224</v>
      </c>
      <c r="F37" s="20" t="s">
        <v>350</v>
      </c>
      <c r="G37" s="14" t="s">
        <v>448</v>
      </c>
      <c r="H37" s="14" t="s">
        <v>545</v>
      </c>
      <c r="I37" s="14" t="s">
        <v>622</v>
      </c>
      <c r="J37" s="14" t="s">
        <v>617</v>
      </c>
      <c r="K37" s="44" t="s">
        <v>751</v>
      </c>
      <c r="L37" s="14">
        <v>3</v>
      </c>
      <c r="M37" s="14">
        <f>L37*5</f>
        <v>15</v>
      </c>
      <c r="N37" s="14">
        <v>100</v>
      </c>
      <c r="O37" s="52" t="s">
        <v>838</v>
      </c>
      <c r="P37" s="15" t="s">
        <v>821</v>
      </c>
      <c r="Q37" s="15">
        <f>P37*N37</f>
        <v>0.1</v>
      </c>
      <c r="R37" s="14"/>
    </row>
    <row r="38" spans="1:18">
      <c r="A38" s="1"/>
      <c r="B38" s="17">
        <f t="shared" si="0"/>
        <v>31</v>
      </c>
      <c r="C38" s="23" t="s">
        <v>6</v>
      </c>
      <c r="D38" s="20" t="s">
        <v>70</v>
      </c>
      <c r="E38" s="20" t="s">
        <v>225</v>
      </c>
      <c r="F38" s="14" t="s">
        <v>350</v>
      </c>
      <c r="G38" s="20" t="s">
        <v>449</v>
      </c>
      <c r="H38" s="20" t="s">
        <v>546</v>
      </c>
      <c r="I38" s="14" t="s">
        <v>622</v>
      </c>
      <c r="J38" s="20" t="s">
        <v>618</v>
      </c>
      <c r="K38" s="43" t="s">
        <v>752</v>
      </c>
      <c r="L38" s="20">
        <v>2</v>
      </c>
      <c r="M38" s="20">
        <f t="shared" ref="M38" si="29">L38*5</f>
        <v>10</v>
      </c>
      <c r="N38" s="20">
        <v>50</v>
      </c>
      <c r="O38" s="52" t="s">
        <v>838</v>
      </c>
      <c r="P38" s="21" t="s">
        <v>833</v>
      </c>
      <c r="Q38" s="21">
        <f t="shared" ref="Q38" si="30">P38*N38</f>
        <v>0.55999999999999994</v>
      </c>
      <c r="R38" s="20"/>
    </row>
    <row r="39" spans="1:18">
      <c r="A39" s="1"/>
      <c r="B39" s="16">
        <f>ROW(B39) - ROW($B$7)</f>
        <v>32</v>
      </c>
      <c r="C39" s="23" t="s">
        <v>6</v>
      </c>
      <c r="D39" s="14" t="s">
        <v>71</v>
      </c>
      <c r="E39" s="14" t="s">
        <v>226</v>
      </c>
      <c r="F39" s="20" t="s">
        <v>348</v>
      </c>
      <c r="G39" s="14" t="s">
        <v>450</v>
      </c>
      <c r="H39" s="14" t="s">
        <v>551</v>
      </c>
      <c r="I39" s="14" t="s">
        <v>622</v>
      </c>
      <c r="J39" s="14" t="s">
        <v>807</v>
      </c>
      <c r="K39" s="44" t="s">
        <v>733</v>
      </c>
      <c r="L39" s="14">
        <v>2</v>
      </c>
      <c r="M39" s="14">
        <f>L39*5</f>
        <v>10</v>
      </c>
      <c r="N39" s="14">
        <v>15</v>
      </c>
      <c r="O39" s="52" t="s">
        <v>838</v>
      </c>
      <c r="P39" s="15" t="s">
        <v>834</v>
      </c>
      <c r="Q39" s="15">
        <f>P39*N39</f>
        <v>1.5225000000000002</v>
      </c>
      <c r="R39" s="14"/>
    </row>
    <row r="40" spans="1:18">
      <c r="A40" s="1"/>
      <c r="B40" s="17">
        <f t="shared" si="0"/>
        <v>33</v>
      </c>
      <c r="C40" s="22" t="s">
        <v>7</v>
      </c>
      <c r="D40" s="20" t="s">
        <v>72</v>
      </c>
      <c r="E40" s="20" t="s">
        <v>227</v>
      </c>
      <c r="F40" s="14" t="s">
        <v>352</v>
      </c>
      <c r="G40" s="20" t="s">
        <v>451</v>
      </c>
      <c r="H40" s="20" t="s">
        <v>552</v>
      </c>
      <c r="I40" s="14" t="s">
        <v>622</v>
      </c>
      <c r="J40" s="20" t="s">
        <v>619</v>
      </c>
      <c r="K40" s="43" t="s">
        <v>732</v>
      </c>
      <c r="L40" s="20">
        <v>1</v>
      </c>
      <c r="M40" s="20">
        <f t="shared" ref="M40" si="31">L40*5</f>
        <v>5</v>
      </c>
      <c r="N40" s="20">
        <v>10</v>
      </c>
      <c r="O40" s="52" t="s">
        <v>838</v>
      </c>
      <c r="P40" s="21" t="s">
        <v>835</v>
      </c>
      <c r="Q40" s="21">
        <f t="shared" ref="Q40" si="32">P40*N40</f>
        <v>2.67</v>
      </c>
      <c r="R40" s="20"/>
    </row>
    <row r="41" spans="1:18">
      <c r="A41" s="1"/>
      <c r="B41" s="16">
        <f>ROW(B41) - ROW($B$7)</f>
        <v>34</v>
      </c>
      <c r="C41" s="23" t="s">
        <v>8</v>
      </c>
      <c r="D41" s="14" t="s">
        <v>73</v>
      </c>
      <c r="E41" s="14" t="s">
        <v>228</v>
      </c>
      <c r="F41" s="20" t="s">
        <v>353</v>
      </c>
      <c r="G41" s="14" t="s">
        <v>452</v>
      </c>
      <c r="H41" s="14" t="s">
        <v>14</v>
      </c>
      <c r="I41" s="14" t="s">
        <v>622</v>
      </c>
      <c r="J41" s="14" t="s">
        <v>620</v>
      </c>
      <c r="K41" s="44" t="s">
        <v>622</v>
      </c>
      <c r="L41" s="14">
        <v>1</v>
      </c>
      <c r="M41" s="14">
        <f>L41*5</f>
        <v>5</v>
      </c>
      <c r="N41" s="14">
        <v>10</v>
      </c>
      <c r="O41" s="52" t="s">
        <v>838</v>
      </c>
      <c r="P41" s="15" t="s">
        <v>836</v>
      </c>
      <c r="Q41" s="15">
        <f>P41*N41</f>
        <v>1.2829999999999999</v>
      </c>
      <c r="R41" s="14"/>
    </row>
    <row r="42" spans="1:18" ht="24">
      <c r="A42" s="1"/>
      <c r="B42" s="17">
        <f t="shared" si="0"/>
        <v>35</v>
      </c>
      <c r="C42" s="22" t="s">
        <v>9</v>
      </c>
      <c r="D42" s="20" t="s">
        <v>74</v>
      </c>
      <c r="E42" s="20" t="s">
        <v>229</v>
      </c>
      <c r="F42" s="14" t="s">
        <v>354</v>
      </c>
      <c r="G42" s="20" t="s">
        <v>453</v>
      </c>
      <c r="H42" s="20" t="s">
        <v>553</v>
      </c>
      <c r="I42" s="14" t="s">
        <v>622</v>
      </c>
      <c r="J42" s="20" t="s">
        <v>622</v>
      </c>
      <c r="K42" s="44" t="s">
        <v>622</v>
      </c>
      <c r="L42" s="20">
        <v>1</v>
      </c>
      <c r="M42" s="20">
        <f t="shared" ref="M42" si="33">L42*5</f>
        <v>5</v>
      </c>
      <c r="N42" s="20">
        <v>6</v>
      </c>
      <c r="O42" s="52" t="s">
        <v>913</v>
      </c>
      <c r="P42" s="21">
        <v>0.35</v>
      </c>
      <c r="Q42" s="21">
        <f t="shared" ref="Q42" si="34">P42*N42</f>
        <v>2.0999999999999996</v>
      </c>
      <c r="R42" s="20"/>
    </row>
    <row r="43" spans="1:18">
      <c r="A43" s="1"/>
      <c r="B43" s="16">
        <f>ROW(B43) - ROW($B$7)</f>
        <v>36</v>
      </c>
      <c r="C43" s="23" t="s">
        <v>10</v>
      </c>
      <c r="D43" s="14" t="s">
        <v>75</v>
      </c>
      <c r="E43" s="14" t="s">
        <v>230</v>
      </c>
      <c r="F43" s="20" t="s">
        <v>353</v>
      </c>
      <c r="G43" s="14" t="s">
        <v>454</v>
      </c>
      <c r="H43" s="14" t="s">
        <v>14</v>
      </c>
      <c r="I43" s="14" t="s">
        <v>622</v>
      </c>
      <c r="J43" s="14" t="s">
        <v>621</v>
      </c>
      <c r="K43" s="44" t="s">
        <v>622</v>
      </c>
      <c r="L43" s="14">
        <v>1</v>
      </c>
      <c r="M43" s="14">
        <f>L43*5</f>
        <v>5</v>
      </c>
      <c r="N43" s="14">
        <v>10</v>
      </c>
      <c r="O43" s="52" t="s">
        <v>838</v>
      </c>
      <c r="P43" s="15" t="s">
        <v>837</v>
      </c>
      <c r="Q43" s="15">
        <f>P43*N43</f>
        <v>1.3850000000000002</v>
      </c>
      <c r="R43" s="14"/>
    </row>
    <row r="44" spans="1:18" ht="24">
      <c r="A44" s="1"/>
      <c r="B44" s="17">
        <f t="shared" si="0"/>
        <v>37</v>
      </c>
      <c r="C44" s="22" t="s">
        <v>9</v>
      </c>
      <c r="D44" s="20" t="s">
        <v>76</v>
      </c>
      <c r="E44" s="20" t="s">
        <v>231</v>
      </c>
      <c r="F44" s="14" t="s">
        <v>354</v>
      </c>
      <c r="G44" s="20" t="s">
        <v>455</v>
      </c>
      <c r="H44" s="20" t="s">
        <v>553</v>
      </c>
      <c r="I44" s="14" t="s">
        <v>622</v>
      </c>
      <c r="J44" s="20" t="s">
        <v>622</v>
      </c>
      <c r="K44" s="44" t="s">
        <v>622</v>
      </c>
      <c r="L44" s="20">
        <v>1</v>
      </c>
      <c r="M44" s="20">
        <f t="shared" ref="M44" si="35">L44*5</f>
        <v>5</v>
      </c>
      <c r="N44" s="20">
        <v>10</v>
      </c>
      <c r="O44" s="52" t="s">
        <v>913</v>
      </c>
      <c r="P44" s="21">
        <v>0.35</v>
      </c>
      <c r="Q44" s="21">
        <f t="shared" ref="Q44" si="36">P44*N44</f>
        <v>3.5</v>
      </c>
      <c r="R44" s="20"/>
    </row>
    <row r="45" spans="1:18">
      <c r="A45" s="1"/>
      <c r="B45" s="16">
        <f>ROW(B45) - ROW($B$7)</f>
        <v>38</v>
      </c>
      <c r="C45" s="23" t="s">
        <v>8</v>
      </c>
      <c r="D45" s="14" t="s">
        <v>77</v>
      </c>
      <c r="E45" s="14" t="s">
        <v>232</v>
      </c>
      <c r="F45" s="20" t="s">
        <v>354</v>
      </c>
      <c r="G45" s="14" t="s">
        <v>456</v>
      </c>
      <c r="H45" s="14" t="s">
        <v>554</v>
      </c>
      <c r="I45" s="14" t="s">
        <v>622</v>
      </c>
      <c r="J45" s="14" t="s">
        <v>622</v>
      </c>
      <c r="K45" s="44" t="s">
        <v>622</v>
      </c>
      <c r="L45" s="14">
        <v>5</v>
      </c>
      <c r="M45" s="14">
        <f>L45*5</f>
        <v>25</v>
      </c>
      <c r="N45" s="14">
        <v>30</v>
      </c>
      <c r="O45" s="52" t="s">
        <v>913</v>
      </c>
      <c r="P45" s="15">
        <v>0.35</v>
      </c>
      <c r="Q45" s="15">
        <f>P45*N45</f>
        <v>10.5</v>
      </c>
      <c r="R45" s="14"/>
    </row>
    <row r="46" spans="1:18">
      <c r="A46" s="1"/>
      <c r="B46" s="17">
        <f t="shared" si="0"/>
        <v>39</v>
      </c>
      <c r="C46" s="22" t="s">
        <v>9</v>
      </c>
      <c r="D46" s="20" t="s">
        <v>78</v>
      </c>
      <c r="E46" s="20" t="s">
        <v>233</v>
      </c>
      <c r="F46" s="14" t="s">
        <v>355</v>
      </c>
      <c r="G46" s="20" t="s">
        <v>457</v>
      </c>
      <c r="H46" s="20" t="s">
        <v>555</v>
      </c>
      <c r="I46" s="14" t="s">
        <v>622</v>
      </c>
      <c r="J46" s="20" t="s">
        <v>622</v>
      </c>
      <c r="K46" s="44" t="s">
        <v>622</v>
      </c>
      <c r="L46" s="20">
        <v>5</v>
      </c>
      <c r="M46" s="20">
        <f t="shared" ref="M46" si="37">L46*5</f>
        <v>25</v>
      </c>
      <c r="N46" s="20">
        <v>30</v>
      </c>
      <c r="O46" s="57" t="s">
        <v>901</v>
      </c>
      <c r="P46" s="21">
        <v>5.355E-2</v>
      </c>
      <c r="Q46" s="21">
        <f t="shared" ref="Q46" si="38">P46*N46</f>
        <v>1.6065</v>
      </c>
      <c r="R46" s="20"/>
    </row>
    <row r="47" spans="1:18">
      <c r="A47" s="1"/>
      <c r="B47" s="16">
        <f>ROW(B47) - ROW($B$7)</f>
        <v>40</v>
      </c>
      <c r="C47" s="23" t="s">
        <v>10</v>
      </c>
      <c r="D47" s="14" t="s">
        <v>79</v>
      </c>
      <c r="E47" s="14" t="s">
        <v>234</v>
      </c>
      <c r="F47" s="20" t="s">
        <v>356</v>
      </c>
      <c r="G47" s="14" t="s">
        <v>458</v>
      </c>
      <c r="H47" s="14" t="s">
        <v>556</v>
      </c>
      <c r="I47" s="14" t="s">
        <v>622</v>
      </c>
      <c r="J47" s="14" t="s">
        <v>623</v>
      </c>
      <c r="K47" s="44" t="s">
        <v>622</v>
      </c>
      <c r="L47" s="14">
        <v>1</v>
      </c>
      <c r="M47" s="14">
        <f>L47*5</f>
        <v>5</v>
      </c>
      <c r="N47" s="14">
        <v>10</v>
      </c>
      <c r="O47" s="52" t="s">
        <v>838</v>
      </c>
      <c r="P47" s="15" t="s">
        <v>841</v>
      </c>
      <c r="Q47" s="15">
        <f>P47*N47</f>
        <v>1.4349999999999998</v>
      </c>
      <c r="R47" s="14"/>
    </row>
    <row r="48" spans="1:18">
      <c r="A48" s="1"/>
      <c r="B48" s="17">
        <f t="shared" si="0"/>
        <v>41</v>
      </c>
      <c r="C48" s="22" t="s">
        <v>11</v>
      </c>
      <c r="D48" s="20" t="s">
        <v>80</v>
      </c>
      <c r="E48" s="20" t="s">
        <v>235</v>
      </c>
      <c r="F48" s="14" t="s">
        <v>357</v>
      </c>
      <c r="G48" s="43" t="s">
        <v>806</v>
      </c>
      <c r="H48" s="14" t="s">
        <v>556</v>
      </c>
      <c r="I48" s="14" t="s">
        <v>622</v>
      </c>
      <c r="J48" s="20" t="s">
        <v>624</v>
      </c>
      <c r="K48" s="44" t="s">
        <v>622</v>
      </c>
      <c r="L48" s="20">
        <v>1</v>
      </c>
      <c r="M48" s="20">
        <f t="shared" ref="M48" si="39">L48*5</f>
        <v>5</v>
      </c>
      <c r="N48" s="20">
        <v>10</v>
      </c>
      <c r="O48" s="52" t="s">
        <v>838</v>
      </c>
      <c r="P48" s="21" t="s">
        <v>842</v>
      </c>
      <c r="Q48" s="21">
        <f t="shared" ref="Q48" si="40">P48*N48</f>
        <v>1.617</v>
      </c>
      <c r="R48" s="20"/>
    </row>
    <row r="49" spans="1:18">
      <c r="A49" s="1"/>
      <c r="B49" s="16">
        <f>ROW(B49) - ROW($B$7)</f>
        <v>42</v>
      </c>
      <c r="C49" s="23" t="s">
        <v>10</v>
      </c>
      <c r="D49" s="14" t="s">
        <v>81</v>
      </c>
      <c r="E49" s="14" t="s">
        <v>236</v>
      </c>
      <c r="F49" s="20" t="s">
        <v>358</v>
      </c>
      <c r="G49" s="14" t="s">
        <v>459</v>
      </c>
      <c r="H49" s="14" t="s">
        <v>556</v>
      </c>
      <c r="I49" s="14" t="s">
        <v>622</v>
      </c>
      <c r="J49" s="14" t="s">
        <v>625</v>
      </c>
      <c r="K49" s="44" t="s">
        <v>622</v>
      </c>
      <c r="L49" s="14">
        <v>1</v>
      </c>
      <c r="M49" s="14">
        <f>L49*5</f>
        <v>5</v>
      </c>
      <c r="N49" s="14">
        <v>10</v>
      </c>
      <c r="O49" s="52" t="s">
        <v>838</v>
      </c>
      <c r="P49" s="15" t="s">
        <v>843</v>
      </c>
      <c r="Q49" s="15">
        <f>P49*N49</f>
        <v>1.649</v>
      </c>
      <c r="R49" s="14"/>
    </row>
    <row r="50" spans="1:18">
      <c r="A50" s="1"/>
      <c r="B50" s="17">
        <f t="shared" si="0"/>
        <v>43</v>
      </c>
      <c r="C50" s="23" t="s">
        <v>10</v>
      </c>
      <c r="D50" s="20" t="s">
        <v>82</v>
      </c>
      <c r="E50" s="20" t="s">
        <v>237</v>
      </c>
      <c r="F50" s="14" t="s">
        <v>359</v>
      </c>
      <c r="G50" s="20" t="s">
        <v>460</v>
      </c>
      <c r="H50" s="20" t="s">
        <v>556</v>
      </c>
      <c r="I50" s="14" t="s">
        <v>622</v>
      </c>
      <c r="J50" s="20" t="s">
        <v>808</v>
      </c>
      <c r="K50" s="44" t="s">
        <v>622</v>
      </c>
      <c r="L50" s="20">
        <v>1</v>
      </c>
      <c r="M50" s="20">
        <f t="shared" ref="M50" si="41">L50*5</f>
        <v>5</v>
      </c>
      <c r="N50" s="20">
        <v>10</v>
      </c>
      <c r="O50" s="52" t="s">
        <v>838</v>
      </c>
      <c r="P50" s="21" t="s">
        <v>844</v>
      </c>
      <c r="Q50" s="21">
        <f t="shared" ref="Q50" si="42">P50*N50</f>
        <v>0.46600000000000003</v>
      </c>
      <c r="R50" s="20"/>
    </row>
    <row r="51" spans="1:18" ht="24">
      <c r="A51" s="1"/>
      <c r="B51" s="16">
        <f>ROW(B51) - ROW($B$7)</f>
        <v>44</v>
      </c>
      <c r="C51" s="23" t="s">
        <v>10</v>
      </c>
      <c r="D51" s="14" t="s">
        <v>83</v>
      </c>
      <c r="E51" s="14" t="s">
        <v>238</v>
      </c>
      <c r="F51" s="20" t="s">
        <v>360</v>
      </c>
      <c r="G51" s="14" t="s">
        <v>461</v>
      </c>
      <c r="H51" s="14" t="s">
        <v>557</v>
      </c>
      <c r="I51" s="14" t="s">
        <v>622</v>
      </c>
      <c r="J51" s="14" t="s">
        <v>626</v>
      </c>
      <c r="K51" s="44" t="s">
        <v>622</v>
      </c>
      <c r="L51" s="14">
        <v>8</v>
      </c>
      <c r="M51" s="14">
        <f>L51*5</f>
        <v>40</v>
      </c>
      <c r="N51" s="14">
        <v>45</v>
      </c>
      <c r="O51" s="52" t="s">
        <v>838</v>
      </c>
      <c r="P51" s="15" t="s">
        <v>845</v>
      </c>
      <c r="Q51" s="15">
        <f>P51*N51</f>
        <v>6.0525000000000002</v>
      </c>
      <c r="R51" s="14"/>
    </row>
    <row r="52" spans="1:18">
      <c r="A52" s="1"/>
      <c r="B52" s="17">
        <f t="shared" si="0"/>
        <v>45</v>
      </c>
      <c r="C52" s="22" t="s">
        <v>8</v>
      </c>
      <c r="D52" s="20" t="s">
        <v>84</v>
      </c>
      <c r="E52" s="20" t="s">
        <v>239</v>
      </c>
      <c r="F52" s="14" t="s">
        <v>360</v>
      </c>
      <c r="G52" s="20" t="s">
        <v>462</v>
      </c>
      <c r="H52" s="20" t="s">
        <v>558</v>
      </c>
      <c r="I52" s="14" t="s">
        <v>622</v>
      </c>
      <c r="J52" s="20" t="s">
        <v>627</v>
      </c>
      <c r="K52" s="44" t="s">
        <v>622</v>
      </c>
      <c r="L52" s="20">
        <v>6</v>
      </c>
      <c r="M52" s="20">
        <f t="shared" ref="M52" si="43">L52*5</f>
        <v>30</v>
      </c>
      <c r="N52" s="20">
        <v>40</v>
      </c>
      <c r="O52" s="52" t="s">
        <v>838</v>
      </c>
      <c r="P52" s="21" t="s">
        <v>846</v>
      </c>
      <c r="Q52" s="21">
        <f t="shared" ref="Q52" si="44">P52*N52</f>
        <v>1.3759999999999999</v>
      </c>
      <c r="R52" s="20"/>
    </row>
    <row r="53" spans="1:18" ht="24">
      <c r="A53" s="1"/>
      <c r="B53" s="16">
        <f>ROW(B53) - ROW($B$7)</f>
        <v>46</v>
      </c>
      <c r="C53" s="23" t="s">
        <v>12</v>
      </c>
      <c r="D53" s="14" t="s">
        <v>85</v>
      </c>
      <c r="E53" s="14" t="s">
        <v>240</v>
      </c>
      <c r="F53" s="20" t="s">
        <v>361</v>
      </c>
      <c r="G53" s="14" t="s">
        <v>463</v>
      </c>
      <c r="H53" s="14" t="s">
        <v>559</v>
      </c>
      <c r="I53" s="14" t="s">
        <v>622</v>
      </c>
      <c r="J53" s="14" t="s">
        <v>628</v>
      </c>
      <c r="K53" s="44" t="s">
        <v>622</v>
      </c>
      <c r="L53" s="14">
        <v>4</v>
      </c>
      <c r="M53" s="14">
        <f>L53*5</f>
        <v>20</v>
      </c>
      <c r="N53" s="14">
        <v>50</v>
      </c>
      <c r="O53" s="52" t="s">
        <v>838</v>
      </c>
      <c r="P53" s="15" t="s">
        <v>847</v>
      </c>
      <c r="Q53" s="15">
        <f>P53*N53</f>
        <v>0.92999999999999994</v>
      </c>
      <c r="R53" s="14"/>
    </row>
    <row r="54" spans="1:18">
      <c r="A54" s="1"/>
      <c r="B54" s="17">
        <f t="shared" si="0"/>
        <v>47</v>
      </c>
      <c r="C54" s="22" t="s">
        <v>13</v>
      </c>
      <c r="D54" s="20" t="s">
        <v>86</v>
      </c>
      <c r="E54" s="20" t="s">
        <v>241</v>
      </c>
      <c r="F54" s="14" t="s">
        <v>361</v>
      </c>
      <c r="G54" s="20" t="s">
        <v>464</v>
      </c>
      <c r="H54" s="20" t="s">
        <v>560</v>
      </c>
      <c r="I54" s="14" t="s">
        <v>622</v>
      </c>
      <c r="J54" s="20" t="s">
        <v>629</v>
      </c>
      <c r="K54" s="44" t="s">
        <v>622</v>
      </c>
      <c r="L54" s="20">
        <v>4</v>
      </c>
      <c r="M54" s="20">
        <f t="shared" ref="M54" si="45">L54*5</f>
        <v>20</v>
      </c>
      <c r="N54" s="20">
        <v>25</v>
      </c>
      <c r="O54" s="52" t="s">
        <v>838</v>
      </c>
      <c r="P54" s="21" t="s">
        <v>848</v>
      </c>
      <c r="Q54" s="21">
        <f t="shared" ref="Q54" si="46">P54*N54</f>
        <v>4.4450000000000003</v>
      </c>
      <c r="R54" s="20"/>
    </row>
    <row r="55" spans="1:18" ht="24">
      <c r="A55" s="1"/>
      <c r="B55" s="16">
        <f>ROW(B55) - ROW($B$7)</f>
        <v>48</v>
      </c>
      <c r="C55" s="23" t="s">
        <v>8</v>
      </c>
      <c r="D55" s="14" t="s">
        <v>87</v>
      </c>
      <c r="E55" s="14" t="s">
        <v>242</v>
      </c>
      <c r="F55" s="20" t="s">
        <v>354</v>
      </c>
      <c r="G55" s="14" t="s">
        <v>465</v>
      </c>
      <c r="H55" s="14" t="s">
        <v>14</v>
      </c>
      <c r="I55" s="14" t="s">
        <v>622</v>
      </c>
      <c r="J55" s="14" t="s">
        <v>630</v>
      </c>
      <c r="K55" s="44" t="s">
        <v>622</v>
      </c>
      <c r="L55" s="14">
        <v>8</v>
      </c>
      <c r="M55" s="14">
        <f>L55*5</f>
        <v>40</v>
      </c>
      <c r="N55" s="14">
        <v>50</v>
      </c>
      <c r="O55" s="52" t="s">
        <v>838</v>
      </c>
      <c r="P55" s="15" t="s">
        <v>849</v>
      </c>
      <c r="Q55" s="15">
        <f>P55*N55</f>
        <v>0.70499999999999996</v>
      </c>
      <c r="R55" s="14"/>
    </row>
    <row r="56" spans="1:18" ht="24">
      <c r="A56" s="1"/>
      <c r="B56" s="17">
        <f t="shared" si="0"/>
        <v>49</v>
      </c>
      <c r="C56" s="22" t="s">
        <v>8</v>
      </c>
      <c r="D56" s="20" t="s">
        <v>88</v>
      </c>
      <c r="E56" s="20" t="s">
        <v>243</v>
      </c>
      <c r="F56" s="14" t="s">
        <v>362</v>
      </c>
      <c r="G56" s="20" t="s">
        <v>466</v>
      </c>
      <c r="H56" s="20" t="s">
        <v>561</v>
      </c>
      <c r="I56" s="14" t="s">
        <v>622</v>
      </c>
      <c r="J56" s="20" t="s">
        <v>631</v>
      </c>
      <c r="K56" s="44" t="s">
        <v>622</v>
      </c>
      <c r="L56" s="20">
        <v>8</v>
      </c>
      <c r="M56" s="20">
        <f t="shared" ref="M56" si="47">L56*5</f>
        <v>40</v>
      </c>
      <c r="N56" s="20">
        <v>50</v>
      </c>
      <c r="O56" s="52" t="s">
        <v>838</v>
      </c>
      <c r="P56" s="21" t="s">
        <v>850</v>
      </c>
      <c r="Q56" s="21">
        <f t="shared" ref="Q56" si="48">P56*N56</f>
        <v>1.9900000000000002</v>
      </c>
      <c r="R56" s="20"/>
    </row>
    <row r="57" spans="1:18">
      <c r="A57" s="1"/>
      <c r="B57" s="16">
        <f>ROW(B57) - ROW($B$7)</f>
        <v>50</v>
      </c>
      <c r="C57" s="23" t="s">
        <v>14</v>
      </c>
      <c r="D57" s="14" t="s">
        <v>89</v>
      </c>
      <c r="E57" s="14" t="s">
        <v>244</v>
      </c>
      <c r="F57" s="20" t="s">
        <v>354</v>
      </c>
      <c r="G57" s="14" t="s">
        <v>467</v>
      </c>
      <c r="H57" s="14" t="s">
        <v>555</v>
      </c>
      <c r="I57" s="14" t="s">
        <v>622</v>
      </c>
      <c r="J57" s="14" t="s">
        <v>632</v>
      </c>
      <c r="K57" s="44" t="s">
        <v>622</v>
      </c>
      <c r="L57" s="14">
        <v>1</v>
      </c>
      <c r="M57" s="14">
        <f>L57*5</f>
        <v>5</v>
      </c>
      <c r="N57" s="14">
        <v>10</v>
      </c>
      <c r="O57" s="52" t="s">
        <v>838</v>
      </c>
      <c r="P57" s="15" t="s">
        <v>851</v>
      </c>
      <c r="Q57" s="15">
        <f>P57*N57</f>
        <v>0.33899999999999997</v>
      </c>
      <c r="R57" s="14"/>
    </row>
    <row r="58" spans="1:18">
      <c r="A58" s="1"/>
      <c r="B58" s="17">
        <f t="shared" si="0"/>
        <v>51</v>
      </c>
      <c r="C58" s="22" t="s">
        <v>8</v>
      </c>
      <c r="D58" s="20" t="s">
        <v>90</v>
      </c>
      <c r="E58" s="20" t="s">
        <v>245</v>
      </c>
      <c r="F58" s="14" t="s">
        <v>363</v>
      </c>
      <c r="G58" s="20" t="s">
        <v>468</v>
      </c>
      <c r="H58" s="20" t="s">
        <v>14</v>
      </c>
      <c r="I58" s="14" t="s">
        <v>622</v>
      </c>
      <c r="J58" s="20" t="s">
        <v>633</v>
      </c>
      <c r="K58" s="44" t="s">
        <v>622</v>
      </c>
      <c r="L58" s="20">
        <v>1</v>
      </c>
      <c r="M58" s="20">
        <f t="shared" ref="M58" si="49">L58*5</f>
        <v>5</v>
      </c>
      <c r="N58" s="20">
        <v>10</v>
      </c>
      <c r="O58" s="52" t="s">
        <v>838</v>
      </c>
      <c r="P58" s="21" t="s">
        <v>852</v>
      </c>
      <c r="Q58" s="21">
        <f t="shared" ref="Q58" si="50">P58*N58</f>
        <v>0.71099999999999997</v>
      </c>
      <c r="R58" s="20"/>
    </row>
    <row r="59" spans="1:18">
      <c r="A59" s="1"/>
      <c r="B59" s="16">
        <f>ROW(B59) - ROW($B$7)</f>
        <v>52</v>
      </c>
      <c r="C59" s="23" t="s">
        <v>15</v>
      </c>
      <c r="D59" s="14" t="s">
        <v>91</v>
      </c>
      <c r="E59" s="14" t="s">
        <v>246</v>
      </c>
      <c r="F59" s="20" t="s">
        <v>364</v>
      </c>
      <c r="G59" s="14" t="s">
        <v>469</v>
      </c>
      <c r="H59" s="14" t="s">
        <v>14</v>
      </c>
      <c r="I59" s="14" t="s">
        <v>622</v>
      </c>
      <c r="J59" s="14" t="s">
        <v>634</v>
      </c>
      <c r="K59" s="44" t="s">
        <v>622</v>
      </c>
      <c r="L59" s="14">
        <v>2</v>
      </c>
      <c r="M59" s="14">
        <f>L59*5</f>
        <v>10</v>
      </c>
      <c r="N59" s="14">
        <v>15</v>
      </c>
      <c r="O59" s="52" t="s">
        <v>838</v>
      </c>
      <c r="P59" s="15" t="s">
        <v>853</v>
      </c>
      <c r="Q59" s="15">
        <f>P59*N59</f>
        <v>2.0714999999999999</v>
      </c>
      <c r="R59" s="14"/>
    </row>
    <row r="60" spans="1:18">
      <c r="A60" s="1"/>
      <c r="B60" s="17">
        <f t="shared" si="0"/>
        <v>53</v>
      </c>
      <c r="C60" s="22" t="s">
        <v>16</v>
      </c>
      <c r="D60" s="20" t="s">
        <v>92</v>
      </c>
      <c r="E60" s="20" t="s">
        <v>247</v>
      </c>
      <c r="F60" s="14" t="s">
        <v>365</v>
      </c>
      <c r="G60" s="20" t="s">
        <v>470</v>
      </c>
      <c r="H60" s="20" t="s">
        <v>562</v>
      </c>
      <c r="I60" s="14" t="s">
        <v>622</v>
      </c>
      <c r="J60" s="20" t="s">
        <v>635</v>
      </c>
      <c r="K60" s="44" t="s">
        <v>622</v>
      </c>
      <c r="L60" s="20">
        <v>1</v>
      </c>
      <c r="M60" s="20">
        <f t="shared" ref="M60" si="51">L60*5</f>
        <v>5</v>
      </c>
      <c r="N60" s="20">
        <v>10</v>
      </c>
      <c r="O60" s="52" t="s">
        <v>838</v>
      </c>
      <c r="P60" s="21" t="s">
        <v>854</v>
      </c>
      <c r="Q60" s="21">
        <f t="shared" ref="Q60" si="52">P60*N60</f>
        <v>8.0779999999999994</v>
      </c>
      <c r="R60" s="20"/>
    </row>
    <row r="61" spans="1:18" ht="24">
      <c r="A61" s="1"/>
      <c r="B61" s="16">
        <f>ROW(B61) - ROW($B$7)</f>
        <v>54</v>
      </c>
      <c r="C61" s="22" t="s">
        <v>16</v>
      </c>
      <c r="D61" s="14" t="s">
        <v>93</v>
      </c>
      <c r="E61" s="14" t="s">
        <v>248</v>
      </c>
      <c r="F61" s="20" t="s">
        <v>366</v>
      </c>
      <c r="G61" s="14" t="s">
        <v>471</v>
      </c>
      <c r="H61" s="14" t="s">
        <v>563</v>
      </c>
      <c r="I61" s="14" t="s">
        <v>622</v>
      </c>
      <c r="J61" s="14" t="s">
        <v>636</v>
      </c>
      <c r="K61" s="44" t="s">
        <v>622</v>
      </c>
      <c r="L61" s="14">
        <v>6</v>
      </c>
      <c r="M61" s="14">
        <f>L61*5</f>
        <v>30</v>
      </c>
      <c r="N61" s="14">
        <v>40</v>
      </c>
      <c r="O61" s="52" t="s">
        <v>838</v>
      </c>
      <c r="P61" s="15" t="s">
        <v>855</v>
      </c>
      <c r="Q61" s="15">
        <f>P61*N61</f>
        <v>1.6600000000000001</v>
      </c>
      <c r="R61" s="14"/>
    </row>
    <row r="62" spans="1:18">
      <c r="A62" s="1"/>
      <c r="B62" s="17">
        <f t="shared" si="0"/>
        <v>55</v>
      </c>
      <c r="C62" s="22" t="s">
        <v>17</v>
      </c>
      <c r="D62" s="20" t="s">
        <v>94</v>
      </c>
      <c r="E62" s="20" t="s">
        <v>249</v>
      </c>
      <c r="F62" s="14" t="s">
        <v>367</v>
      </c>
      <c r="G62" s="20" t="s">
        <v>472</v>
      </c>
      <c r="H62" s="20" t="s">
        <v>546</v>
      </c>
      <c r="I62" s="14" t="s">
        <v>622</v>
      </c>
      <c r="J62" s="20" t="s">
        <v>637</v>
      </c>
      <c r="K62" s="44" t="s">
        <v>622</v>
      </c>
      <c r="L62" s="20">
        <v>1</v>
      </c>
      <c r="M62" s="20">
        <f t="shared" ref="M62" si="53">L62*5</f>
        <v>5</v>
      </c>
      <c r="N62" s="20">
        <v>20</v>
      </c>
      <c r="O62" s="52" t="s">
        <v>838</v>
      </c>
      <c r="P62" s="21" t="s">
        <v>856</v>
      </c>
      <c r="Q62" s="21">
        <f t="shared" ref="Q62" si="54">P62*N62</f>
        <v>0.39600000000000002</v>
      </c>
      <c r="R62" s="20"/>
    </row>
    <row r="63" spans="1:18">
      <c r="A63" s="1"/>
      <c r="B63" s="16">
        <f>ROW(B63) - ROW($B$7)</f>
        <v>56</v>
      </c>
      <c r="C63" s="23" t="s">
        <v>18</v>
      </c>
      <c r="D63" s="14" t="s">
        <v>95</v>
      </c>
      <c r="E63" s="14" t="s">
        <v>250</v>
      </c>
      <c r="F63" s="20" t="s">
        <v>367</v>
      </c>
      <c r="G63" s="14" t="s">
        <v>473</v>
      </c>
      <c r="H63" s="14" t="s">
        <v>546</v>
      </c>
      <c r="I63" s="14" t="s">
        <v>622</v>
      </c>
      <c r="J63" s="14" t="s">
        <v>638</v>
      </c>
      <c r="K63" s="44" t="s">
        <v>622</v>
      </c>
      <c r="L63" s="14">
        <v>4</v>
      </c>
      <c r="M63" s="14">
        <f>L63*5</f>
        <v>20</v>
      </c>
      <c r="N63" s="14">
        <v>100</v>
      </c>
      <c r="O63" s="52" t="s">
        <v>838</v>
      </c>
      <c r="P63" s="15" t="s">
        <v>857</v>
      </c>
      <c r="Q63" s="15">
        <f>P63*N63</f>
        <v>0.73</v>
      </c>
      <c r="R63" s="14"/>
    </row>
    <row r="64" spans="1:18" s="54" customFormat="1">
      <c r="A64" s="53"/>
      <c r="B64" s="17">
        <f t="shared" si="0"/>
        <v>57</v>
      </c>
      <c r="C64" s="22" t="s">
        <v>19</v>
      </c>
      <c r="D64" s="20" t="s">
        <v>96</v>
      </c>
      <c r="E64" s="20" t="s">
        <v>251</v>
      </c>
      <c r="F64" s="20" t="s">
        <v>804</v>
      </c>
      <c r="G64" s="20" t="s">
        <v>368</v>
      </c>
      <c r="H64" s="20" t="s">
        <v>564</v>
      </c>
      <c r="I64" s="14" t="s">
        <v>622</v>
      </c>
      <c r="J64" s="20" t="s">
        <v>639</v>
      </c>
      <c r="K64" s="44" t="s">
        <v>622</v>
      </c>
      <c r="L64" s="20">
        <v>1</v>
      </c>
      <c r="M64" s="20">
        <f t="shared" ref="M64" si="55">L64*5</f>
        <v>5</v>
      </c>
      <c r="N64" s="20">
        <v>6</v>
      </c>
      <c r="O64" s="52" t="s">
        <v>858</v>
      </c>
      <c r="P64" s="21">
        <v>1.242</v>
      </c>
      <c r="Q64" s="21">
        <f t="shared" ref="Q64" si="56">P64*N64</f>
        <v>7.452</v>
      </c>
      <c r="R64" s="20"/>
    </row>
    <row r="65" spans="1:18" ht="48">
      <c r="A65" s="1"/>
      <c r="B65" s="16">
        <f>ROW(B65) - ROW($B$7)</f>
        <v>58</v>
      </c>
      <c r="C65" s="23" t="s">
        <v>20</v>
      </c>
      <c r="D65" s="14" t="s">
        <v>97</v>
      </c>
      <c r="E65" s="14" t="s">
        <v>252</v>
      </c>
      <c r="F65" s="20" t="s">
        <v>804</v>
      </c>
      <c r="G65" s="14" t="s">
        <v>369</v>
      </c>
      <c r="H65" s="14" t="s">
        <v>565</v>
      </c>
      <c r="I65" s="14" t="s">
        <v>622</v>
      </c>
      <c r="J65" s="14" t="s">
        <v>640</v>
      </c>
      <c r="K65" s="44" t="s">
        <v>622</v>
      </c>
      <c r="L65" s="14">
        <v>1</v>
      </c>
      <c r="M65" s="14">
        <f>L65*5</f>
        <v>5</v>
      </c>
      <c r="N65" s="14">
        <v>10</v>
      </c>
      <c r="O65" s="52" t="s">
        <v>838</v>
      </c>
      <c r="P65" s="15" t="s">
        <v>859</v>
      </c>
      <c r="Q65" s="15">
        <f>P65*N65</f>
        <v>2.6740000000000004</v>
      </c>
      <c r="R65" s="14"/>
    </row>
    <row r="66" spans="1:18">
      <c r="A66" s="1"/>
      <c r="B66" s="17">
        <f t="shared" si="0"/>
        <v>59</v>
      </c>
      <c r="C66" s="22" t="s">
        <v>794</v>
      </c>
      <c r="D66" s="20" t="s">
        <v>98</v>
      </c>
      <c r="E66" s="20" t="s">
        <v>253</v>
      </c>
      <c r="F66" s="20" t="s">
        <v>804</v>
      </c>
      <c r="G66" s="20" t="s">
        <v>474</v>
      </c>
      <c r="H66" s="20" t="s">
        <v>566</v>
      </c>
      <c r="I66" s="14" t="s">
        <v>622</v>
      </c>
      <c r="J66" s="20" t="s">
        <v>622</v>
      </c>
      <c r="K66" s="44" t="s">
        <v>622</v>
      </c>
      <c r="L66" s="20">
        <v>1</v>
      </c>
      <c r="M66" s="20">
        <f t="shared" ref="M66" si="57">L66*5</f>
        <v>5</v>
      </c>
      <c r="N66" s="20">
        <v>1</v>
      </c>
      <c r="O66" s="52" t="s">
        <v>901</v>
      </c>
      <c r="P66" s="15">
        <v>84.87</v>
      </c>
      <c r="Q66" s="21">
        <f t="shared" ref="Q66:Q106" si="58">P67*N66</f>
        <v>0.04</v>
      </c>
      <c r="R66" s="20"/>
    </row>
    <row r="67" spans="1:18" ht="48">
      <c r="A67" s="1"/>
      <c r="B67" s="16">
        <f>ROW(B67) - ROW($B$7)</f>
        <v>60</v>
      </c>
      <c r="C67" s="23" t="s">
        <v>21</v>
      </c>
      <c r="D67" s="14" t="s">
        <v>99</v>
      </c>
      <c r="E67" s="14" t="s">
        <v>254</v>
      </c>
      <c r="F67" s="20" t="s">
        <v>370</v>
      </c>
      <c r="G67" s="14" t="s">
        <v>475</v>
      </c>
      <c r="H67" s="14" t="s">
        <v>567</v>
      </c>
      <c r="I67" s="14" t="s">
        <v>622</v>
      </c>
      <c r="J67" s="14" t="s">
        <v>641</v>
      </c>
      <c r="K67" s="44" t="s">
        <v>622</v>
      </c>
      <c r="L67" s="14">
        <v>1</v>
      </c>
      <c r="M67" s="14">
        <f>L67*5</f>
        <v>5</v>
      </c>
      <c r="N67" s="14">
        <v>10</v>
      </c>
      <c r="O67" s="52" t="s">
        <v>838</v>
      </c>
      <c r="P67" s="21" t="s">
        <v>860</v>
      </c>
      <c r="Q67" s="15">
        <f t="shared" si="58"/>
        <v>5.5110000000000001</v>
      </c>
      <c r="R67" s="14"/>
    </row>
    <row r="68" spans="1:18" ht="60">
      <c r="A68" s="1"/>
      <c r="B68" s="17">
        <f t="shared" si="0"/>
        <v>61</v>
      </c>
      <c r="C68" s="22" t="s">
        <v>22</v>
      </c>
      <c r="D68" s="20" t="s">
        <v>100</v>
      </c>
      <c r="E68" s="20" t="s">
        <v>255</v>
      </c>
      <c r="F68" s="20" t="s">
        <v>804</v>
      </c>
      <c r="G68" s="20" t="s">
        <v>371</v>
      </c>
      <c r="H68" s="20" t="s">
        <v>568</v>
      </c>
      <c r="I68" s="14" t="s">
        <v>622</v>
      </c>
      <c r="J68" s="20" t="s">
        <v>642</v>
      </c>
      <c r="K68" s="44" t="s">
        <v>622</v>
      </c>
      <c r="L68" s="20">
        <v>1</v>
      </c>
      <c r="M68" s="20">
        <f t="shared" ref="M68" si="59">L68*5</f>
        <v>5</v>
      </c>
      <c r="N68" s="20">
        <v>6</v>
      </c>
      <c r="O68" s="52" t="s">
        <v>838</v>
      </c>
      <c r="P68" s="15" t="s">
        <v>861</v>
      </c>
      <c r="Q68" s="21">
        <f t="shared" si="58"/>
        <v>1.2126000000000001</v>
      </c>
      <c r="R68" s="20"/>
    </row>
    <row r="69" spans="1:18" ht="24">
      <c r="A69" s="1"/>
      <c r="B69" s="16">
        <f>ROW(B69) - ROW($B$7)</f>
        <v>62</v>
      </c>
      <c r="C69" s="22" t="s">
        <v>23</v>
      </c>
      <c r="D69" s="14" t="s">
        <v>101</v>
      </c>
      <c r="E69" s="14" t="s">
        <v>256</v>
      </c>
      <c r="F69" s="20" t="s">
        <v>804</v>
      </c>
      <c r="G69" s="14" t="s">
        <v>372</v>
      </c>
      <c r="H69" s="14" t="s">
        <v>569</v>
      </c>
      <c r="I69" s="14" t="s">
        <v>622</v>
      </c>
      <c r="J69" s="14" t="s">
        <v>643</v>
      </c>
      <c r="K69" s="44" t="s">
        <v>622</v>
      </c>
      <c r="L69" s="14">
        <v>1</v>
      </c>
      <c r="M69" s="14">
        <f>L69*5</f>
        <v>5</v>
      </c>
      <c r="N69" s="14">
        <v>10</v>
      </c>
      <c r="O69" s="52" t="s">
        <v>838</v>
      </c>
      <c r="P69" s="21" t="s">
        <v>862</v>
      </c>
      <c r="Q69" s="15">
        <f t="shared" si="58"/>
        <v>4.4269999999999996</v>
      </c>
      <c r="R69" s="14"/>
    </row>
    <row r="70" spans="1:18" ht="24">
      <c r="A70" s="1"/>
      <c r="B70" s="17">
        <f t="shared" si="0"/>
        <v>63</v>
      </c>
      <c r="C70" s="23" t="s">
        <v>23</v>
      </c>
      <c r="D70" s="20" t="s">
        <v>102</v>
      </c>
      <c r="E70" s="20" t="s">
        <v>257</v>
      </c>
      <c r="F70" s="20" t="s">
        <v>804</v>
      </c>
      <c r="G70" s="20" t="s">
        <v>373</v>
      </c>
      <c r="H70" s="20" t="s">
        <v>569</v>
      </c>
      <c r="I70" s="14" t="s">
        <v>622</v>
      </c>
      <c r="J70" s="20" t="s">
        <v>644</v>
      </c>
      <c r="K70" s="44" t="s">
        <v>622</v>
      </c>
      <c r="L70" s="20">
        <v>1</v>
      </c>
      <c r="M70" s="20">
        <f t="shared" ref="M70" si="60">L70*5</f>
        <v>5</v>
      </c>
      <c r="N70" s="20">
        <v>6</v>
      </c>
      <c r="O70" s="52" t="s">
        <v>838</v>
      </c>
      <c r="P70" s="15">
        <v>0.44269999999999998</v>
      </c>
      <c r="Q70" s="21">
        <f t="shared" si="58"/>
        <v>1.9481999999999999</v>
      </c>
      <c r="R70" s="20"/>
    </row>
    <row r="71" spans="1:18" ht="60">
      <c r="A71" s="1"/>
      <c r="B71" s="16">
        <f>ROW(B71) - ROW($B$7)</f>
        <v>64</v>
      </c>
      <c r="C71" s="23" t="s">
        <v>22</v>
      </c>
      <c r="D71" s="14" t="s">
        <v>103</v>
      </c>
      <c r="E71" s="14" t="s">
        <v>258</v>
      </c>
      <c r="F71" s="20" t="s">
        <v>804</v>
      </c>
      <c r="G71" s="14" t="s">
        <v>374</v>
      </c>
      <c r="H71" s="14" t="s">
        <v>569</v>
      </c>
      <c r="I71" s="14" t="s">
        <v>622</v>
      </c>
      <c r="J71" s="14" t="s">
        <v>645</v>
      </c>
      <c r="K71" s="44" t="s">
        <v>622</v>
      </c>
      <c r="L71" s="14">
        <v>2</v>
      </c>
      <c r="M71" s="14">
        <f>L71*5</f>
        <v>10</v>
      </c>
      <c r="N71" s="14">
        <v>15</v>
      </c>
      <c r="O71" s="52" t="s">
        <v>838</v>
      </c>
      <c r="P71" s="21" t="s">
        <v>863</v>
      </c>
      <c r="Q71" s="15">
        <f t="shared" si="58"/>
        <v>0.4335</v>
      </c>
      <c r="R71" s="14"/>
    </row>
    <row r="72" spans="1:18" ht="48">
      <c r="A72" s="1"/>
      <c r="B72" s="17">
        <f t="shared" si="0"/>
        <v>65</v>
      </c>
      <c r="C72" s="22" t="s">
        <v>21</v>
      </c>
      <c r="D72" s="20" t="s">
        <v>104</v>
      </c>
      <c r="E72" s="20" t="s">
        <v>259</v>
      </c>
      <c r="F72" s="14" t="s">
        <v>375</v>
      </c>
      <c r="G72" s="20" t="s">
        <v>476</v>
      </c>
      <c r="H72" s="20" t="s">
        <v>567</v>
      </c>
      <c r="I72" s="14" t="s">
        <v>622</v>
      </c>
      <c r="J72" s="20" t="s">
        <v>646</v>
      </c>
      <c r="K72" s="44" t="s">
        <v>622</v>
      </c>
      <c r="L72" s="20">
        <v>6</v>
      </c>
      <c r="M72" s="20">
        <f t="shared" ref="M72" si="61">L72*5</f>
        <v>30</v>
      </c>
      <c r="N72" s="20">
        <v>40</v>
      </c>
      <c r="O72" s="52" t="s">
        <v>838</v>
      </c>
      <c r="P72" s="15" t="s">
        <v>864</v>
      </c>
      <c r="Q72" s="21">
        <f t="shared" si="58"/>
        <v>11.356</v>
      </c>
      <c r="R72" s="20"/>
    </row>
    <row r="73" spans="1:18" ht="48">
      <c r="A73" s="1"/>
      <c r="B73" s="16">
        <f>ROW(B73) - ROW($B$7)</f>
        <v>66</v>
      </c>
      <c r="C73" s="23" t="s">
        <v>20</v>
      </c>
      <c r="D73" s="14" t="s">
        <v>105</v>
      </c>
      <c r="E73" s="14" t="s">
        <v>260</v>
      </c>
      <c r="F73" s="20" t="s">
        <v>804</v>
      </c>
      <c r="G73" s="14" t="s">
        <v>376</v>
      </c>
      <c r="H73" s="14" t="s">
        <v>570</v>
      </c>
      <c r="I73" s="14" t="s">
        <v>622</v>
      </c>
      <c r="J73" s="14" t="s">
        <v>647</v>
      </c>
      <c r="K73" s="44" t="s">
        <v>622</v>
      </c>
      <c r="L73" s="14">
        <v>2</v>
      </c>
      <c r="M73" s="14">
        <f>L73*5</f>
        <v>10</v>
      </c>
      <c r="N73" s="14">
        <v>15</v>
      </c>
      <c r="O73" s="52" t="s">
        <v>838</v>
      </c>
      <c r="P73" s="21" t="s">
        <v>865</v>
      </c>
      <c r="Q73" s="15">
        <f t="shared" si="58"/>
        <v>13.852499999999999</v>
      </c>
      <c r="R73" s="14"/>
    </row>
    <row r="74" spans="1:18" ht="60">
      <c r="A74" s="1"/>
      <c r="B74" s="17">
        <f t="shared" si="0"/>
        <v>67</v>
      </c>
      <c r="C74" s="22" t="s">
        <v>22</v>
      </c>
      <c r="D74" s="20" t="s">
        <v>106</v>
      </c>
      <c r="E74" s="20" t="s">
        <v>261</v>
      </c>
      <c r="F74" s="20" t="s">
        <v>804</v>
      </c>
      <c r="G74" s="20" t="s">
        <v>377</v>
      </c>
      <c r="H74" s="20" t="s">
        <v>569</v>
      </c>
      <c r="I74" s="14" t="s">
        <v>622</v>
      </c>
      <c r="J74" s="20" t="s">
        <v>648</v>
      </c>
      <c r="K74" s="44" t="s">
        <v>622</v>
      </c>
      <c r="L74" s="20">
        <v>1</v>
      </c>
      <c r="M74" s="20">
        <f t="shared" ref="M74" si="62">L74*5</f>
        <v>5</v>
      </c>
      <c r="N74" s="20">
        <v>6</v>
      </c>
      <c r="O74" s="52" t="s">
        <v>838</v>
      </c>
      <c r="P74" s="15" t="s">
        <v>866</v>
      </c>
      <c r="Q74" s="21">
        <f t="shared" si="58"/>
        <v>1.5840000000000001</v>
      </c>
      <c r="R74" s="20"/>
    </row>
    <row r="75" spans="1:18" ht="48">
      <c r="A75" s="1"/>
      <c r="B75" s="16">
        <f>ROW(B75) - ROW($B$7)</f>
        <v>68</v>
      </c>
      <c r="C75" s="23" t="s">
        <v>20</v>
      </c>
      <c r="D75" s="14" t="s">
        <v>107</v>
      </c>
      <c r="E75" s="14" t="s">
        <v>262</v>
      </c>
      <c r="F75" s="20" t="s">
        <v>804</v>
      </c>
      <c r="G75" s="14" t="s">
        <v>378</v>
      </c>
      <c r="H75" s="14" t="s">
        <v>565</v>
      </c>
      <c r="I75" s="14" t="s">
        <v>622</v>
      </c>
      <c r="J75" s="14" t="s">
        <v>649</v>
      </c>
      <c r="K75" s="44" t="s">
        <v>622</v>
      </c>
      <c r="L75" s="14">
        <v>2</v>
      </c>
      <c r="M75" s="14">
        <f>L75*5</f>
        <v>10</v>
      </c>
      <c r="N75" s="14">
        <v>15</v>
      </c>
      <c r="O75" s="52" t="s">
        <v>838</v>
      </c>
      <c r="P75" s="21" t="s">
        <v>867</v>
      </c>
      <c r="Q75" s="15">
        <f t="shared" si="58"/>
        <v>3.9344999999999999</v>
      </c>
      <c r="R75" s="14"/>
    </row>
    <row r="76" spans="1:18" ht="48">
      <c r="A76" s="1"/>
      <c r="B76" s="17">
        <f t="shared" si="0"/>
        <v>69</v>
      </c>
      <c r="C76" s="22" t="s">
        <v>20</v>
      </c>
      <c r="D76" s="20" t="s">
        <v>108</v>
      </c>
      <c r="E76" s="20" t="s">
        <v>263</v>
      </c>
      <c r="F76" s="20" t="s">
        <v>804</v>
      </c>
      <c r="G76" s="20" t="s">
        <v>379</v>
      </c>
      <c r="H76" s="20" t="s">
        <v>565</v>
      </c>
      <c r="I76" s="14" t="s">
        <v>622</v>
      </c>
      <c r="J76" s="20" t="s">
        <v>650</v>
      </c>
      <c r="K76" s="44" t="s">
        <v>622</v>
      </c>
      <c r="L76" s="20">
        <v>2</v>
      </c>
      <c r="M76" s="20">
        <f t="shared" ref="M76" si="63">L76*5</f>
        <v>10</v>
      </c>
      <c r="N76" s="20">
        <v>15</v>
      </c>
      <c r="O76" s="52" t="s">
        <v>838</v>
      </c>
      <c r="P76" s="15" t="s">
        <v>868</v>
      </c>
      <c r="Q76" s="21">
        <f t="shared" si="58"/>
        <v>17.247</v>
      </c>
      <c r="R76" s="20"/>
    </row>
    <row r="77" spans="1:18" ht="36">
      <c r="A77" s="1"/>
      <c r="B77" s="16">
        <f>ROW(B77) - ROW($B$7)</f>
        <v>70</v>
      </c>
      <c r="C77" s="23" t="s">
        <v>24</v>
      </c>
      <c r="D77" s="14" t="s">
        <v>109</v>
      </c>
      <c r="E77" s="14" t="s">
        <v>264</v>
      </c>
      <c r="F77" s="20" t="s">
        <v>804</v>
      </c>
      <c r="G77" s="14" t="s">
        <v>380</v>
      </c>
      <c r="H77" s="14" t="s">
        <v>571</v>
      </c>
      <c r="I77" s="14" t="s">
        <v>622</v>
      </c>
      <c r="J77" s="14" t="s">
        <v>651</v>
      </c>
      <c r="K77" s="44" t="s">
        <v>622</v>
      </c>
      <c r="L77" s="14">
        <v>2</v>
      </c>
      <c r="M77" s="14">
        <f>L77*5</f>
        <v>10</v>
      </c>
      <c r="N77" s="14">
        <v>11</v>
      </c>
      <c r="O77" s="52" t="s">
        <v>838</v>
      </c>
      <c r="P77" s="21">
        <v>1.1497999999999999</v>
      </c>
      <c r="Q77" s="15">
        <f t="shared" si="58"/>
        <v>3.5519000000000003</v>
      </c>
      <c r="R77" s="14"/>
    </row>
    <row r="78" spans="1:18" ht="48">
      <c r="A78" s="1"/>
      <c r="B78" s="17">
        <f t="shared" si="0"/>
        <v>71</v>
      </c>
      <c r="C78" s="22" t="s">
        <v>20</v>
      </c>
      <c r="D78" s="20" t="s">
        <v>110</v>
      </c>
      <c r="E78" s="20" t="s">
        <v>265</v>
      </c>
      <c r="F78" s="20" t="s">
        <v>804</v>
      </c>
      <c r="G78" s="20" t="s">
        <v>381</v>
      </c>
      <c r="H78" s="20" t="s">
        <v>565</v>
      </c>
      <c r="I78" s="14" t="s">
        <v>622</v>
      </c>
      <c r="J78" s="20" t="s">
        <v>652</v>
      </c>
      <c r="K78" s="44" t="s">
        <v>622</v>
      </c>
      <c r="L78" s="20">
        <v>2</v>
      </c>
      <c r="M78" s="20">
        <f t="shared" ref="M78" si="64">L78*5</f>
        <v>10</v>
      </c>
      <c r="N78" s="20">
        <v>11</v>
      </c>
      <c r="O78" s="52" t="s">
        <v>838</v>
      </c>
      <c r="P78" s="15">
        <v>0.32290000000000002</v>
      </c>
      <c r="Q78" s="21">
        <f t="shared" si="58"/>
        <v>2.0360999999999998</v>
      </c>
      <c r="R78" s="20"/>
    </row>
    <row r="79" spans="1:18" ht="48">
      <c r="A79" s="1"/>
      <c r="B79" s="16">
        <f>ROW(B79) - ROW($B$7)</f>
        <v>72</v>
      </c>
      <c r="C79" s="23" t="s">
        <v>20</v>
      </c>
      <c r="D79" s="14" t="s">
        <v>111</v>
      </c>
      <c r="E79" s="14" t="s">
        <v>266</v>
      </c>
      <c r="F79" s="20" t="s">
        <v>804</v>
      </c>
      <c r="G79" s="14" t="s">
        <v>382</v>
      </c>
      <c r="H79" s="14" t="s">
        <v>565</v>
      </c>
      <c r="I79" s="14" t="s">
        <v>622</v>
      </c>
      <c r="J79" s="14" t="s">
        <v>653</v>
      </c>
      <c r="K79" s="44" t="s">
        <v>622</v>
      </c>
      <c r="L79" s="14">
        <v>2</v>
      </c>
      <c r="M79" s="14">
        <f>L79*5</f>
        <v>10</v>
      </c>
      <c r="N79" s="14">
        <v>15</v>
      </c>
      <c r="O79" s="52" t="s">
        <v>838</v>
      </c>
      <c r="P79" s="21" t="s">
        <v>869</v>
      </c>
      <c r="Q79" s="15">
        <f t="shared" si="58"/>
        <v>2.6865000000000001</v>
      </c>
      <c r="R79" s="14"/>
    </row>
    <row r="80" spans="1:18" ht="48">
      <c r="A80" s="1"/>
      <c r="B80" s="17">
        <f t="shared" si="0"/>
        <v>73</v>
      </c>
      <c r="C80" s="22" t="s">
        <v>20</v>
      </c>
      <c r="D80" s="20" t="s">
        <v>112</v>
      </c>
      <c r="E80" s="20" t="s">
        <v>267</v>
      </c>
      <c r="F80" s="20" t="s">
        <v>804</v>
      </c>
      <c r="G80" s="20" t="s">
        <v>383</v>
      </c>
      <c r="H80" s="20" t="s">
        <v>565</v>
      </c>
      <c r="I80" s="14" t="s">
        <v>622</v>
      </c>
      <c r="J80" s="20" t="s">
        <v>654</v>
      </c>
      <c r="K80" s="44" t="s">
        <v>622</v>
      </c>
      <c r="L80" s="20">
        <v>2</v>
      </c>
      <c r="M80" s="20">
        <f t="shared" ref="M80" si="65">L80*5</f>
        <v>10</v>
      </c>
      <c r="N80" s="20">
        <v>15</v>
      </c>
      <c r="O80" s="52" t="s">
        <v>838</v>
      </c>
      <c r="P80" s="15" t="s">
        <v>870</v>
      </c>
      <c r="Q80" s="21">
        <f t="shared" si="58"/>
        <v>2.5245000000000002</v>
      </c>
      <c r="R80" s="20"/>
    </row>
    <row r="81" spans="1:18" ht="48">
      <c r="A81" s="1"/>
      <c r="B81" s="16">
        <f>ROW(B81) - ROW($B$7)</f>
        <v>74</v>
      </c>
      <c r="C81" s="23" t="s">
        <v>20</v>
      </c>
      <c r="D81" s="14" t="s">
        <v>113</v>
      </c>
      <c r="E81" s="14" t="s">
        <v>268</v>
      </c>
      <c r="F81" s="20" t="s">
        <v>804</v>
      </c>
      <c r="G81" s="14" t="s">
        <v>384</v>
      </c>
      <c r="H81" s="14" t="s">
        <v>565</v>
      </c>
      <c r="I81" s="14" t="s">
        <v>622</v>
      </c>
      <c r="J81" s="14" t="s">
        <v>655</v>
      </c>
      <c r="K81" s="44" t="s">
        <v>622</v>
      </c>
      <c r="L81" s="14">
        <v>2</v>
      </c>
      <c r="M81" s="14">
        <f>L81*5</f>
        <v>10</v>
      </c>
      <c r="N81" s="14">
        <v>15</v>
      </c>
      <c r="O81" s="52" t="s">
        <v>838</v>
      </c>
      <c r="P81" s="21" t="s">
        <v>871</v>
      </c>
      <c r="Q81" s="15">
        <f t="shared" si="58"/>
        <v>2.8725000000000001</v>
      </c>
      <c r="R81" s="14"/>
    </row>
    <row r="82" spans="1:18" ht="48">
      <c r="A82" s="1"/>
      <c r="B82" s="17">
        <f t="shared" si="0"/>
        <v>75</v>
      </c>
      <c r="C82" s="22" t="s">
        <v>20</v>
      </c>
      <c r="D82" s="20" t="s">
        <v>114</v>
      </c>
      <c r="E82" s="20" t="s">
        <v>269</v>
      </c>
      <c r="F82" s="20" t="s">
        <v>804</v>
      </c>
      <c r="G82" s="20" t="s">
        <v>385</v>
      </c>
      <c r="H82" s="20" t="s">
        <v>570</v>
      </c>
      <c r="I82" s="14" t="s">
        <v>622</v>
      </c>
      <c r="J82" s="20" t="s">
        <v>656</v>
      </c>
      <c r="K82" s="44" t="s">
        <v>622</v>
      </c>
      <c r="L82" s="20">
        <v>2</v>
      </c>
      <c r="M82" s="20">
        <f t="shared" ref="M82" si="66">L82*5</f>
        <v>10</v>
      </c>
      <c r="N82" s="20">
        <v>15</v>
      </c>
      <c r="O82" s="52" t="s">
        <v>838</v>
      </c>
      <c r="P82" s="15" t="s">
        <v>872</v>
      </c>
      <c r="Q82" s="21">
        <f t="shared" si="58"/>
        <v>4.8629999999999995</v>
      </c>
      <c r="R82" s="20"/>
    </row>
    <row r="83" spans="1:18" ht="48">
      <c r="A83" s="1"/>
      <c r="B83" s="16">
        <f>ROW(B83) - ROW($B$7)</f>
        <v>76</v>
      </c>
      <c r="C83" s="23" t="s">
        <v>25</v>
      </c>
      <c r="D83" s="14" t="s">
        <v>115</v>
      </c>
      <c r="E83" s="14" t="s">
        <v>270</v>
      </c>
      <c r="F83" s="20" t="s">
        <v>804</v>
      </c>
      <c r="G83" s="14" t="s">
        <v>386</v>
      </c>
      <c r="H83" s="14" t="s">
        <v>572</v>
      </c>
      <c r="I83" s="14" t="s">
        <v>622</v>
      </c>
      <c r="J83" s="14" t="s">
        <v>657</v>
      </c>
      <c r="K83" s="44" t="s">
        <v>622</v>
      </c>
      <c r="L83" s="14">
        <v>1</v>
      </c>
      <c r="M83" s="14">
        <f>L83*5</f>
        <v>5</v>
      </c>
      <c r="N83" s="14">
        <v>6</v>
      </c>
      <c r="O83" s="52" t="s">
        <v>838</v>
      </c>
      <c r="P83" s="21">
        <v>0.32419999999999999</v>
      </c>
      <c r="Q83" s="15">
        <f t="shared" si="58"/>
        <v>5.7582000000000004</v>
      </c>
      <c r="R83" s="14"/>
    </row>
    <row r="84" spans="1:18" ht="48">
      <c r="A84" s="1"/>
      <c r="B84" s="17">
        <f t="shared" si="0"/>
        <v>77</v>
      </c>
      <c r="C84" s="22" t="s">
        <v>20</v>
      </c>
      <c r="D84" s="20" t="s">
        <v>116</v>
      </c>
      <c r="E84" s="20" t="s">
        <v>271</v>
      </c>
      <c r="F84" s="20" t="s">
        <v>804</v>
      </c>
      <c r="G84" s="20" t="s">
        <v>387</v>
      </c>
      <c r="H84" s="20" t="s">
        <v>570</v>
      </c>
      <c r="I84" s="14" t="s">
        <v>622</v>
      </c>
      <c r="J84" s="20" t="s">
        <v>658</v>
      </c>
      <c r="K84" s="44" t="s">
        <v>622</v>
      </c>
      <c r="L84" s="20">
        <v>1</v>
      </c>
      <c r="M84" s="20">
        <f t="shared" ref="M84" si="67">L84*5</f>
        <v>5</v>
      </c>
      <c r="N84" s="20">
        <v>6</v>
      </c>
      <c r="O84" s="52" t="s">
        <v>838</v>
      </c>
      <c r="P84" s="15">
        <v>0.9597</v>
      </c>
      <c r="Q84" s="21">
        <f t="shared" si="58"/>
        <v>5.2986000000000004</v>
      </c>
      <c r="R84" s="20"/>
    </row>
    <row r="85" spans="1:18">
      <c r="A85" s="1"/>
      <c r="B85" s="16">
        <f>ROW(B85) - ROW($B$7)</f>
        <v>78</v>
      </c>
      <c r="C85" s="23" t="s">
        <v>26</v>
      </c>
      <c r="D85" s="14" t="s">
        <v>117</v>
      </c>
      <c r="E85" s="14" t="s">
        <v>272</v>
      </c>
      <c r="F85" s="20" t="s">
        <v>804</v>
      </c>
      <c r="G85" s="14" t="s">
        <v>388</v>
      </c>
      <c r="H85" s="14" t="s">
        <v>557</v>
      </c>
      <c r="I85" s="14" t="s">
        <v>622</v>
      </c>
      <c r="J85" s="14" t="s">
        <v>659</v>
      </c>
      <c r="K85" s="44" t="s">
        <v>753</v>
      </c>
      <c r="L85" s="14">
        <v>1</v>
      </c>
      <c r="M85" s="14">
        <f>L85*5</f>
        <v>5</v>
      </c>
      <c r="N85" s="14">
        <v>6</v>
      </c>
      <c r="O85" s="52" t="s">
        <v>838</v>
      </c>
      <c r="P85" s="21">
        <v>0.8831</v>
      </c>
      <c r="Q85" s="15">
        <f t="shared" si="58"/>
        <v>9.4655999999999985</v>
      </c>
      <c r="R85" s="14"/>
    </row>
    <row r="86" spans="1:18" ht="24">
      <c r="A86" s="1"/>
      <c r="B86" s="17">
        <f t="shared" si="0"/>
        <v>79</v>
      </c>
      <c r="C86" s="22" t="s">
        <v>26</v>
      </c>
      <c r="D86" s="20" t="s">
        <v>118</v>
      </c>
      <c r="E86" s="20" t="s">
        <v>273</v>
      </c>
      <c r="F86" s="20" t="s">
        <v>804</v>
      </c>
      <c r="G86" s="20" t="s">
        <v>389</v>
      </c>
      <c r="H86" s="20" t="s">
        <v>573</v>
      </c>
      <c r="I86" s="14" t="s">
        <v>622</v>
      </c>
      <c r="J86" s="20" t="s">
        <v>660</v>
      </c>
      <c r="K86" s="43" t="s">
        <v>754</v>
      </c>
      <c r="L86" s="20">
        <v>1</v>
      </c>
      <c r="M86" s="20">
        <f t="shared" ref="M86" si="68">L86*5</f>
        <v>5</v>
      </c>
      <c r="N86" s="20">
        <v>6</v>
      </c>
      <c r="O86" s="52" t="s">
        <v>838</v>
      </c>
      <c r="P86" s="15" t="s">
        <v>873</v>
      </c>
      <c r="Q86" s="21">
        <f t="shared" si="58"/>
        <v>0.13320000000000001</v>
      </c>
      <c r="R86" s="20"/>
    </row>
    <row r="87" spans="1:18" ht="24">
      <c r="A87" s="1"/>
      <c r="B87" s="16">
        <f>ROW(B87) - ROW($B$7)</f>
        <v>80</v>
      </c>
      <c r="C87" s="23" t="s">
        <v>27</v>
      </c>
      <c r="D87" s="14" t="s">
        <v>119</v>
      </c>
      <c r="E87" s="14" t="s">
        <v>274</v>
      </c>
      <c r="F87" s="20" t="s">
        <v>390</v>
      </c>
      <c r="G87" s="14" t="s">
        <v>477</v>
      </c>
      <c r="H87" s="14" t="s">
        <v>574</v>
      </c>
      <c r="I87" s="14" t="s">
        <v>622</v>
      </c>
      <c r="J87" s="14" t="s">
        <v>661</v>
      </c>
      <c r="K87" s="44" t="s">
        <v>622</v>
      </c>
      <c r="L87" s="14">
        <v>5</v>
      </c>
      <c r="M87" s="14">
        <f>L87*5</f>
        <v>25</v>
      </c>
      <c r="N87" s="14">
        <v>40</v>
      </c>
      <c r="O87" s="52" t="s">
        <v>838</v>
      </c>
      <c r="P87" s="21" t="s">
        <v>874</v>
      </c>
      <c r="Q87" s="15">
        <f t="shared" si="58"/>
        <v>0.872</v>
      </c>
      <c r="R87" s="14"/>
    </row>
    <row r="88" spans="1:18" ht="24">
      <c r="A88" s="1"/>
      <c r="B88" s="17">
        <f t="shared" si="0"/>
        <v>81</v>
      </c>
      <c r="C88" s="22" t="s">
        <v>27</v>
      </c>
      <c r="D88" s="20" t="s">
        <v>120</v>
      </c>
      <c r="E88" s="20" t="s">
        <v>275</v>
      </c>
      <c r="F88" s="14" t="s">
        <v>390</v>
      </c>
      <c r="G88" s="20" t="s">
        <v>478</v>
      </c>
      <c r="H88" s="20" t="s">
        <v>574</v>
      </c>
      <c r="I88" s="14" t="s">
        <v>622</v>
      </c>
      <c r="J88" s="20" t="s">
        <v>662</v>
      </c>
      <c r="K88" s="44" t="s">
        <v>622</v>
      </c>
      <c r="L88" s="20">
        <v>1</v>
      </c>
      <c r="M88" s="20">
        <f t="shared" ref="M88" si="69">L88*5</f>
        <v>5</v>
      </c>
      <c r="N88" s="20">
        <v>20</v>
      </c>
      <c r="O88" s="52" t="s">
        <v>838</v>
      </c>
      <c r="P88" s="15" t="s">
        <v>875</v>
      </c>
      <c r="Q88" s="21">
        <f t="shared" si="58"/>
        <v>0.42999999999999994</v>
      </c>
      <c r="R88" s="20"/>
    </row>
    <row r="89" spans="1:18" ht="24">
      <c r="A89" s="1"/>
      <c r="B89" s="16">
        <f>ROW(B89) - ROW($B$7)</f>
        <v>82</v>
      </c>
      <c r="C89" s="23" t="s">
        <v>27</v>
      </c>
      <c r="D89" s="14" t="s">
        <v>121</v>
      </c>
      <c r="E89" s="14" t="s">
        <v>276</v>
      </c>
      <c r="F89" s="20" t="s">
        <v>390</v>
      </c>
      <c r="G89" s="14" t="s">
        <v>479</v>
      </c>
      <c r="H89" s="14" t="s">
        <v>574</v>
      </c>
      <c r="I89" s="14" t="s">
        <v>622</v>
      </c>
      <c r="J89" s="14" t="s">
        <v>663</v>
      </c>
      <c r="K89" s="44" t="s">
        <v>622</v>
      </c>
      <c r="L89" s="14">
        <v>2</v>
      </c>
      <c r="M89" s="14">
        <f>L89*5</f>
        <v>10</v>
      </c>
      <c r="N89" s="14">
        <v>20</v>
      </c>
      <c r="O89" s="52" t="s">
        <v>838</v>
      </c>
      <c r="P89" s="21" t="s">
        <v>876</v>
      </c>
      <c r="Q89" s="15">
        <f t="shared" si="58"/>
        <v>2.3220000000000001</v>
      </c>
      <c r="R89" s="14"/>
    </row>
    <row r="90" spans="1:18" ht="24">
      <c r="A90" s="1"/>
      <c r="B90" s="17">
        <f t="shared" si="0"/>
        <v>83</v>
      </c>
      <c r="C90" s="22" t="s">
        <v>28</v>
      </c>
      <c r="D90" s="20" t="s">
        <v>122</v>
      </c>
      <c r="E90" s="20" t="s">
        <v>277</v>
      </c>
      <c r="F90" s="20" t="s">
        <v>804</v>
      </c>
      <c r="G90" s="20" t="s">
        <v>391</v>
      </c>
      <c r="H90" s="20" t="s">
        <v>575</v>
      </c>
      <c r="I90" s="14" t="s">
        <v>622</v>
      </c>
      <c r="J90" s="20" t="s">
        <v>664</v>
      </c>
      <c r="K90" s="44" t="s">
        <v>622</v>
      </c>
      <c r="L90" s="20">
        <v>9</v>
      </c>
      <c r="M90" s="20">
        <f t="shared" ref="M90" si="70">L90*5</f>
        <v>45</v>
      </c>
      <c r="N90" s="20">
        <v>50</v>
      </c>
      <c r="O90" s="52" t="s">
        <v>838</v>
      </c>
      <c r="P90" s="15">
        <v>0.11609999999999999</v>
      </c>
      <c r="Q90" s="21">
        <f t="shared" si="58"/>
        <v>43.75</v>
      </c>
      <c r="R90" s="20"/>
    </row>
    <row r="91" spans="1:18">
      <c r="A91" s="1"/>
      <c r="B91" s="16">
        <f>ROW(B91) - ROW($B$7)</f>
        <v>84</v>
      </c>
      <c r="C91" s="23" t="s">
        <v>29</v>
      </c>
      <c r="D91" s="14" t="s">
        <v>123</v>
      </c>
      <c r="E91" s="14" t="s">
        <v>278</v>
      </c>
      <c r="F91" s="20" t="s">
        <v>392</v>
      </c>
      <c r="G91" s="14" t="s">
        <v>480</v>
      </c>
      <c r="H91" s="14" t="s">
        <v>14</v>
      </c>
      <c r="I91" s="14" t="s">
        <v>622</v>
      </c>
      <c r="J91" s="14" t="s">
        <v>665</v>
      </c>
      <c r="K91" s="44" t="s">
        <v>622</v>
      </c>
      <c r="L91" s="14">
        <v>1</v>
      </c>
      <c r="M91" s="14">
        <f>L91*5</f>
        <v>5</v>
      </c>
      <c r="N91" s="14">
        <v>6</v>
      </c>
      <c r="O91" s="52" t="s">
        <v>838</v>
      </c>
      <c r="P91" s="21" t="s">
        <v>877</v>
      </c>
      <c r="Q91" s="15">
        <f t="shared" si="58"/>
        <v>0.159</v>
      </c>
      <c r="R91" s="14"/>
    </row>
    <row r="92" spans="1:18">
      <c r="A92" s="1"/>
      <c r="B92" s="17">
        <f t="shared" si="0"/>
        <v>85</v>
      </c>
      <c r="C92" s="22" t="s">
        <v>30</v>
      </c>
      <c r="D92" s="20" t="s">
        <v>124</v>
      </c>
      <c r="E92" s="20" t="s">
        <v>279</v>
      </c>
      <c r="F92" s="14" t="s">
        <v>393</v>
      </c>
      <c r="G92" s="20" t="s">
        <v>481</v>
      </c>
      <c r="H92" s="20" t="s">
        <v>558</v>
      </c>
      <c r="I92" s="14" t="s">
        <v>622</v>
      </c>
      <c r="J92" s="20" t="s">
        <v>666</v>
      </c>
      <c r="K92" s="44" t="s">
        <v>622</v>
      </c>
      <c r="L92" s="20">
        <v>1</v>
      </c>
      <c r="M92" s="20">
        <f t="shared" ref="M92" si="71">L92*5</f>
        <v>5</v>
      </c>
      <c r="N92" s="20">
        <v>20</v>
      </c>
      <c r="O92" s="52" t="s">
        <v>838</v>
      </c>
      <c r="P92" s="15" t="s">
        <v>878</v>
      </c>
      <c r="Q92" s="21">
        <f t="shared" si="58"/>
        <v>0.14000000000000001</v>
      </c>
      <c r="R92" s="20"/>
    </row>
    <row r="93" spans="1:18" ht="24">
      <c r="A93" s="1"/>
      <c r="B93" s="16">
        <f>ROW(B93) - ROW($B$7)</f>
        <v>86</v>
      </c>
      <c r="C93" s="23" t="s">
        <v>31</v>
      </c>
      <c r="D93" s="14" t="s">
        <v>125</v>
      </c>
      <c r="E93" s="14" t="s">
        <v>280</v>
      </c>
      <c r="F93" s="20" t="s">
        <v>360</v>
      </c>
      <c r="G93" s="14" t="s">
        <v>482</v>
      </c>
      <c r="H93" s="14" t="s">
        <v>576</v>
      </c>
      <c r="I93" s="14" t="s">
        <v>622</v>
      </c>
      <c r="J93" s="14" t="s">
        <v>667</v>
      </c>
      <c r="K93" s="44" t="s">
        <v>622</v>
      </c>
      <c r="L93" s="14">
        <v>5</v>
      </c>
      <c r="M93" s="14">
        <f>L93*5</f>
        <v>25</v>
      </c>
      <c r="N93" s="14">
        <v>40</v>
      </c>
      <c r="O93" s="52" t="s">
        <v>838</v>
      </c>
      <c r="P93" s="21" t="s">
        <v>879</v>
      </c>
      <c r="Q93" s="15">
        <f t="shared" si="58"/>
        <v>1.0720000000000001</v>
      </c>
      <c r="R93" s="14"/>
    </row>
    <row r="94" spans="1:18" ht="24">
      <c r="A94" s="1"/>
      <c r="B94" s="17">
        <f t="shared" si="0"/>
        <v>87</v>
      </c>
      <c r="C94" s="22" t="s">
        <v>30</v>
      </c>
      <c r="D94" s="20" t="s">
        <v>126</v>
      </c>
      <c r="E94" s="20" t="s">
        <v>281</v>
      </c>
      <c r="F94" s="14" t="s">
        <v>360</v>
      </c>
      <c r="G94" s="20" t="s">
        <v>483</v>
      </c>
      <c r="H94" s="20" t="s">
        <v>577</v>
      </c>
      <c r="I94" s="14" t="s">
        <v>622</v>
      </c>
      <c r="J94" s="20" t="s">
        <v>668</v>
      </c>
      <c r="K94" s="44" t="s">
        <v>622</v>
      </c>
      <c r="L94" s="20">
        <v>4</v>
      </c>
      <c r="M94" s="20">
        <f t="shared" ref="M94" si="72">L94*5</f>
        <v>20</v>
      </c>
      <c r="N94" s="20">
        <v>40</v>
      </c>
      <c r="O94" s="52" t="s">
        <v>838</v>
      </c>
      <c r="P94" s="15" t="s">
        <v>880</v>
      </c>
      <c r="Q94" s="21">
        <f t="shared" si="58"/>
        <v>9.0559999999999992</v>
      </c>
      <c r="R94" s="20"/>
    </row>
    <row r="95" spans="1:18">
      <c r="A95" s="1"/>
      <c r="B95" s="16">
        <f>ROW(B95) - ROW($B$7)</f>
        <v>88</v>
      </c>
      <c r="C95" s="23" t="s">
        <v>32</v>
      </c>
      <c r="D95" s="14" t="s">
        <v>127</v>
      </c>
      <c r="E95" s="14" t="s">
        <v>282</v>
      </c>
      <c r="F95" s="20" t="s">
        <v>804</v>
      </c>
      <c r="G95" s="14" t="s">
        <v>394</v>
      </c>
      <c r="H95" s="14" t="s">
        <v>555</v>
      </c>
      <c r="I95" s="14" t="s">
        <v>622</v>
      </c>
      <c r="J95" s="14" t="s">
        <v>669</v>
      </c>
      <c r="K95" s="44" t="s">
        <v>622</v>
      </c>
      <c r="L95" s="14">
        <v>1</v>
      </c>
      <c r="M95" s="14">
        <f>L95*5</f>
        <v>5</v>
      </c>
      <c r="N95" s="14">
        <v>10</v>
      </c>
      <c r="O95" s="52" t="s">
        <v>838</v>
      </c>
      <c r="P95" s="21" t="s">
        <v>881</v>
      </c>
      <c r="Q95" s="15">
        <f t="shared" si="58"/>
        <v>0.14800000000000002</v>
      </c>
      <c r="R95" s="14"/>
    </row>
    <row r="96" spans="1:18" ht="24">
      <c r="A96" s="1"/>
      <c r="B96" s="17">
        <f t="shared" si="0"/>
        <v>89</v>
      </c>
      <c r="C96" s="22" t="s">
        <v>30</v>
      </c>
      <c r="D96" s="20" t="s">
        <v>128</v>
      </c>
      <c r="E96" s="20" t="s">
        <v>283</v>
      </c>
      <c r="F96" s="14" t="s">
        <v>360</v>
      </c>
      <c r="G96" s="20" t="s">
        <v>484</v>
      </c>
      <c r="H96" s="20" t="s">
        <v>578</v>
      </c>
      <c r="I96" s="14" t="s">
        <v>622</v>
      </c>
      <c r="J96" s="20" t="s">
        <v>670</v>
      </c>
      <c r="K96" s="44" t="s">
        <v>622</v>
      </c>
      <c r="L96" s="20">
        <v>6</v>
      </c>
      <c r="M96" s="20">
        <f t="shared" ref="M96" si="73">L96*5</f>
        <v>30</v>
      </c>
      <c r="N96" s="20">
        <v>50</v>
      </c>
      <c r="O96" s="52" t="s">
        <v>838</v>
      </c>
      <c r="P96" s="15" t="s">
        <v>882</v>
      </c>
      <c r="Q96" s="21">
        <f t="shared" si="58"/>
        <v>0.89500000000000002</v>
      </c>
      <c r="R96" s="20"/>
    </row>
    <row r="97" spans="1:18">
      <c r="A97" s="1"/>
      <c r="B97" s="16">
        <f>ROW(B97) - ROW($B$7)</f>
        <v>90</v>
      </c>
      <c r="C97" s="23" t="s">
        <v>33</v>
      </c>
      <c r="D97" s="14" t="s">
        <v>129</v>
      </c>
      <c r="E97" s="14" t="s">
        <v>284</v>
      </c>
      <c r="F97" s="14" t="s">
        <v>395</v>
      </c>
      <c r="G97" s="14" t="s">
        <v>485</v>
      </c>
      <c r="H97" s="14" t="s">
        <v>545</v>
      </c>
      <c r="I97" s="14" t="s">
        <v>622</v>
      </c>
      <c r="J97" s="14" t="s">
        <v>671</v>
      </c>
      <c r="K97" s="43" t="s">
        <v>755</v>
      </c>
      <c r="L97" s="14">
        <v>3</v>
      </c>
      <c r="M97" s="14">
        <f>L97*5</f>
        <v>15</v>
      </c>
      <c r="N97" s="14">
        <v>50</v>
      </c>
      <c r="O97" s="52" t="s">
        <v>838</v>
      </c>
      <c r="P97" s="21" t="s">
        <v>883</v>
      </c>
      <c r="Q97" s="15">
        <f t="shared" si="58"/>
        <v>0.03</v>
      </c>
      <c r="R97" s="14"/>
    </row>
    <row r="98" spans="1:18">
      <c r="A98" s="1"/>
      <c r="B98" s="17">
        <f t="shared" si="0"/>
        <v>91</v>
      </c>
      <c r="C98" s="22" t="s">
        <v>33</v>
      </c>
      <c r="D98" s="20" t="s">
        <v>130</v>
      </c>
      <c r="E98" s="20" t="s">
        <v>285</v>
      </c>
      <c r="F98" s="14" t="s">
        <v>395</v>
      </c>
      <c r="G98" s="20" t="s">
        <v>486</v>
      </c>
      <c r="H98" s="20" t="s">
        <v>545</v>
      </c>
      <c r="I98" s="14" t="s">
        <v>622</v>
      </c>
      <c r="J98" s="20" t="s">
        <v>672</v>
      </c>
      <c r="K98" s="43" t="s">
        <v>756</v>
      </c>
      <c r="L98" s="20">
        <v>1</v>
      </c>
      <c r="M98" s="20">
        <f t="shared" ref="M98" si="74">L98*5</f>
        <v>5</v>
      </c>
      <c r="N98" s="20">
        <v>100</v>
      </c>
      <c r="O98" s="52" t="s">
        <v>838</v>
      </c>
      <c r="P98" s="15" t="s">
        <v>884</v>
      </c>
      <c r="Q98" s="21">
        <f t="shared" si="58"/>
        <v>3.61</v>
      </c>
      <c r="R98" s="20"/>
    </row>
    <row r="99" spans="1:18">
      <c r="A99" s="1"/>
      <c r="B99" s="16">
        <f>ROW(B99) - ROW($B$7)</f>
        <v>92</v>
      </c>
      <c r="C99" s="23" t="s">
        <v>33</v>
      </c>
      <c r="D99" s="14" t="s">
        <v>131</v>
      </c>
      <c r="E99" s="14" t="s">
        <v>286</v>
      </c>
      <c r="F99" s="20" t="s">
        <v>396</v>
      </c>
      <c r="G99" s="14" t="s">
        <v>487</v>
      </c>
      <c r="H99" s="14" t="s">
        <v>545</v>
      </c>
      <c r="I99" s="14" t="s">
        <v>622</v>
      </c>
      <c r="J99" s="14" t="s">
        <v>673</v>
      </c>
      <c r="K99" s="44" t="s">
        <v>757</v>
      </c>
      <c r="L99" s="14">
        <v>1</v>
      </c>
      <c r="M99" s="14">
        <f>L99*5</f>
        <v>5</v>
      </c>
      <c r="N99" s="14">
        <v>20</v>
      </c>
      <c r="O99" s="52" t="s">
        <v>838</v>
      </c>
      <c r="P99" s="21" t="s">
        <v>885</v>
      </c>
      <c r="Q99" s="15">
        <f t="shared" si="58"/>
        <v>0.68199999999999994</v>
      </c>
      <c r="R99" s="14"/>
    </row>
    <row r="100" spans="1:18">
      <c r="A100" s="1"/>
      <c r="B100" s="17">
        <f t="shared" si="0"/>
        <v>93</v>
      </c>
      <c r="C100" s="23" t="s">
        <v>34</v>
      </c>
      <c r="D100" s="20" t="s">
        <v>132</v>
      </c>
      <c r="E100" s="20" t="s">
        <v>287</v>
      </c>
      <c r="F100" s="20" t="s">
        <v>396</v>
      </c>
      <c r="G100" s="20" t="s">
        <v>488</v>
      </c>
      <c r="H100" s="20" t="s">
        <v>545</v>
      </c>
      <c r="I100" s="14" t="s">
        <v>622</v>
      </c>
      <c r="J100" s="20" t="s">
        <v>674</v>
      </c>
      <c r="K100" s="44" t="s">
        <v>758</v>
      </c>
      <c r="L100" s="20">
        <v>1</v>
      </c>
      <c r="M100" s="20">
        <f t="shared" ref="M100" si="75">L100*5</f>
        <v>5</v>
      </c>
      <c r="N100" s="20">
        <v>20</v>
      </c>
      <c r="O100" s="52" t="s">
        <v>838</v>
      </c>
      <c r="P100" s="15" t="s">
        <v>886</v>
      </c>
      <c r="Q100" s="21">
        <f t="shared" si="58"/>
        <v>0.35799999999999998</v>
      </c>
      <c r="R100" s="20"/>
    </row>
    <row r="101" spans="1:18">
      <c r="A101" s="1"/>
      <c r="B101" s="16">
        <f>ROW(B101) - ROW($B$7)</f>
        <v>94</v>
      </c>
      <c r="C101" s="22" t="s">
        <v>34</v>
      </c>
      <c r="D101" s="14" t="s">
        <v>133</v>
      </c>
      <c r="E101" s="14" t="s">
        <v>288</v>
      </c>
      <c r="F101" s="14" t="s">
        <v>395</v>
      </c>
      <c r="G101" s="14" t="s">
        <v>489</v>
      </c>
      <c r="H101" s="14" t="s">
        <v>545</v>
      </c>
      <c r="I101" s="14" t="s">
        <v>622</v>
      </c>
      <c r="J101" s="14" t="s">
        <v>675</v>
      </c>
      <c r="K101" s="43" t="s">
        <v>759</v>
      </c>
      <c r="L101" s="14">
        <v>1</v>
      </c>
      <c r="M101" s="14">
        <f>L101*5</f>
        <v>5</v>
      </c>
      <c r="N101" s="14">
        <v>50</v>
      </c>
      <c r="O101" s="52" t="s">
        <v>838</v>
      </c>
      <c r="P101" s="21" t="s">
        <v>883</v>
      </c>
      <c r="Q101" s="15">
        <f t="shared" si="58"/>
        <v>3.4999999999999996E-2</v>
      </c>
      <c r="R101" s="14"/>
    </row>
    <row r="102" spans="1:18">
      <c r="A102" s="1"/>
      <c r="B102" s="17">
        <f t="shared" si="0"/>
        <v>95</v>
      </c>
      <c r="C102" s="22" t="s">
        <v>34</v>
      </c>
      <c r="D102" s="20" t="s">
        <v>134</v>
      </c>
      <c r="E102" s="20" t="s">
        <v>289</v>
      </c>
      <c r="F102" s="20" t="s">
        <v>395</v>
      </c>
      <c r="G102" s="20" t="s">
        <v>490</v>
      </c>
      <c r="H102" s="20" t="s">
        <v>545</v>
      </c>
      <c r="I102" s="14" t="s">
        <v>622</v>
      </c>
      <c r="J102" s="20" t="s">
        <v>676</v>
      </c>
      <c r="K102" s="44" t="s">
        <v>760</v>
      </c>
      <c r="L102" s="20">
        <v>1</v>
      </c>
      <c r="M102" s="20">
        <f t="shared" ref="M102" si="76">L102*5</f>
        <v>5</v>
      </c>
      <c r="N102" s="20">
        <v>100</v>
      </c>
      <c r="O102" s="52" t="s">
        <v>838</v>
      </c>
      <c r="P102" s="15" t="s">
        <v>887</v>
      </c>
      <c r="Q102" s="21">
        <f t="shared" si="58"/>
        <v>0.06</v>
      </c>
      <c r="R102" s="20"/>
    </row>
    <row r="103" spans="1:18">
      <c r="A103" s="1"/>
      <c r="B103" s="16">
        <f>ROW(B103) - ROW($B$7)</f>
        <v>96</v>
      </c>
      <c r="C103" s="22" t="s">
        <v>34</v>
      </c>
      <c r="D103" s="14" t="s">
        <v>135</v>
      </c>
      <c r="E103" s="14" t="s">
        <v>290</v>
      </c>
      <c r="F103" s="14" t="s">
        <v>395</v>
      </c>
      <c r="G103" s="14" t="s">
        <v>491</v>
      </c>
      <c r="H103" s="14" t="s">
        <v>545</v>
      </c>
      <c r="I103" s="14" t="s">
        <v>622</v>
      </c>
      <c r="J103" s="14" t="s">
        <v>677</v>
      </c>
      <c r="K103" s="43" t="s">
        <v>761</v>
      </c>
      <c r="L103" s="14">
        <v>6</v>
      </c>
      <c r="M103" s="14">
        <f>L103*5</f>
        <v>30</v>
      </c>
      <c r="N103" s="14">
        <v>100</v>
      </c>
      <c r="O103" s="52" t="s">
        <v>838</v>
      </c>
      <c r="P103" s="21" t="s">
        <v>884</v>
      </c>
      <c r="Q103" s="15">
        <f t="shared" si="58"/>
        <v>0.06</v>
      </c>
      <c r="R103" s="14"/>
    </row>
    <row r="104" spans="1:18" ht="360">
      <c r="A104" s="1"/>
      <c r="B104" s="17">
        <f t="shared" si="0"/>
        <v>97</v>
      </c>
      <c r="C104" s="23" t="s">
        <v>34</v>
      </c>
      <c r="D104" s="20" t="s">
        <v>136</v>
      </c>
      <c r="E104" s="20" t="s">
        <v>291</v>
      </c>
      <c r="F104" s="20" t="s">
        <v>395</v>
      </c>
      <c r="G104" s="20" t="s">
        <v>492</v>
      </c>
      <c r="H104" s="20" t="s">
        <v>545</v>
      </c>
      <c r="I104" s="14" t="s">
        <v>622</v>
      </c>
      <c r="J104" s="20" t="s">
        <v>678</v>
      </c>
      <c r="K104" s="44" t="s">
        <v>762</v>
      </c>
      <c r="L104" s="20">
        <v>172</v>
      </c>
      <c r="M104" s="20">
        <f t="shared" ref="M104" si="77">L104*5</f>
        <v>860</v>
      </c>
      <c r="N104" s="20">
        <v>900</v>
      </c>
      <c r="O104" s="52" t="s">
        <v>838</v>
      </c>
      <c r="P104" s="15" t="s">
        <v>884</v>
      </c>
      <c r="Q104" s="21">
        <f t="shared" si="58"/>
        <v>0.45</v>
      </c>
      <c r="R104" s="20"/>
    </row>
    <row r="105" spans="1:18" ht="96">
      <c r="A105" s="1"/>
      <c r="B105" s="16">
        <f>ROW(B105) - ROW($B$7)</f>
        <v>98</v>
      </c>
      <c r="C105" s="22" t="s">
        <v>33</v>
      </c>
      <c r="D105" s="14" t="s">
        <v>137</v>
      </c>
      <c r="E105" s="14" t="s">
        <v>292</v>
      </c>
      <c r="F105" s="14" t="s">
        <v>395</v>
      </c>
      <c r="G105" s="14" t="s">
        <v>493</v>
      </c>
      <c r="H105" s="14" t="s">
        <v>545</v>
      </c>
      <c r="I105" s="14" t="s">
        <v>622</v>
      </c>
      <c r="J105" s="14" t="s">
        <v>679</v>
      </c>
      <c r="K105" s="43" t="s">
        <v>763</v>
      </c>
      <c r="L105" s="14">
        <v>42</v>
      </c>
      <c r="M105" s="14">
        <f>L105*5</f>
        <v>210</v>
      </c>
      <c r="N105" s="14">
        <v>300</v>
      </c>
      <c r="O105" s="52" t="s">
        <v>838</v>
      </c>
      <c r="P105" s="21" t="s">
        <v>888</v>
      </c>
      <c r="Q105" s="15">
        <f t="shared" si="58"/>
        <v>0.18</v>
      </c>
      <c r="R105" s="14"/>
    </row>
    <row r="106" spans="1:18" ht="24">
      <c r="A106" s="1"/>
      <c r="B106" s="17">
        <f t="shared" si="0"/>
        <v>99</v>
      </c>
      <c r="C106" s="23" t="s">
        <v>33</v>
      </c>
      <c r="D106" s="20" t="s">
        <v>138</v>
      </c>
      <c r="E106" s="20" t="s">
        <v>293</v>
      </c>
      <c r="F106" s="20" t="s">
        <v>395</v>
      </c>
      <c r="G106" s="20" t="s">
        <v>494</v>
      </c>
      <c r="H106" s="20" t="s">
        <v>545</v>
      </c>
      <c r="I106" s="14" t="s">
        <v>622</v>
      </c>
      <c r="J106" s="20" t="s">
        <v>680</v>
      </c>
      <c r="K106" s="44" t="s">
        <v>764</v>
      </c>
      <c r="L106" s="20">
        <v>12</v>
      </c>
      <c r="M106" s="20">
        <f t="shared" ref="M106" si="78">L106*5</f>
        <v>60</v>
      </c>
      <c r="N106" s="20">
        <v>100</v>
      </c>
      <c r="O106" s="52" t="s">
        <v>838</v>
      </c>
      <c r="P106" s="15" t="s">
        <v>884</v>
      </c>
      <c r="Q106" s="21">
        <f t="shared" si="58"/>
        <v>0.09</v>
      </c>
      <c r="R106" s="20"/>
    </row>
    <row r="107" spans="1:18">
      <c r="A107" s="1"/>
      <c r="B107" s="16">
        <f>ROW(B107) - ROW($B$7)</f>
        <v>100</v>
      </c>
      <c r="C107" s="23" t="s">
        <v>33</v>
      </c>
      <c r="D107" s="14" t="s">
        <v>139</v>
      </c>
      <c r="E107" s="14" t="s">
        <v>294</v>
      </c>
      <c r="F107" s="14" t="s">
        <v>397</v>
      </c>
      <c r="G107" s="14" t="s">
        <v>495</v>
      </c>
      <c r="H107" s="14" t="s">
        <v>545</v>
      </c>
      <c r="I107" s="14" t="s">
        <v>622</v>
      </c>
      <c r="J107" s="14" t="s">
        <v>681</v>
      </c>
      <c r="K107" s="43" t="s">
        <v>765</v>
      </c>
      <c r="L107" s="14">
        <v>4</v>
      </c>
      <c r="M107" s="14">
        <f>L107*5</f>
        <v>20</v>
      </c>
      <c r="N107" s="14">
        <v>100</v>
      </c>
      <c r="O107" s="52" t="s">
        <v>838</v>
      </c>
      <c r="P107" s="21" t="s">
        <v>889</v>
      </c>
      <c r="Q107" s="56">
        <f>P107*N107</f>
        <v>0.09</v>
      </c>
      <c r="R107" s="14"/>
    </row>
    <row r="108" spans="1:18">
      <c r="A108" s="1"/>
      <c r="B108" s="17">
        <f t="shared" si="0"/>
        <v>101</v>
      </c>
      <c r="C108" s="23" t="s">
        <v>33</v>
      </c>
      <c r="D108" s="47" t="s">
        <v>140</v>
      </c>
      <c r="E108" s="47" t="s">
        <v>291</v>
      </c>
      <c r="F108" s="47" t="s">
        <v>395</v>
      </c>
      <c r="G108" s="47" t="s">
        <v>492</v>
      </c>
      <c r="H108" s="47" t="s">
        <v>545</v>
      </c>
      <c r="I108" s="47" t="s">
        <v>622</v>
      </c>
      <c r="J108" s="47" t="s">
        <v>678</v>
      </c>
      <c r="K108" s="46" t="s">
        <v>766</v>
      </c>
      <c r="L108" s="47">
        <v>3</v>
      </c>
      <c r="M108" s="47">
        <f t="shared" ref="M108" si="79">L108*5</f>
        <v>15</v>
      </c>
      <c r="N108" s="47" t="s">
        <v>622</v>
      </c>
      <c r="O108" s="55" t="s">
        <v>838</v>
      </c>
      <c r="P108" s="15" t="s">
        <v>622</v>
      </c>
      <c r="Q108" s="48" t="s">
        <v>622</v>
      </c>
      <c r="R108" s="49" t="s">
        <v>803</v>
      </c>
    </row>
    <row r="109" spans="1:18">
      <c r="A109" s="1"/>
      <c r="B109" s="16">
        <f>ROW(B109) - ROW($B$7)</f>
        <v>102</v>
      </c>
      <c r="C109" s="23" t="s">
        <v>33</v>
      </c>
      <c r="D109" s="14" t="s">
        <v>141</v>
      </c>
      <c r="E109" s="14" t="s">
        <v>295</v>
      </c>
      <c r="F109" s="14" t="s">
        <v>395</v>
      </c>
      <c r="G109" s="14" t="s">
        <v>496</v>
      </c>
      <c r="H109" s="14" t="s">
        <v>545</v>
      </c>
      <c r="I109" s="14" t="s">
        <v>622</v>
      </c>
      <c r="J109" s="14" t="s">
        <v>682</v>
      </c>
      <c r="K109" s="43" t="s">
        <v>767</v>
      </c>
      <c r="L109" s="14">
        <v>4</v>
      </c>
      <c r="M109" s="14">
        <f>L109*5</f>
        <v>20</v>
      </c>
      <c r="N109" s="14">
        <v>100</v>
      </c>
      <c r="O109" s="52" t="s">
        <v>838</v>
      </c>
      <c r="P109" s="15" t="s">
        <v>884</v>
      </c>
      <c r="Q109" s="15">
        <f>P109*N109</f>
        <v>0.06</v>
      </c>
      <c r="R109" s="14"/>
    </row>
    <row r="110" spans="1:18">
      <c r="A110" s="1"/>
      <c r="B110" s="17">
        <f t="shared" si="0"/>
        <v>103</v>
      </c>
      <c r="C110" s="23" t="s">
        <v>33</v>
      </c>
      <c r="D110" s="20" t="s">
        <v>142</v>
      </c>
      <c r="E110" s="20" t="s">
        <v>296</v>
      </c>
      <c r="F110" s="20" t="s">
        <v>398</v>
      </c>
      <c r="G110" s="47" t="s">
        <v>497</v>
      </c>
      <c r="H110" s="20" t="s">
        <v>545</v>
      </c>
      <c r="I110" s="20" t="s">
        <v>893</v>
      </c>
      <c r="J110" s="20" t="s">
        <v>683</v>
      </c>
      <c r="K110" s="44" t="s">
        <v>768</v>
      </c>
      <c r="L110" s="20">
        <v>1</v>
      </c>
      <c r="M110" s="20">
        <f t="shared" ref="M110" si="80">L110*5</f>
        <v>5</v>
      </c>
      <c r="N110" s="20">
        <v>100</v>
      </c>
      <c r="O110" s="52" t="s">
        <v>838</v>
      </c>
      <c r="P110" s="15">
        <v>1.1999999999999999E-3</v>
      </c>
      <c r="Q110" s="15">
        <f t="shared" ref="Q110:Q120" si="81">P110*N110</f>
        <v>0.12</v>
      </c>
      <c r="R110" s="20"/>
    </row>
    <row r="111" spans="1:18">
      <c r="A111" s="1"/>
      <c r="B111" s="16">
        <f>ROW(B111) - ROW($B$7)</f>
        <v>104</v>
      </c>
      <c r="C111" s="23" t="s">
        <v>33</v>
      </c>
      <c r="D111" s="14" t="s">
        <v>143</v>
      </c>
      <c r="E111" s="14" t="s">
        <v>297</v>
      </c>
      <c r="F111" s="14" t="s">
        <v>395</v>
      </c>
      <c r="G111" s="14" t="s">
        <v>498</v>
      </c>
      <c r="H111" s="14" t="s">
        <v>545</v>
      </c>
      <c r="I111" s="14" t="s">
        <v>622</v>
      </c>
      <c r="J111" s="14" t="s">
        <v>684</v>
      </c>
      <c r="K111" s="43" t="s">
        <v>769</v>
      </c>
      <c r="L111" s="14">
        <v>3</v>
      </c>
      <c r="M111" s="14">
        <f>L111*5</f>
        <v>15</v>
      </c>
      <c r="N111" s="14">
        <v>100</v>
      </c>
      <c r="O111" s="52" t="s">
        <v>838</v>
      </c>
      <c r="P111" s="15" t="s">
        <v>884</v>
      </c>
      <c r="Q111" s="15">
        <f t="shared" si="81"/>
        <v>0.06</v>
      </c>
      <c r="R111" s="14"/>
    </row>
    <row r="112" spans="1:18" ht="36">
      <c r="A112" s="1"/>
      <c r="B112" s="17">
        <f t="shared" si="0"/>
        <v>105</v>
      </c>
      <c r="C112" s="23" t="s">
        <v>33</v>
      </c>
      <c r="D112" s="20" t="s">
        <v>144</v>
      </c>
      <c r="E112" s="20" t="s">
        <v>298</v>
      </c>
      <c r="F112" s="20" t="s">
        <v>395</v>
      </c>
      <c r="G112" s="20" t="s">
        <v>499</v>
      </c>
      <c r="H112" s="20" t="s">
        <v>545</v>
      </c>
      <c r="I112" s="14" t="s">
        <v>622</v>
      </c>
      <c r="J112" s="20" t="s">
        <v>685</v>
      </c>
      <c r="K112" s="44" t="s">
        <v>770</v>
      </c>
      <c r="L112" s="20">
        <v>16</v>
      </c>
      <c r="M112" s="20">
        <f t="shared" ref="M112" si="82">L112*5</f>
        <v>80</v>
      </c>
      <c r="N112" s="20">
        <v>100</v>
      </c>
      <c r="O112" s="52" t="s">
        <v>838</v>
      </c>
      <c r="P112" s="21" t="s">
        <v>884</v>
      </c>
      <c r="Q112" s="15">
        <f t="shared" si="81"/>
        <v>0.06</v>
      </c>
      <c r="R112" s="20"/>
    </row>
    <row r="113" spans="1:18">
      <c r="A113" s="1"/>
      <c r="B113" s="16">
        <f>ROW(B113) - ROW($B$7)</f>
        <v>106</v>
      </c>
      <c r="C113" s="22" t="s">
        <v>33</v>
      </c>
      <c r="D113" s="14" t="s">
        <v>145</v>
      </c>
      <c r="E113" s="14" t="s">
        <v>299</v>
      </c>
      <c r="F113" s="14" t="s">
        <v>395</v>
      </c>
      <c r="G113" s="14" t="s">
        <v>500</v>
      </c>
      <c r="H113" s="14" t="s">
        <v>545</v>
      </c>
      <c r="I113" s="14" t="s">
        <v>622</v>
      </c>
      <c r="J113" s="14" t="s">
        <v>686</v>
      </c>
      <c r="K113" s="43" t="s">
        <v>771</v>
      </c>
      <c r="L113" s="14">
        <v>1</v>
      </c>
      <c r="M113" s="14">
        <f>L113*5</f>
        <v>5</v>
      </c>
      <c r="N113" s="14">
        <v>100</v>
      </c>
      <c r="O113" s="52" t="s">
        <v>838</v>
      </c>
      <c r="P113" s="15" t="s">
        <v>884</v>
      </c>
      <c r="Q113" s="15">
        <f t="shared" si="81"/>
        <v>0.06</v>
      </c>
      <c r="R113" s="14"/>
    </row>
    <row r="114" spans="1:18">
      <c r="A114" s="1"/>
      <c r="B114" s="17">
        <f t="shared" si="0"/>
        <v>107</v>
      </c>
      <c r="C114" s="23" t="s">
        <v>33</v>
      </c>
      <c r="D114" s="20" t="s">
        <v>146</v>
      </c>
      <c r="E114" s="20" t="s">
        <v>300</v>
      </c>
      <c r="F114" s="20" t="s">
        <v>398</v>
      </c>
      <c r="G114" s="20" t="s">
        <v>501</v>
      </c>
      <c r="H114" s="20" t="s">
        <v>545</v>
      </c>
      <c r="I114" s="14" t="s">
        <v>622</v>
      </c>
      <c r="J114" s="20" t="s">
        <v>687</v>
      </c>
      <c r="K114" s="44" t="s">
        <v>772</v>
      </c>
      <c r="L114" s="20">
        <v>1</v>
      </c>
      <c r="M114" s="20">
        <f t="shared" ref="M114" si="83">L114*5</f>
        <v>5</v>
      </c>
      <c r="N114" s="20">
        <v>100</v>
      </c>
      <c r="O114" s="52" t="s">
        <v>838</v>
      </c>
      <c r="P114" s="21" t="s">
        <v>890</v>
      </c>
      <c r="Q114" s="15">
        <f t="shared" si="81"/>
        <v>0.12</v>
      </c>
      <c r="R114" s="20"/>
    </row>
    <row r="115" spans="1:18">
      <c r="A115" s="1"/>
      <c r="B115" s="16">
        <f>ROW(B115) - ROW($B$7)</f>
        <v>108</v>
      </c>
      <c r="C115" s="22" t="s">
        <v>33</v>
      </c>
      <c r="D115" s="14" t="s">
        <v>147</v>
      </c>
      <c r="E115" s="14" t="s">
        <v>301</v>
      </c>
      <c r="F115" s="14" t="s">
        <v>398</v>
      </c>
      <c r="G115" s="14" t="s">
        <v>502</v>
      </c>
      <c r="H115" s="14" t="s">
        <v>545</v>
      </c>
      <c r="I115" s="14" t="s">
        <v>622</v>
      </c>
      <c r="J115" s="14" t="s">
        <v>688</v>
      </c>
      <c r="K115" s="43" t="s">
        <v>773</v>
      </c>
      <c r="L115" s="14">
        <v>1</v>
      </c>
      <c r="M115" s="14">
        <f>L115*5</f>
        <v>5</v>
      </c>
      <c r="N115" s="14">
        <v>100</v>
      </c>
      <c r="O115" s="52" t="s">
        <v>838</v>
      </c>
      <c r="P115" s="15" t="s">
        <v>890</v>
      </c>
      <c r="Q115" s="15">
        <f t="shared" si="81"/>
        <v>0.12</v>
      </c>
      <c r="R115" s="14"/>
    </row>
    <row r="116" spans="1:18">
      <c r="A116" s="1"/>
      <c r="B116" s="17">
        <f t="shared" si="0"/>
        <v>109</v>
      </c>
      <c r="C116" s="23" t="s">
        <v>33</v>
      </c>
      <c r="D116" s="20" t="s">
        <v>148</v>
      </c>
      <c r="E116" s="20" t="s">
        <v>302</v>
      </c>
      <c r="F116" s="20" t="s">
        <v>395</v>
      </c>
      <c r="G116" s="20" t="s">
        <v>503</v>
      </c>
      <c r="H116" s="20" t="s">
        <v>545</v>
      </c>
      <c r="I116" s="14" t="s">
        <v>622</v>
      </c>
      <c r="J116" s="20" t="s">
        <v>689</v>
      </c>
      <c r="K116" s="44" t="s">
        <v>774</v>
      </c>
      <c r="L116" s="20">
        <v>2</v>
      </c>
      <c r="M116" s="20">
        <f t="shared" ref="M116" si="84">L116*5</f>
        <v>10</v>
      </c>
      <c r="N116" s="20">
        <v>100</v>
      </c>
      <c r="O116" s="52" t="s">
        <v>838</v>
      </c>
      <c r="P116" s="21" t="s">
        <v>884</v>
      </c>
      <c r="Q116" s="15">
        <f t="shared" si="81"/>
        <v>0.06</v>
      </c>
      <c r="R116" s="20"/>
    </row>
    <row r="117" spans="1:18">
      <c r="A117" s="1"/>
      <c r="B117" s="16">
        <f>ROW(B117) - ROW($B$7)</f>
        <v>110</v>
      </c>
      <c r="C117" s="22" t="s">
        <v>33</v>
      </c>
      <c r="D117" s="14" t="s">
        <v>149</v>
      </c>
      <c r="E117" s="14" t="s">
        <v>303</v>
      </c>
      <c r="F117" s="14" t="s">
        <v>398</v>
      </c>
      <c r="G117" s="14" t="s">
        <v>504</v>
      </c>
      <c r="H117" s="14" t="s">
        <v>545</v>
      </c>
      <c r="I117" s="14" t="s">
        <v>622</v>
      </c>
      <c r="J117" s="14" t="s">
        <v>690</v>
      </c>
      <c r="K117" s="43" t="s">
        <v>775</v>
      </c>
      <c r="L117" s="14">
        <v>6</v>
      </c>
      <c r="M117" s="14">
        <f>L117*5</f>
        <v>30</v>
      </c>
      <c r="N117" s="14">
        <v>100</v>
      </c>
      <c r="O117" s="52" t="s">
        <v>838</v>
      </c>
      <c r="P117" s="15" t="s">
        <v>890</v>
      </c>
      <c r="Q117" s="15">
        <f t="shared" si="81"/>
        <v>0.12</v>
      </c>
      <c r="R117" s="14"/>
    </row>
    <row r="118" spans="1:18" ht="24">
      <c r="A118" s="1"/>
      <c r="B118" s="17">
        <f t="shared" si="0"/>
        <v>111</v>
      </c>
      <c r="C118" s="23" t="s">
        <v>33</v>
      </c>
      <c r="D118" s="20" t="s">
        <v>150</v>
      </c>
      <c r="E118" s="20" t="s">
        <v>304</v>
      </c>
      <c r="F118" s="20" t="s">
        <v>398</v>
      </c>
      <c r="G118" s="20" t="s">
        <v>505</v>
      </c>
      <c r="H118" s="20" t="s">
        <v>545</v>
      </c>
      <c r="I118" s="14" t="s">
        <v>622</v>
      </c>
      <c r="J118" s="20" t="s">
        <v>691</v>
      </c>
      <c r="K118" s="44" t="s">
        <v>765</v>
      </c>
      <c r="L118" s="20">
        <v>9</v>
      </c>
      <c r="M118" s="20">
        <f t="shared" ref="M118" si="85">L118*5</f>
        <v>45</v>
      </c>
      <c r="N118" s="20">
        <v>100</v>
      </c>
      <c r="O118" s="52" t="s">
        <v>838</v>
      </c>
      <c r="P118" s="21" t="s">
        <v>829</v>
      </c>
      <c r="Q118" s="15">
        <f t="shared" si="81"/>
        <v>0.11</v>
      </c>
      <c r="R118" s="20"/>
    </row>
    <row r="119" spans="1:18">
      <c r="A119" s="1"/>
      <c r="B119" s="16">
        <f>ROW(B119) - ROW($B$7)</f>
        <v>112</v>
      </c>
      <c r="C119" s="22" t="s">
        <v>33</v>
      </c>
      <c r="D119" s="14" t="s">
        <v>151</v>
      </c>
      <c r="E119" s="14" t="s">
        <v>305</v>
      </c>
      <c r="F119" s="14" t="s">
        <v>395</v>
      </c>
      <c r="G119" s="14" t="s">
        <v>506</v>
      </c>
      <c r="H119" s="14" t="s">
        <v>545</v>
      </c>
      <c r="I119" s="14" t="s">
        <v>622</v>
      </c>
      <c r="J119" s="14" t="s">
        <v>692</v>
      </c>
      <c r="K119" s="43" t="s">
        <v>762</v>
      </c>
      <c r="L119" s="14">
        <v>2</v>
      </c>
      <c r="M119" s="14">
        <f>L119*5</f>
        <v>10</v>
      </c>
      <c r="N119" s="14">
        <v>100</v>
      </c>
      <c r="O119" s="52" t="s">
        <v>838</v>
      </c>
      <c r="P119" s="15" t="s">
        <v>829</v>
      </c>
      <c r="Q119" s="15">
        <f t="shared" si="81"/>
        <v>0.11</v>
      </c>
      <c r="R119" s="14"/>
    </row>
    <row r="120" spans="1:18">
      <c r="A120" s="1"/>
      <c r="B120" s="17">
        <f t="shared" si="0"/>
        <v>113</v>
      </c>
      <c r="C120" s="23" t="s">
        <v>33</v>
      </c>
      <c r="D120" s="20" t="s">
        <v>152</v>
      </c>
      <c r="E120" s="20" t="s">
        <v>306</v>
      </c>
      <c r="F120" s="20" t="s">
        <v>398</v>
      </c>
      <c r="G120" s="20" t="s">
        <v>507</v>
      </c>
      <c r="H120" s="20" t="s">
        <v>545</v>
      </c>
      <c r="I120" s="14" t="s">
        <v>622</v>
      </c>
      <c r="J120" s="20" t="s">
        <v>693</v>
      </c>
      <c r="K120" s="44" t="s">
        <v>776</v>
      </c>
      <c r="L120" s="20">
        <v>4</v>
      </c>
      <c r="M120" s="20">
        <f t="shared" ref="M120" si="86">L120*5</f>
        <v>20</v>
      </c>
      <c r="N120" s="20">
        <v>100</v>
      </c>
      <c r="O120" s="52" t="s">
        <v>838</v>
      </c>
      <c r="P120" s="21" t="s">
        <v>821</v>
      </c>
      <c r="Q120" s="15">
        <f t="shared" si="81"/>
        <v>0.1</v>
      </c>
      <c r="R120" s="20"/>
    </row>
    <row r="121" spans="1:18">
      <c r="A121" s="1"/>
      <c r="B121" s="16">
        <f>ROW(B121) - ROW($B$7)</f>
        <v>114</v>
      </c>
      <c r="C121" s="22" t="s">
        <v>33</v>
      </c>
      <c r="D121" s="14" t="s">
        <v>153</v>
      </c>
      <c r="E121" s="14" t="s">
        <v>307</v>
      </c>
      <c r="F121" s="14" t="s">
        <v>395</v>
      </c>
      <c r="G121" s="14" t="s">
        <v>508</v>
      </c>
      <c r="H121" s="14" t="s">
        <v>545</v>
      </c>
      <c r="I121" s="14" t="s">
        <v>622</v>
      </c>
      <c r="J121" s="14" t="s">
        <v>694</v>
      </c>
      <c r="K121" s="43" t="s">
        <v>777</v>
      </c>
      <c r="L121" s="14">
        <v>1</v>
      </c>
      <c r="M121" s="14">
        <f>L121*5</f>
        <v>5</v>
      </c>
      <c r="N121" s="14">
        <v>50</v>
      </c>
      <c r="O121" s="52" t="s">
        <v>838</v>
      </c>
      <c r="P121" s="15" t="s">
        <v>891</v>
      </c>
      <c r="Q121" s="15">
        <f>P121*N121</f>
        <v>0.90500000000000003</v>
      </c>
      <c r="R121" s="14"/>
    </row>
    <row r="122" spans="1:18">
      <c r="A122" s="1"/>
      <c r="B122" s="17">
        <f t="shared" si="0"/>
        <v>115</v>
      </c>
      <c r="C122" s="23" t="s">
        <v>33</v>
      </c>
      <c r="D122" s="47" t="s">
        <v>154</v>
      </c>
      <c r="E122" s="47" t="s">
        <v>298</v>
      </c>
      <c r="F122" s="47" t="s">
        <v>395</v>
      </c>
      <c r="G122" s="47" t="s">
        <v>499</v>
      </c>
      <c r="H122" s="47" t="s">
        <v>545</v>
      </c>
      <c r="I122" s="47" t="s">
        <v>622</v>
      </c>
      <c r="J122" s="47" t="s">
        <v>685</v>
      </c>
      <c r="K122" s="46" t="s">
        <v>766</v>
      </c>
      <c r="L122" s="47">
        <v>1</v>
      </c>
      <c r="M122" s="47">
        <f t="shared" ref="M122" si="87">L122*5</f>
        <v>5</v>
      </c>
      <c r="N122" s="47" t="s">
        <v>622</v>
      </c>
      <c r="O122" s="55" t="s">
        <v>838</v>
      </c>
      <c r="P122" s="48" t="s">
        <v>884</v>
      </c>
      <c r="Q122" s="48" t="s">
        <v>622</v>
      </c>
      <c r="R122" s="49" t="s">
        <v>803</v>
      </c>
    </row>
    <row r="123" spans="1:18">
      <c r="A123" s="1"/>
      <c r="B123" s="16">
        <f>ROW(B123) - ROW($B$7)</f>
        <v>116</v>
      </c>
      <c r="C123" s="23" t="s">
        <v>33</v>
      </c>
      <c r="D123" s="14" t="s">
        <v>155</v>
      </c>
      <c r="E123" s="14" t="s">
        <v>308</v>
      </c>
      <c r="F123" s="20" t="s">
        <v>395</v>
      </c>
      <c r="G123" s="14" t="s">
        <v>509</v>
      </c>
      <c r="H123" s="14" t="s">
        <v>545</v>
      </c>
      <c r="I123" s="14" t="s">
        <v>622</v>
      </c>
      <c r="J123" s="14" t="s">
        <v>695</v>
      </c>
      <c r="K123" s="44" t="s">
        <v>778</v>
      </c>
      <c r="L123" s="14">
        <v>4</v>
      </c>
      <c r="M123" s="14">
        <f>L123*5</f>
        <v>20</v>
      </c>
      <c r="N123" s="14">
        <v>100</v>
      </c>
      <c r="O123" s="52" t="s">
        <v>838</v>
      </c>
      <c r="P123" s="15" t="s">
        <v>884</v>
      </c>
      <c r="Q123" s="15">
        <f>P123*N123</f>
        <v>0.06</v>
      </c>
      <c r="R123" s="14"/>
    </row>
    <row r="124" spans="1:18" ht="36">
      <c r="A124" s="1"/>
      <c r="B124" s="17">
        <f t="shared" si="0"/>
        <v>117</v>
      </c>
      <c r="C124" s="22" t="s">
        <v>33</v>
      </c>
      <c r="D124" s="20" t="s">
        <v>156</v>
      </c>
      <c r="E124" s="20" t="s">
        <v>309</v>
      </c>
      <c r="F124" s="14" t="s">
        <v>395</v>
      </c>
      <c r="G124" s="20" t="s">
        <v>510</v>
      </c>
      <c r="H124" s="20" t="s">
        <v>579</v>
      </c>
      <c r="I124" s="14" t="s">
        <v>622</v>
      </c>
      <c r="J124" s="20" t="s">
        <v>696</v>
      </c>
      <c r="K124" s="43" t="s">
        <v>779</v>
      </c>
      <c r="L124" s="20">
        <v>8</v>
      </c>
      <c r="M124" s="20">
        <f t="shared" ref="M124" si="88">L124*5</f>
        <v>40</v>
      </c>
      <c r="N124" s="20">
        <v>100</v>
      </c>
      <c r="O124" s="52" t="s">
        <v>838</v>
      </c>
      <c r="P124" s="21" t="s">
        <v>888</v>
      </c>
      <c r="Q124" s="21">
        <f t="shared" ref="Q124" si="89">P124*N124</f>
        <v>0.05</v>
      </c>
      <c r="R124" s="20"/>
    </row>
    <row r="125" spans="1:18">
      <c r="A125" s="1"/>
      <c r="B125" s="16">
        <f>ROW(B125) - ROW($B$7)</f>
        <v>118</v>
      </c>
      <c r="C125" s="23" t="s">
        <v>33</v>
      </c>
      <c r="D125" s="14" t="s">
        <v>157</v>
      </c>
      <c r="E125" s="14" t="s">
        <v>310</v>
      </c>
      <c r="F125" s="20" t="s">
        <v>398</v>
      </c>
      <c r="G125" s="14" t="s">
        <v>511</v>
      </c>
      <c r="H125" s="14" t="s">
        <v>545</v>
      </c>
      <c r="I125" s="14" t="s">
        <v>622</v>
      </c>
      <c r="J125" s="14" t="s">
        <v>697</v>
      </c>
      <c r="K125" s="44" t="s">
        <v>775</v>
      </c>
      <c r="L125" s="14">
        <v>4</v>
      </c>
      <c r="M125" s="14">
        <f>L125*5</f>
        <v>20</v>
      </c>
      <c r="N125" s="14">
        <v>100</v>
      </c>
      <c r="O125" s="52" t="s">
        <v>838</v>
      </c>
      <c r="P125" s="15" t="s">
        <v>821</v>
      </c>
      <c r="Q125" s="15">
        <f>P125*N125</f>
        <v>0.1</v>
      </c>
      <c r="R125" s="14"/>
    </row>
    <row r="126" spans="1:18">
      <c r="A126" s="1"/>
      <c r="B126" s="17">
        <f t="shared" si="0"/>
        <v>119</v>
      </c>
      <c r="C126" s="22" t="s">
        <v>33</v>
      </c>
      <c r="D126" s="20" t="s">
        <v>158</v>
      </c>
      <c r="E126" s="20" t="s">
        <v>311</v>
      </c>
      <c r="F126" s="14" t="s">
        <v>399</v>
      </c>
      <c r="G126" s="20" t="s">
        <v>512</v>
      </c>
      <c r="H126" s="20" t="s">
        <v>545</v>
      </c>
      <c r="I126" s="14" t="s">
        <v>622</v>
      </c>
      <c r="J126" s="20" t="s">
        <v>892</v>
      </c>
      <c r="K126" s="43" t="s">
        <v>762</v>
      </c>
      <c r="L126" s="20">
        <v>6</v>
      </c>
      <c r="M126" s="20">
        <f t="shared" ref="M126" si="90">L126*5</f>
        <v>30</v>
      </c>
      <c r="N126" s="20">
        <v>100</v>
      </c>
      <c r="O126" s="52" t="s">
        <v>838</v>
      </c>
      <c r="P126" s="21">
        <v>1.8E-3</v>
      </c>
      <c r="Q126" s="21">
        <f t="shared" ref="Q126" si="91">P126*N126</f>
        <v>0.18</v>
      </c>
      <c r="R126" s="20"/>
    </row>
    <row r="127" spans="1:18">
      <c r="A127" s="1"/>
      <c r="B127" s="16">
        <f>ROW(B127) - ROW($B$7)</f>
        <v>120</v>
      </c>
      <c r="C127" s="23" t="s">
        <v>33</v>
      </c>
      <c r="D127" s="50" t="s">
        <v>159</v>
      </c>
      <c r="E127" s="50" t="s">
        <v>311</v>
      </c>
      <c r="F127" s="47" t="s">
        <v>399</v>
      </c>
      <c r="G127" s="50" t="s">
        <v>512</v>
      </c>
      <c r="H127" s="50" t="s">
        <v>545</v>
      </c>
      <c r="I127" s="50" t="s">
        <v>622</v>
      </c>
      <c r="J127" s="50" t="s">
        <v>892</v>
      </c>
      <c r="K127" s="46" t="s">
        <v>766</v>
      </c>
      <c r="L127" s="50">
        <v>2</v>
      </c>
      <c r="M127" s="50">
        <f>L127*5</f>
        <v>10</v>
      </c>
      <c r="N127" s="47" t="s">
        <v>622</v>
      </c>
      <c r="O127" s="47" t="s">
        <v>622</v>
      </c>
      <c r="P127" s="48" t="s">
        <v>622</v>
      </c>
      <c r="Q127" s="51" t="s">
        <v>622</v>
      </c>
      <c r="R127" s="49" t="s">
        <v>803</v>
      </c>
    </row>
    <row r="128" spans="1:18">
      <c r="A128" s="1"/>
      <c r="B128" s="17">
        <f t="shared" si="0"/>
        <v>121</v>
      </c>
      <c r="C128" s="22" t="s">
        <v>33</v>
      </c>
      <c r="D128" s="20" t="s">
        <v>160</v>
      </c>
      <c r="E128" s="20" t="s">
        <v>312</v>
      </c>
      <c r="F128" s="14" t="s">
        <v>396</v>
      </c>
      <c r="G128" s="20" t="s">
        <v>513</v>
      </c>
      <c r="H128" s="20" t="s">
        <v>545</v>
      </c>
      <c r="I128" s="20" t="s">
        <v>622</v>
      </c>
      <c r="J128" s="20" t="s">
        <v>698</v>
      </c>
      <c r="K128" s="43" t="s">
        <v>780</v>
      </c>
      <c r="L128" s="20">
        <v>1</v>
      </c>
      <c r="M128" s="20">
        <f t="shared" ref="M128" si="92">L128*5</f>
        <v>5</v>
      </c>
      <c r="N128" s="20">
        <v>100</v>
      </c>
      <c r="O128" s="52" t="s">
        <v>838</v>
      </c>
      <c r="P128" s="21" t="s">
        <v>825</v>
      </c>
      <c r="Q128" s="21">
        <f t="shared" ref="Q128" si="93">P128*N128</f>
        <v>0.2</v>
      </c>
      <c r="R128" s="20"/>
    </row>
    <row r="129" spans="1:18">
      <c r="A129" s="1"/>
      <c r="B129" s="16">
        <f>ROW(B129) - ROW($B$7)</f>
        <v>122</v>
      </c>
      <c r="C129" s="23" t="s">
        <v>34</v>
      </c>
      <c r="D129" s="14" t="s">
        <v>161</v>
      </c>
      <c r="E129" s="14" t="s">
        <v>313</v>
      </c>
      <c r="F129" s="20" t="s">
        <v>395</v>
      </c>
      <c r="G129" s="14" t="s">
        <v>514</v>
      </c>
      <c r="H129" s="14" t="s">
        <v>545</v>
      </c>
      <c r="I129" s="20" t="s">
        <v>622</v>
      </c>
      <c r="J129" s="14" t="s">
        <v>699</v>
      </c>
      <c r="K129" s="44" t="s">
        <v>781</v>
      </c>
      <c r="L129" s="14">
        <v>1</v>
      </c>
      <c r="M129" s="14">
        <f>L129*5</f>
        <v>5</v>
      </c>
      <c r="N129" s="14">
        <v>50</v>
      </c>
      <c r="O129" s="52" t="s">
        <v>838</v>
      </c>
      <c r="P129" s="15" t="s">
        <v>894</v>
      </c>
      <c r="Q129" s="15">
        <f>P129*N129</f>
        <v>0.95</v>
      </c>
      <c r="R129" s="14"/>
    </row>
    <row r="130" spans="1:18">
      <c r="A130" s="1"/>
      <c r="B130" s="17">
        <f t="shared" si="0"/>
        <v>123</v>
      </c>
      <c r="C130" s="22" t="s">
        <v>33</v>
      </c>
      <c r="D130" s="20" t="s">
        <v>162</v>
      </c>
      <c r="E130" s="20" t="s">
        <v>314</v>
      </c>
      <c r="F130" s="14" t="s">
        <v>395</v>
      </c>
      <c r="G130" s="20" t="s">
        <v>515</v>
      </c>
      <c r="H130" s="20" t="s">
        <v>545</v>
      </c>
      <c r="I130" s="20" t="s">
        <v>622</v>
      </c>
      <c r="J130" s="20" t="s">
        <v>700</v>
      </c>
      <c r="K130" s="43" t="s">
        <v>782</v>
      </c>
      <c r="L130" s="20">
        <v>6</v>
      </c>
      <c r="M130" s="20">
        <f t="shared" ref="M130" si="94">L130*5</f>
        <v>30</v>
      </c>
      <c r="N130" s="20">
        <v>100</v>
      </c>
      <c r="O130" s="52" t="s">
        <v>838</v>
      </c>
      <c r="P130" s="21" t="s">
        <v>887</v>
      </c>
      <c r="Q130" s="21">
        <f t="shared" ref="Q130" si="95">P130*N130</f>
        <v>6.9999999999999993E-2</v>
      </c>
      <c r="R130" s="20"/>
    </row>
    <row r="131" spans="1:18">
      <c r="A131" s="1"/>
      <c r="B131" s="16">
        <f>ROW(B131) - ROW($B$7)</f>
        <v>124</v>
      </c>
      <c r="C131" s="23" t="s">
        <v>33</v>
      </c>
      <c r="D131" s="14" t="s">
        <v>163</v>
      </c>
      <c r="E131" s="14" t="s">
        <v>315</v>
      </c>
      <c r="F131" s="20" t="s">
        <v>396</v>
      </c>
      <c r="G131" s="14" t="s">
        <v>516</v>
      </c>
      <c r="H131" s="14" t="s">
        <v>545</v>
      </c>
      <c r="I131" s="20" t="s">
        <v>622</v>
      </c>
      <c r="J131" s="14" t="s">
        <v>701</v>
      </c>
      <c r="K131" s="44" t="s">
        <v>783</v>
      </c>
      <c r="L131" s="14">
        <v>1</v>
      </c>
      <c r="M131" s="14">
        <f>L131*5</f>
        <v>5</v>
      </c>
      <c r="N131" s="14">
        <v>20</v>
      </c>
      <c r="O131" s="52" t="s">
        <v>838</v>
      </c>
      <c r="P131" s="15" t="s">
        <v>895</v>
      </c>
      <c r="Q131" s="15">
        <f>P131*N131</f>
        <v>0.17</v>
      </c>
      <c r="R131" s="14"/>
    </row>
    <row r="132" spans="1:18">
      <c r="A132" s="1"/>
      <c r="B132" s="17">
        <f t="shared" si="0"/>
        <v>125</v>
      </c>
      <c r="C132" s="22" t="s">
        <v>33</v>
      </c>
      <c r="D132" s="20" t="s">
        <v>164</v>
      </c>
      <c r="E132" s="20" t="s">
        <v>316</v>
      </c>
      <c r="F132" s="14" t="s">
        <v>396</v>
      </c>
      <c r="G132" s="20" t="s">
        <v>517</v>
      </c>
      <c r="H132" s="20" t="s">
        <v>545</v>
      </c>
      <c r="I132" s="20" t="s">
        <v>622</v>
      </c>
      <c r="J132" s="20" t="s">
        <v>702</v>
      </c>
      <c r="K132" s="43" t="s">
        <v>784</v>
      </c>
      <c r="L132" s="20">
        <v>1</v>
      </c>
      <c r="M132" s="20">
        <f t="shared" ref="M132" si="96">L132*5</f>
        <v>5</v>
      </c>
      <c r="N132" s="20">
        <v>100</v>
      </c>
      <c r="O132" s="52" t="s">
        <v>838</v>
      </c>
      <c r="P132" s="21" t="s">
        <v>825</v>
      </c>
      <c r="Q132" s="21">
        <f t="shared" ref="Q132" si="97">P132*N132</f>
        <v>0.2</v>
      </c>
      <c r="R132" s="20"/>
    </row>
    <row r="133" spans="1:18">
      <c r="A133" s="1"/>
      <c r="B133" s="16">
        <f>ROW(B133) - ROW($B$7)</f>
        <v>126</v>
      </c>
      <c r="C133" s="23" t="s">
        <v>34</v>
      </c>
      <c r="D133" s="14" t="s">
        <v>165</v>
      </c>
      <c r="E133" s="14" t="s">
        <v>317</v>
      </c>
      <c r="F133" s="20" t="s">
        <v>396</v>
      </c>
      <c r="G133" s="14" t="s">
        <v>518</v>
      </c>
      <c r="H133" s="14" t="s">
        <v>545</v>
      </c>
      <c r="I133" s="20" t="s">
        <v>622</v>
      </c>
      <c r="J133" s="14" t="s">
        <v>703</v>
      </c>
      <c r="K133" s="44" t="s">
        <v>785</v>
      </c>
      <c r="L133" s="14">
        <v>1</v>
      </c>
      <c r="M133" s="14">
        <f>L133*5</f>
        <v>5</v>
      </c>
      <c r="N133" s="14">
        <v>20</v>
      </c>
      <c r="O133" s="52" t="s">
        <v>838</v>
      </c>
      <c r="P133" s="15" t="s">
        <v>885</v>
      </c>
      <c r="Q133" s="15">
        <f>P133*N133</f>
        <v>0.72199999999999998</v>
      </c>
      <c r="R133" s="14"/>
    </row>
    <row r="134" spans="1:18">
      <c r="A134" s="1"/>
      <c r="B134" s="17">
        <f t="shared" si="0"/>
        <v>127</v>
      </c>
      <c r="C134" s="22" t="s">
        <v>33</v>
      </c>
      <c r="D134" s="20" t="s">
        <v>166</v>
      </c>
      <c r="E134" s="20" t="s">
        <v>318</v>
      </c>
      <c r="F134" s="14" t="s">
        <v>395</v>
      </c>
      <c r="G134" s="20" t="s">
        <v>519</v>
      </c>
      <c r="H134" s="20" t="s">
        <v>545</v>
      </c>
      <c r="I134" s="20" t="s">
        <v>622</v>
      </c>
      <c r="J134" s="20" t="s">
        <v>704</v>
      </c>
      <c r="K134" s="43" t="s">
        <v>786</v>
      </c>
      <c r="L134" s="20">
        <v>1</v>
      </c>
      <c r="M134" s="20">
        <f t="shared" ref="M134" si="98">L134*5</f>
        <v>5</v>
      </c>
      <c r="N134" s="20">
        <v>20</v>
      </c>
      <c r="O134" s="52" t="s">
        <v>838</v>
      </c>
      <c r="P134" s="21" t="s">
        <v>822</v>
      </c>
      <c r="Q134" s="21">
        <f t="shared" ref="Q134" si="99">P134*N134</f>
        <v>0.47</v>
      </c>
      <c r="R134" s="20"/>
    </row>
    <row r="135" spans="1:18">
      <c r="A135" s="1"/>
      <c r="B135" s="16">
        <f>ROW(B135) - ROW($B$7)</f>
        <v>128</v>
      </c>
      <c r="C135" s="23" t="s">
        <v>34</v>
      </c>
      <c r="D135" s="14" t="s">
        <v>167</v>
      </c>
      <c r="E135" s="14" t="s">
        <v>319</v>
      </c>
      <c r="F135" s="20" t="s">
        <v>395</v>
      </c>
      <c r="G135" s="14" t="s">
        <v>520</v>
      </c>
      <c r="H135" s="14" t="s">
        <v>545</v>
      </c>
      <c r="I135" s="20" t="s">
        <v>622</v>
      </c>
      <c r="J135" s="14" t="s">
        <v>705</v>
      </c>
      <c r="K135" s="44" t="s">
        <v>787</v>
      </c>
      <c r="L135" s="14">
        <v>1</v>
      </c>
      <c r="M135" s="14">
        <f>L135*5</f>
        <v>5</v>
      </c>
      <c r="N135" s="14">
        <v>50</v>
      </c>
      <c r="O135" s="52" t="s">
        <v>838</v>
      </c>
      <c r="P135" s="15">
        <v>1.83E-2</v>
      </c>
      <c r="Q135" s="15">
        <f>P135*N135</f>
        <v>0.91500000000000004</v>
      </c>
      <c r="R135" s="14"/>
    </row>
    <row r="136" spans="1:18">
      <c r="A136" s="1"/>
      <c r="B136" s="17">
        <f t="shared" si="0"/>
        <v>129</v>
      </c>
      <c r="C136" s="23" t="s">
        <v>33</v>
      </c>
      <c r="D136" s="20" t="s">
        <v>168</v>
      </c>
      <c r="E136" s="20" t="s">
        <v>320</v>
      </c>
      <c r="F136" s="20" t="s">
        <v>395</v>
      </c>
      <c r="G136" s="20" t="s">
        <v>521</v>
      </c>
      <c r="H136" s="20" t="s">
        <v>545</v>
      </c>
      <c r="I136" s="20" t="s">
        <v>622</v>
      </c>
      <c r="J136" s="20" t="s">
        <v>706</v>
      </c>
      <c r="K136" s="44" t="s">
        <v>788</v>
      </c>
      <c r="L136" s="20">
        <v>2</v>
      </c>
      <c r="M136" s="20">
        <f t="shared" ref="M136" si="100">L136*5</f>
        <v>10</v>
      </c>
      <c r="N136" s="20">
        <v>100</v>
      </c>
      <c r="O136" s="52" t="s">
        <v>838</v>
      </c>
      <c r="P136" s="21" t="s">
        <v>896</v>
      </c>
      <c r="Q136" s="21">
        <f t="shared" ref="Q136" si="101">P136*N136</f>
        <v>6</v>
      </c>
      <c r="R136" s="20"/>
    </row>
    <row r="137" spans="1:18" ht="24">
      <c r="A137" s="1"/>
      <c r="B137" s="16">
        <f>ROW(B137) - ROW($B$7)</f>
        <v>130</v>
      </c>
      <c r="C137" s="22" t="s">
        <v>35</v>
      </c>
      <c r="D137" s="14" t="s">
        <v>169</v>
      </c>
      <c r="E137" s="14" t="s">
        <v>321</v>
      </c>
      <c r="F137" s="20" t="s">
        <v>804</v>
      </c>
      <c r="G137" s="14" t="s">
        <v>400</v>
      </c>
      <c r="H137" s="14" t="s">
        <v>580</v>
      </c>
      <c r="I137" s="20" t="s">
        <v>622</v>
      </c>
      <c r="J137" s="14" t="s">
        <v>707</v>
      </c>
      <c r="K137" s="43" t="s">
        <v>622</v>
      </c>
      <c r="L137" s="14">
        <v>7</v>
      </c>
      <c r="M137" s="14">
        <f>L137*5</f>
        <v>35</v>
      </c>
      <c r="N137" s="14">
        <v>40</v>
      </c>
      <c r="O137" s="52" t="s">
        <v>838</v>
      </c>
      <c r="P137" s="15" t="s">
        <v>897</v>
      </c>
      <c r="Q137" s="15">
        <f>P137*N137</f>
        <v>58.8</v>
      </c>
      <c r="R137" s="14"/>
    </row>
    <row r="138" spans="1:18" ht="36">
      <c r="A138" s="1"/>
      <c r="B138" s="17">
        <f t="shared" si="0"/>
        <v>131</v>
      </c>
      <c r="C138" s="23" t="s">
        <v>36</v>
      </c>
      <c r="D138" s="20" t="s">
        <v>170</v>
      </c>
      <c r="E138" s="20" t="s">
        <v>322</v>
      </c>
      <c r="F138" s="20" t="s">
        <v>804</v>
      </c>
      <c r="G138" s="20" t="s">
        <v>401</v>
      </c>
      <c r="H138" s="20" t="s">
        <v>581</v>
      </c>
      <c r="I138" s="20" t="s">
        <v>622</v>
      </c>
      <c r="J138" s="20" t="s">
        <v>708</v>
      </c>
      <c r="K138" s="43" t="s">
        <v>622</v>
      </c>
      <c r="L138" s="20">
        <v>1</v>
      </c>
      <c r="M138" s="20">
        <f t="shared" ref="M138" si="102">L138*5</f>
        <v>5</v>
      </c>
      <c r="N138" s="20">
        <v>6</v>
      </c>
      <c r="O138" s="52" t="s">
        <v>838</v>
      </c>
      <c r="P138" s="21" t="s">
        <v>898</v>
      </c>
      <c r="Q138" s="21">
        <f t="shared" ref="Q138" si="103">P138*N138</f>
        <v>2.0999999999999996</v>
      </c>
      <c r="R138" s="20"/>
    </row>
    <row r="139" spans="1:18">
      <c r="A139" s="1"/>
      <c r="B139" s="16">
        <f>ROW(B139) - ROW($B$7)</f>
        <v>132</v>
      </c>
      <c r="C139" s="22" t="s">
        <v>37</v>
      </c>
      <c r="D139" s="14" t="s">
        <v>171</v>
      </c>
      <c r="E139" s="14" t="s">
        <v>323</v>
      </c>
      <c r="F139" s="20" t="s">
        <v>804</v>
      </c>
      <c r="G139" s="14" t="s">
        <v>522</v>
      </c>
      <c r="H139" s="14" t="s">
        <v>582</v>
      </c>
      <c r="I139" s="20" t="s">
        <v>622</v>
      </c>
      <c r="J139" s="14" t="s">
        <v>709</v>
      </c>
      <c r="K139" s="43" t="s">
        <v>622</v>
      </c>
      <c r="L139" s="14">
        <v>1</v>
      </c>
      <c r="M139" s="14">
        <f>L139*5</f>
        <v>5</v>
      </c>
      <c r="N139" s="14">
        <v>6</v>
      </c>
      <c r="O139" s="52" t="s">
        <v>838</v>
      </c>
      <c r="P139" s="15" t="s">
        <v>898</v>
      </c>
      <c r="Q139" s="15">
        <f>P139*N139</f>
        <v>2.0999999999999996</v>
      </c>
      <c r="R139" s="14"/>
    </row>
    <row r="140" spans="1:18" ht="24">
      <c r="A140" s="1"/>
      <c r="B140" s="17">
        <f t="shared" si="0"/>
        <v>133</v>
      </c>
      <c r="C140" s="23" t="s">
        <v>38</v>
      </c>
      <c r="D140" s="20" t="s">
        <v>172</v>
      </c>
      <c r="E140" s="20" t="s">
        <v>324</v>
      </c>
      <c r="F140" s="20" t="s">
        <v>357</v>
      </c>
      <c r="G140" s="20" t="s">
        <v>523</v>
      </c>
      <c r="H140" s="20" t="s">
        <v>583</v>
      </c>
      <c r="I140" s="20" t="s">
        <v>622</v>
      </c>
      <c r="J140" s="20" t="s">
        <v>710</v>
      </c>
      <c r="K140" s="43" t="s">
        <v>622</v>
      </c>
      <c r="L140" s="20">
        <v>1</v>
      </c>
      <c r="M140" s="20">
        <f t="shared" ref="M140" si="104">L140*5</f>
        <v>5</v>
      </c>
      <c r="N140" s="20">
        <v>6</v>
      </c>
      <c r="O140" s="52" t="s">
        <v>838</v>
      </c>
      <c r="P140" s="21" t="s">
        <v>899</v>
      </c>
      <c r="Q140" s="21">
        <f t="shared" ref="Q140" si="105">P140*N140</f>
        <v>4.08</v>
      </c>
      <c r="R140" s="20"/>
    </row>
    <row r="141" spans="1:18">
      <c r="A141" s="1"/>
      <c r="B141" s="16">
        <f>ROW(B141) - ROW($B$7)</f>
        <v>134</v>
      </c>
      <c r="C141" s="22" t="s">
        <v>38</v>
      </c>
      <c r="D141" s="14" t="s">
        <v>173</v>
      </c>
      <c r="E141" s="14" t="s">
        <v>325</v>
      </c>
      <c r="F141" s="14" t="s">
        <v>402</v>
      </c>
      <c r="G141" s="14" t="s">
        <v>524</v>
      </c>
      <c r="H141" s="14" t="s">
        <v>583</v>
      </c>
      <c r="I141" s="20" t="s">
        <v>622</v>
      </c>
      <c r="J141" s="14" t="s">
        <v>711</v>
      </c>
      <c r="K141" s="43" t="s">
        <v>622</v>
      </c>
      <c r="L141" s="14">
        <v>1</v>
      </c>
      <c r="M141" s="14">
        <f>L141*5</f>
        <v>5</v>
      </c>
      <c r="N141" s="14">
        <v>6</v>
      </c>
      <c r="O141" s="52" t="s">
        <v>838</v>
      </c>
      <c r="P141" s="15" t="s">
        <v>900</v>
      </c>
      <c r="Q141" s="15">
        <f>P141*N141</f>
        <v>18.96</v>
      </c>
      <c r="R141" s="14"/>
    </row>
    <row r="142" spans="1:18">
      <c r="A142" s="1"/>
      <c r="B142" s="17">
        <f t="shared" si="0"/>
        <v>135</v>
      </c>
      <c r="C142" s="23" t="s">
        <v>38</v>
      </c>
      <c r="D142" s="20" t="s">
        <v>174</v>
      </c>
      <c r="E142" s="20" t="s">
        <v>326</v>
      </c>
      <c r="F142" s="20" t="s">
        <v>403</v>
      </c>
      <c r="G142" s="20" t="s">
        <v>525</v>
      </c>
      <c r="H142" s="20" t="s">
        <v>556</v>
      </c>
      <c r="I142" s="20" t="s">
        <v>622</v>
      </c>
      <c r="J142" s="20" t="s">
        <v>712</v>
      </c>
      <c r="K142" s="43" t="s">
        <v>622</v>
      </c>
      <c r="L142" s="20">
        <v>1</v>
      </c>
      <c r="M142" s="20">
        <f t="shared" ref="M142" si="106">L142*5</f>
        <v>5</v>
      </c>
      <c r="N142" s="20">
        <v>6</v>
      </c>
      <c r="O142" s="57" t="s">
        <v>901</v>
      </c>
      <c r="P142" s="21">
        <v>1.0349999999999999</v>
      </c>
      <c r="Q142" s="21">
        <f t="shared" ref="Q142" si="107">P142*N142</f>
        <v>6.2099999999999991</v>
      </c>
      <c r="R142" s="20"/>
    </row>
    <row r="143" spans="1:18">
      <c r="A143" s="1"/>
      <c r="B143" s="16">
        <f>ROW(B143) - ROW($B$7)</f>
        <v>136</v>
      </c>
      <c r="C143" s="22" t="s">
        <v>38</v>
      </c>
      <c r="D143" s="14" t="s">
        <v>175</v>
      </c>
      <c r="E143" s="14" t="s">
        <v>327</v>
      </c>
      <c r="F143" s="14" t="s">
        <v>404</v>
      </c>
      <c r="G143" s="14" t="s">
        <v>526</v>
      </c>
      <c r="H143" s="14" t="s">
        <v>556</v>
      </c>
      <c r="I143" s="20" t="s">
        <v>622</v>
      </c>
      <c r="J143" s="14" t="s">
        <v>713</v>
      </c>
      <c r="K143" s="43" t="s">
        <v>622</v>
      </c>
      <c r="L143" s="14">
        <v>1</v>
      </c>
      <c r="M143" s="14">
        <f>L143*5</f>
        <v>5</v>
      </c>
      <c r="N143" s="14">
        <v>6</v>
      </c>
      <c r="O143" s="57" t="s">
        <v>858</v>
      </c>
      <c r="P143" s="15">
        <v>3.5985</v>
      </c>
      <c r="Q143" s="15">
        <f>P143*N143</f>
        <v>21.591000000000001</v>
      </c>
      <c r="R143" s="14"/>
    </row>
    <row r="144" spans="1:18">
      <c r="A144" s="1"/>
      <c r="B144" s="17">
        <f t="shared" si="0"/>
        <v>137</v>
      </c>
      <c r="C144" s="23" t="s">
        <v>38</v>
      </c>
      <c r="D144" s="20" t="s">
        <v>176</v>
      </c>
      <c r="E144" s="20" t="s">
        <v>328</v>
      </c>
      <c r="F144" s="20" t="s">
        <v>405</v>
      </c>
      <c r="G144" s="20" t="s">
        <v>527</v>
      </c>
      <c r="H144" s="20" t="s">
        <v>584</v>
      </c>
      <c r="I144" s="20" t="s">
        <v>622</v>
      </c>
      <c r="J144" s="20" t="s">
        <v>714</v>
      </c>
      <c r="K144" s="43" t="s">
        <v>622</v>
      </c>
      <c r="L144" s="20">
        <v>1</v>
      </c>
      <c r="M144" s="20">
        <f t="shared" ref="M144" si="108">L144*5</f>
        <v>5</v>
      </c>
      <c r="N144" s="20">
        <v>6</v>
      </c>
      <c r="O144" s="52" t="s">
        <v>838</v>
      </c>
      <c r="P144" s="21" t="s">
        <v>902</v>
      </c>
      <c r="Q144" s="21">
        <f t="shared" ref="Q144" si="109">P144*N144</f>
        <v>10.725000000000001</v>
      </c>
      <c r="R144" s="20"/>
    </row>
    <row r="145" spans="1:18">
      <c r="A145" s="1"/>
      <c r="B145" s="16">
        <f>ROW(B145) - ROW($B$7)</f>
        <v>138</v>
      </c>
      <c r="C145" s="22" t="s">
        <v>38</v>
      </c>
      <c r="D145" s="14" t="s">
        <v>177</v>
      </c>
      <c r="E145" s="14" t="s">
        <v>329</v>
      </c>
      <c r="F145" s="14" t="s">
        <v>406</v>
      </c>
      <c r="G145" s="14" t="s">
        <v>528</v>
      </c>
      <c r="H145" s="14" t="s">
        <v>556</v>
      </c>
      <c r="I145" s="20" t="s">
        <v>622</v>
      </c>
      <c r="J145" s="14" t="s">
        <v>715</v>
      </c>
      <c r="K145" s="43" t="s">
        <v>622</v>
      </c>
      <c r="L145" s="14">
        <v>1</v>
      </c>
      <c r="M145" s="14">
        <f>L145*5</f>
        <v>5</v>
      </c>
      <c r="N145" s="14">
        <v>6</v>
      </c>
      <c r="O145" s="52" t="s">
        <v>838</v>
      </c>
      <c r="P145" s="15" t="s">
        <v>903</v>
      </c>
      <c r="Q145" s="15">
        <f>P145*N145</f>
        <v>2.6471999999999998</v>
      </c>
      <c r="R145" s="14"/>
    </row>
    <row r="146" spans="1:18" ht="36">
      <c r="A146" s="1"/>
      <c r="B146" s="17">
        <f t="shared" si="0"/>
        <v>139</v>
      </c>
      <c r="C146" s="23" t="s">
        <v>9</v>
      </c>
      <c r="D146" s="20" t="s">
        <v>178</v>
      </c>
      <c r="E146" s="20" t="s">
        <v>330</v>
      </c>
      <c r="F146" s="20" t="s">
        <v>357</v>
      </c>
      <c r="G146" s="20" t="s">
        <v>529</v>
      </c>
      <c r="H146" s="20" t="s">
        <v>558</v>
      </c>
      <c r="I146" s="20" t="s">
        <v>622</v>
      </c>
      <c r="J146" s="20" t="s">
        <v>716</v>
      </c>
      <c r="K146" s="43" t="s">
        <v>622</v>
      </c>
      <c r="L146" s="20">
        <v>2</v>
      </c>
      <c r="M146" s="20">
        <f t="shared" ref="M146" si="110">L146*5</f>
        <v>10</v>
      </c>
      <c r="N146" s="20">
        <v>20</v>
      </c>
      <c r="O146" s="52" t="s">
        <v>838</v>
      </c>
      <c r="P146" s="21" t="s">
        <v>904</v>
      </c>
      <c r="Q146" s="21">
        <f t="shared" ref="Q146" si="111">P146*N146</f>
        <v>0.66</v>
      </c>
      <c r="R146" s="20"/>
    </row>
    <row r="147" spans="1:18" ht="24">
      <c r="A147" s="1"/>
      <c r="B147" s="16">
        <f>ROW(B147) - ROW($B$7)</f>
        <v>140</v>
      </c>
      <c r="C147" s="22" t="s">
        <v>38</v>
      </c>
      <c r="D147" s="14" t="s">
        <v>179</v>
      </c>
      <c r="E147" s="14" t="s">
        <v>331</v>
      </c>
      <c r="F147" s="14" t="s">
        <v>407</v>
      </c>
      <c r="G147" s="14" t="s">
        <v>530</v>
      </c>
      <c r="H147" s="14" t="s">
        <v>585</v>
      </c>
      <c r="I147" s="20" t="s">
        <v>622</v>
      </c>
      <c r="J147" s="14" t="s">
        <v>717</v>
      </c>
      <c r="K147" s="43" t="s">
        <v>622</v>
      </c>
      <c r="L147" s="14">
        <v>1</v>
      </c>
      <c r="M147" s="14">
        <f>L147*5</f>
        <v>5</v>
      </c>
      <c r="N147" s="14">
        <v>6</v>
      </c>
      <c r="O147" s="52" t="s">
        <v>838</v>
      </c>
      <c r="P147" s="15" t="s">
        <v>905</v>
      </c>
      <c r="Q147" s="15">
        <f>P147*N147</f>
        <v>11.4876</v>
      </c>
      <c r="R147" s="14"/>
    </row>
    <row r="148" spans="1:18" ht="24">
      <c r="A148" s="1"/>
      <c r="B148" s="17">
        <f t="shared" si="0"/>
        <v>141</v>
      </c>
      <c r="C148" s="23" t="s">
        <v>38</v>
      </c>
      <c r="D148" s="20" t="s">
        <v>180</v>
      </c>
      <c r="E148" s="20" t="s">
        <v>332</v>
      </c>
      <c r="F148" s="20" t="s">
        <v>408</v>
      </c>
      <c r="G148" s="20" t="s">
        <v>531</v>
      </c>
      <c r="H148" s="20" t="s">
        <v>583</v>
      </c>
      <c r="I148" s="20" t="s">
        <v>622</v>
      </c>
      <c r="J148" s="20" t="s">
        <v>718</v>
      </c>
      <c r="K148" s="43" t="s">
        <v>622</v>
      </c>
      <c r="L148" s="20">
        <v>3</v>
      </c>
      <c r="M148" s="20">
        <f t="shared" ref="M148" si="112">L148*5</f>
        <v>15</v>
      </c>
      <c r="N148" s="20">
        <v>16</v>
      </c>
      <c r="O148" s="52" t="s">
        <v>838</v>
      </c>
      <c r="P148" s="21">
        <v>1.0935999999999999</v>
      </c>
      <c r="Q148" s="21">
        <f t="shared" ref="Q148" si="113">P148*N148</f>
        <v>17.497599999999998</v>
      </c>
      <c r="R148" s="20"/>
    </row>
    <row r="149" spans="1:18">
      <c r="A149" s="1"/>
      <c r="B149" s="16">
        <f>ROW(B149) - ROW($B$7)</f>
        <v>142</v>
      </c>
      <c r="C149" s="22" t="s">
        <v>38</v>
      </c>
      <c r="D149" s="14" t="s">
        <v>181</v>
      </c>
      <c r="E149" s="14" t="s">
        <v>333</v>
      </c>
      <c r="F149" s="14" t="s">
        <v>409</v>
      </c>
      <c r="G149" s="14" t="s">
        <v>532</v>
      </c>
      <c r="H149" s="14" t="s">
        <v>583</v>
      </c>
      <c r="I149" s="20" t="s">
        <v>622</v>
      </c>
      <c r="J149" s="14" t="s">
        <v>719</v>
      </c>
      <c r="K149" s="43" t="s">
        <v>622</v>
      </c>
      <c r="L149" s="14">
        <v>2</v>
      </c>
      <c r="M149" s="14">
        <f>L149*5</f>
        <v>10</v>
      </c>
      <c r="N149" s="14">
        <v>11</v>
      </c>
      <c r="O149" s="52" t="s">
        <v>838</v>
      </c>
      <c r="P149" s="15">
        <v>3.4504999999999999</v>
      </c>
      <c r="Q149" s="15">
        <f>P149*N149</f>
        <v>37.955500000000001</v>
      </c>
      <c r="R149" s="14"/>
    </row>
    <row r="150" spans="1:18" ht="24">
      <c r="A150" s="1"/>
      <c r="B150" s="17">
        <f t="shared" si="0"/>
        <v>143</v>
      </c>
      <c r="C150" s="23" t="s">
        <v>38</v>
      </c>
      <c r="D150" s="20" t="s">
        <v>182</v>
      </c>
      <c r="E150" s="20" t="s">
        <v>332</v>
      </c>
      <c r="F150" s="20" t="s">
        <v>408</v>
      </c>
      <c r="G150" s="20" t="s">
        <v>533</v>
      </c>
      <c r="H150" s="20" t="s">
        <v>583</v>
      </c>
      <c r="I150" s="20" t="s">
        <v>622</v>
      </c>
      <c r="J150" s="20" t="s">
        <v>720</v>
      </c>
      <c r="K150" s="43" t="s">
        <v>622</v>
      </c>
      <c r="L150" s="20">
        <v>3</v>
      </c>
      <c r="M150" s="20">
        <f t="shared" ref="M150" si="114">L150*5</f>
        <v>15</v>
      </c>
      <c r="N150" s="20">
        <v>16</v>
      </c>
      <c r="O150" s="52" t="s">
        <v>838</v>
      </c>
      <c r="P150" s="21">
        <v>4.5057999999999998</v>
      </c>
      <c r="Q150" s="21">
        <f t="shared" ref="Q150" si="115">P150*N150</f>
        <v>72.092799999999997</v>
      </c>
      <c r="R150" s="20"/>
    </row>
    <row r="151" spans="1:18">
      <c r="A151" s="1"/>
      <c r="B151" s="16">
        <f>ROW(B151) - ROW($B$7)</f>
        <v>144</v>
      </c>
      <c r="C151" s="22" t="s">
        <v>38</v>
      </c>
      <c r="D151" s="14" t="s">
        <v>183</v>
      </c>
      <c r="E151" s="14" t="s">
        <v>334</v>
      </c>
      <c r="F151" s="14" t="s">
        <v>410</v>
      </c>
      <c r="G151" s="14" t="s">
        <v>534</v>
      </c>
      <c r="H151" s="14" t="s">
        <v>584</v>
      </c>
      <c r="I151" s="20" t="s">
        <v>622</v>
      </c>
      <c r="J151" s="14" t="s">
        <v>622</v>
      </c>
      <c r="K151" s="43" t="s">
        <v>622</v>
      </c>
      <c r="L151" s="14">
        <v>1</v>
      </c>
      <c r="M151" s="14">
        <f>L151*5</f>
        <v>5</v>
      </c>
      <c r="N151" s="14">
        <v>6</v>
      </c>
      <c r="O151" s="58" t="s">
        <v>901</v>
      </c>
      <c r="P151" s="15">
        <v>13.25</v>
      </c>
      <c r="Q151" s="15">
        <f>P151*N151</f>
        <v>79.5</v>
      </c>
      <c r="R151" s="14"/>
    </row>
    <row r="152" spans="1:18">
      <c r="A152" s="1"/>
      <c r="B152" s="17">
        <f t="shared" si="0"/>
        <v>145</v>
      </c>
      <c r="C152" s="22" t="s">
        <v>38</v>
      </c>
      <c r="D152" s="20" t="s">
        <v>184</v>
      </c>
      <c r="E152" s="20" t="s">
        <v>335</v>
      </c>
      <c r="F152" s="20" t="s">
        <v>804</v>
      </c>
      <c r="G152" s="20" t="s">
        <v>411</v>
      </c>
      <c r="H152" s="20" t="s">
        <v>555</v>
      </c>
      <c r="I152" s="20" t="s">
        <v>622</v>
      </c>
      <c r="J152" s="20" t="s">
        <v>809</v>
      </c>
      <c r="K152" s="43" t="s">
        <v>622</v>
      </c>
      <c r="L152" s="20">
        <v>1</v>
      </c>
      <c r="M152" s="20">
        <f t="shared" ref="M152" si="116">L152*5</f>
        <v>5</v>
      </c>
      <c r="N152" s="20">
        <v>6</v>
      </c>
      <c r="O152" s="52" t="s">
        <v>838</v>
      </c>
      <c r="P152" s="21" t="s">
        <v>906</v>
      </c>
      <c r="Q152" s="21">
        <f t="shared" ref="Q152" si="117">P152*N152</f>
        <v>2.6747999999999998</v>
      </c>
      <c r="R152" s="20"/>
    </row>
    <row r="153" spans="1:18" ht="36">
      <c r="A153" s="1"/>
      <c r="B153" s="16">
        <f>ROW(B153) - ROW($B$7)</f>
        <v>146</v>
      </c>
      <c r="C153" s="22" t="s">
        <v>38</v>
      </c>
      <c r="D153" s="14" t="s">
        <v>185</v>
      </c>
      <c r="E153" s="14" t="s">
        <v>336</v>
      </c>
      <c r="F153" s="20" t="s">
        <v>804</v>
      </c>
      <c r="G153" s="14" t="s">
        <v>412</v>
      </c>
      <c r="H153" s="14" t="s">
        <v>586</v>
      </c>
      <c r="I153" s="20" t="s">
        <v>622</v>
      </c>
      <c r="J153" s="14" t="s">
        <v>721</v>
      </c>
      <c r="K153" s="43" t="s">
        <v>622</v>
      </c>
      <c r="L153" s="14">
        <v>8</v>
      </c>
      <c r="M153" s="14">
        <f>L153*5</f>
        <v>40</v>
      </c>
      <c r="N153" s="14">
        <v>50</v>
      </c>
      <c r="O153" s="52" t="s">
        <v>838</v>
      </c>
      <c r="P153" s="15" t="s">
        <v>907</v>
      </c>
      <c r="Q153" s="15">
        <f>P153*N153</f>
        <v>3.2300000000000004</v>
      </c>
      <c r="R153" s="14"/>
    </row>
    <row r="154" spans="1:18">
      <c r="A154" s="1"/>
      <c r="B154" s="17">
        <f t="shared" si="0"/>
        <v>147</v>
      </c>
      <c r="C154" s="23" t="s">
        <v>38</v>
      </c>
      <c r="D154" s="20" t="s">
        <v>186</v>
      </c>
      <c r="E154" s="20" t="s">
        <v>337</v>
      </c>
      <c r="F154" s="20" t="s">
        <v>413</v>
      </c>
      <c r="G154" s="20" t="s">
        <v>535</v>
      </c>
      <c r="H154" s="20" t="s">
        <v>583</v>
      </c>
      <c r="I154" s="20" t="s">
        <v>622</v>
      </c>
      <c r="J154" s="20" t="s">
        <v>722</v>
      </c>
      <c r="K154" s="43" t="s">
        <v>622</v>
      </c>
      <c r="L154" s="20">
        <v>1</v>
      </c>
      <c r="M154" s="20">
        <f t="shared" ref="M154" si="118">L154*5</f>
        <v>5</v>
      </c>
      <c r="N154" s="20">
        <v>6</v>
      </c>
      <c r="O154" s="52" t="s">
        <v>838</v>
      </c>
      <c r="P154" s="21" t="s">
        <v>908</v>
      </c>
      <c r="Q154" s="21">
        <f t="shared" ref="Q154" si="119">P154*N154</f>
        <v>24.796799999999998</v>
      </c>
      <c r="R154" s="20"/>
    </row>
    <row r="155" spans="1:18">
      <c r="A155" s="1"/>
      <c r="B155" s="16">
        <f>ROW(B155) - ROW($B$7)</f>
        <v>148</v>
      </c>
      <c r="C155" s="22" t="s">
        <v>38</v>
      </c>
      <c r="D155" s="14" t="s">
        <v>187</v>
      </c>
      <c r="E155" s="14" t="s">
        <v>338</v>
      </c>
      <c r="F155" s="14" t="s">
        <v>414</v>
      </c>
      <c r="G155" s="14" t="s">
        <v>536</v>
      </c>
      <c r="H155" s="14" t="s">
        <v>583</v>
      </c>
      <c r="I155" s="20" t="s">
        <v>622</v>
      </c>
      <c r="J155" s="14" t="s">
        <v>723</v>
      </c>
      <c r="K155" s="43" t="s">
        <v>622</v>
      </c>
      <c r="L155" s="14">
        <v>1</v>
      </c>
      <c r="M155" s="14">
        <f>L155*5</f>
        <v>5</v>
      </c>
      <c r="N155" s="14">
        <v>6</v>
      </c>
      <c r="O155" s="52" t="s">
        <v>838</v>
      </c>
      <c r="P155" s="15" t="s">
        <v>909</v>
      </c>
      <c r="Q155" s="15">
        <f>P155*N155</f>
        <v>4.3494000000000002</v>
      </c>
      <c r="R155" s="14"/>
    </row>
    <row r="156" spans="1:18">
      <c r="A156" s="1"/>
      <c r="B156" s="17">
        <f t="shared" si="0"/>
        <v>149</v>
      </c>
      <c r="C156" s="23" t="s">
        <v>38</v>
      </c>
      <c r="D156" s="20" t="s">
        <v>188</v>
      </c>
      <c r="E156" s="20" t="s">
        <v>339</v>
      </c>
      <c r="F156" s="20" t="s">
        <v>415</v>
      </c>
      <c r="G156" s="20" t="s">
        <v>537</v>
      </c>
      <c r="H156" s="20" t="s">
        <v>583</v>
      </c>
      <c r="I156" s="20" t="s">
        <v>622</v>
      </c>
      <c r="J156" s="20" t="s">
        <v>724</v>
      </c>
      <c r="K156" s="43" t="s">
        <v>622</v>
      </c>
      <c r="L156" s="20">
        <v>1</v>
      </c>
      <c r="M156" s="20">
        <f t="shared" ref="M156" si="120">L156*5</f>
        <v>5</v>
      </c>
      <c r="N156" s="20">
        <v>6</v>
      </c>
      <c r="O156" s="57" t="s">
        <v>901</v>
      </c>
      <c r="P156" s="21">
        <v>9.4659999999999993</v>
      </c>
      <c r="Q156" s="21">
        <f t="shared" ref="Q156" si="121">P156*N156</f>
        <v>56.795999999999992</v>
      </c>
      <c r="R156" s="20"/>
    </row>
    <row r="157" spans="1:18">
      <c r="A157" s="1"/>
      <c r="B157" s="16">
        <f>ROW(B157) - ROW($B$7)</f>
        <v>150</v>
      </c>
      <c r="C157" s="22" t="s">
        <v>38</v>
      </c>
      <c r="D157" s="14" t="s">
        <v>189</v>
      </c>
      <c r="E157" s="14" t="s">
        <v>340</v>
      </c>
      <c r="F157" s="14" t="s">
        <v>416</v>
      </c>
      <c r="G157" s="14" t="s">
        <v>538</v>
      </c>
      <c r="H157" s="14" t="s">
        <v>583</v>
      </c>
      <c r="I157" s="20" t="s">
        <v>622</v>
      </c>
      <c r="J157" s="14" t="s">
        <v>725</v>
      </c>
      <c r="K157" s="43" t="s">
        <v>622</v>
      </c>
      <c r="L157" s="14">
        <v>1</v>
      </c>
      <c r="M157" s="14">
        <f>L157*5</f>
        <v>5</v>
      </c>
      <c r="N157" s="14">
        <v>6</v>
      </c>
      <c r="O157" s="52" t="s">
        <v>838</v>
      </c>
      <c r="P157" s="15" t="s">
        <v>910</v>
      </c>
      <c r="Q157" s="15">
        <f>P157*N157</f>
        <v>66.928799999999995</v>
      </c>
      <c r="R157" s="14"/>
    </row>
    <row r="158" spans="1:18">
      <c r="A158" s="1"/>
      <c r="B158" s="17">
        <f t="shared" si="0"/>
        <v>151</v>
      </c>
      <c r="C158" s="23" t="s">
        <v>38</v>
      </c>
      <c r="D158" s="20" t="s">
        <v>190</v>
      </c>
      <c r="E158" s="20" t="s">
        <v>341</v>
      </c>
      <c r="F158" s="20" t="s">
        <v>417</v>
      </c>
      <c r="G158" s="20" t="s">
        <v>539</v>
      </c>
      <c r="H158" s="20" t="s">
        <v>583</v>
      </c>
      <c r="I158" s="20" t="s">
        <v>622</v>
      </c>
      <c r="J158" s="20" t="s">
        <v>726</v>
      </c>
      <c r="K158" s="43" t="s">
        <v>622</v>
      </c>
      <c r="L158" s="20">
        <v>1</v>
      </c>
      <c r="M158" s="20">
        <f t="shared" ref="M158" si="122">L158*5</f>
        <v>5</v>
      </c>
      <c r="N158" s="20">
        <v>6</v>
      </c>
      <c r="O158" s="52" t="s">
        <v>901</v>
      </c>
      <c r="P158" s="21">
        <v>47.08</v>
      </c>
      <c r="Q158" s="21">
        <f t="shared" ref="Q158" si="123">P158*N158</f>
        <v>282.48</v>
      </c>
      <c r="R158" s="20"/>
    </row>
    <row r="159" spans="1:18">
      <c r="A159" s="1"/>
      <c r="B159" s="16">
        <f>ROW(B159) - ROW($B$7)</f>
        <v>152</v>
      </c>
      <c r="C159" s="22" t="s">
        <v>39</v>
      </c>
      <c r="D159" s="14" t="s">
        <v>191</v>
      </c>
      <c r="E159" s="14" t="s">
        <v>342</v>
      </c>
      <c r="F159" s="20" t="s">
        <v>804</v>
      </c>
      <c r="G159" s="14" t="s">
        <v>418</v>
      </c>
      <c r="H159" s="14" t="s">
        <v>587</v>
      </c>
      <c r="I159" s="20" t="s">
        <v>622</v>
      </c>
      <c r="J159" s="14" t="s">
        <v>727</v>
      </c>
      <c r="K159" s="43" t="s">
        <v>789</v>
      </c>
      <c r="L159" s="14">
        <v>2</v>
      </c>
      <c r="M159" s="14">
        <f>L159*5</f>
        <v>10</v>
      </c>
      <c r="N159" s="14">
        <v>15</v>
      </c>
      <c r="O159" s="52" t="s">
        <v>838</v>
      </c>
      <c r="P159" s="15" t="s">
        <v>911</v>
      </c>
      <c r="Q159" s="15">
        <f>P159*N159</f>
        <v>3.492</v>
      </c>
      <c r="R159" s="14"/>
    </row>
    <row r="160" spans="1:18">
      <c r="A160" s="1"/>
      <c r="B160" s="17">
        <f t="shared" si="0"/>
        <v>153</v>
      </c>
      <c r="C160" s="22" t="s">
        <v>39</v>
      </c>
      <c r="D160" s="20" t="s">
        <v>192</v>
      </c>
      <c r="E160" s="20" t="s">
        <v>343</v>
      </c>
      <c r="F160" s="20" t="s">
        <v>804</v>
      </c>
      <c r="G160" s="20" t="s">
        <v>540</v>
      </c>
      <c r="H160" s="20" t="s">
        <v>588</v>
      </c>
      <c r="I160" s="20" t="s">
        <v>622</v>
      </c>
      <c r="J160" s="20" t="s">
        <v>728</v>
      </c>
      <c r="K160" s="44" t="s">
        <v>790</v>
      </c>
      <c r="L160" s="20">
        <v>1</v>
      </c>
      <c r="M160" s="20">
        <f t="shared" ref="M160" si="124">L160*5</f>
        <v>5</v>
      </c>
      <c r="N160" s="20">
        <v>15</v>
      </c>
      <c r="O160" s="52" t="s">
        <v>838</v>
      </c>
      <c r="P160" s="21" t="s">
        <v>912</v>
      </c>
      <c r="Q160" s="21">
        <f t="shared" ref="Q160" si="125">P160*N160</f>
        <v>3.8370000000000006</v>
      </c>
      <c r="R160" s="20"/>
    </row>
    <row r="161" spans="1:18" ht="24.75" thickBot="1">
      <c r="A161" s="1"/>
      <c r="B161" s="16">
        <f>ROW(B161) - ROW($B$7)</f>
        <v>154</v>
      </c>
      <c r="C161" s="22" t="s">
        <v>39</v>
      </c>
      <c r="D161" s="14" t="s">
        <v>193</v>
      </c>
      <c r="E161" s="14" t="s">
        <v>344</v>
      </c>
      <c r="F161" s="14" t="s">
        <v>419</v>
      </c>
      <c r="G161" s="14" t="s">
        <v>541</v>
      </c>
      <c r="H161" s="14" t="s">
        <v>589</v>
      </c>
      <c r="I161" s="20" t="s">
        <v>622</v>
      </c>
      <c r="J161" s="14" t="s">
        <v>622</v>
      </c>
      <c r="K161" s="43" t="s">
        <v>789</v>
      </c>
      <c r="L161" s="14">
        <v>1</v>
      </c>
      <c r="M161" s="14">
        <f>L161*5</f>
        <v>5</v>
      </c>
      <c r="N161" s="14">
        <v>6</v>
      </c>
      <c r="O161" s="52" t="s">
        <v>901</v>
      </c>
      <c r="P161" s="15">
        <v>0.2046</v>
      </c>
      <c r="Q161" s="15">
        <f>P161*N161</f>
        <v>1.2276</v>
      </c>
      <c r="R161" s="14"/>
    </row>
    <row r="162" spans="1:18" ht="19.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60" t="s">
        <v>3</v>
      </c>
      <c r="O162" s="61"/>
      <c r="P162" s="61"/>
      <c r="Q162" s="18">
        <f>SUM(Q8:Q161)</f>
        <v>1070.0904999999998</v>
      </c>
      <c r="R162" s="1"/>
    </row>
    <row r="163" spans="1:18" ht="19.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60" t="s">
        <v>4</v>
      </c>
      <c r="O163" s="61"/>
      <c r="P163" s="61"/>
      <c r="Q163" s="19">
        <f>Q162/5</f>
        <v>214.01809999999995</v>
      </c>
      <c r="R163" s="1"/>
    </row>
    <row r="175" spans="1:18">
      <c r="M175" s="38"/>
    </row>
  </sheetData>
  <mergeCells count="3">
    <mergeCell ref="K1:R1"/>
    <mergeCell ref="N162:P162"/>
    <mergeCell ref="N163:P163"/>
  </mergeCells>
  <hyperlinks>
    <hyperlink ref="O8" r:id="rId1"/>
    <hyperlink ref="O9" r:id="rId2"/>
    <hyperlink ref="O10" r:id="rId3"/>
    <hyperlink ref="O11" r:id="rId4"/>
    <hyperlink ref="O12" r:id="rId5"/>
    <hyperlink ref="O13" r:id="rId6"/>
    <hyperlink ref="O14" r:id="rId7"/>
    <hyperlink ref="O16" r:id="rId8"/>
    <hyperlink ref="O17" r:id="rId9"/>
    <hyperlink ref="O18" r:id="rId10"/>
    <hyperlink ref="O20" r:id="rId11"/>
    <hyperlink ref="O21" r:id="rId12"/>
    <hyperlink ref="O22" r:id="rId13"/>
    <hyperlink ref="O23" r:id="rId14"/>
    <hyperlink ref="O24" r:id="rId15"/>
    <hyperlink ref="O25" r:id="rId16"/>
    <hyperlink ref="O26" r:id="rId17"/>
    <hyperlink ref="O27" r:id="rId18"/>
    <hyperlink ref="O28" r:id="rId19"/>
    <hyperlink ref="O29" r:id="rId20"/>
    <hyperlink ref="O30" r:id="rId21"/>
    <hyperlink ref="O31" r:id="rId22"/>
    <hyperlink ref="O32" r:id="rId23"/>
    <hyperlink ref="O33" r:id="rId24"/>
    <hyperlink ref="O35" r:id="rId25"/>
    <hyperlink ref="O36" r:id="rId26"/>
    <hyperlink ref="O37" r:id="rId27"/>
    <hyperlink ref="O38" r:id="rId28"/>
    <hyperlink ref="O39" r:id="rId29"/>
    <hyperlink ref="O40" r:id="rId30"/>
    <hyperlink ref="O41" r:id="rId31"/>
    <hyperlink ref="O43" r:id="rId32"/>
    <hyperlink ref="O34" r:id="rId33"/>
    <hyperlink ref="O47" r:id="rId34"/>
    <hyperlink ref="O48" r:id="rId35"/>
    <hyperlink ref="O49" r:id="rId36"/>
    <hyperlink ref="O50" r:id="rId37"/>
    <hyperlink ref="O51" r:id="rId38"/>
    <hyperlink ref="O52" r:id="rId39"/>
    <hyperlink ref="O53" r:id="rId40"/>
    <hyperlink ref="O54" r:id="rId41"/>
    <hyperlink ref="O55" r:id="rId42"/>
    <hyperlink ref="O56" r:id="rId43"/>
    <hyperlink ref="O57" r:id="rId44"/>
    <hyperlink ref="O58" r:id="rId45"/>
    <hyperlink ref="O59" r:id="rId46"/>
    <hyperlink ref="O60" r:id="rId47"/>
    <hyperlink ref="O61" r:id="rId48"/>
    <hyperlink ref="O62" r:id="rId49"/>
    <hyperlink ref="O63" r:id="rId50"/>
    <hyperlink ref="O64" r:id="rId51"/>
    <hyperlink ref="O65" r:id="rId52"/>
    <hyperlink ref="O67" r:id="rId53"/>
    <hyperlink ref="O68" r:id="rId54"/>
    <hyperlink ref="O69" r:id="rId55"/>
    <hyperlink ref="O70" r:id="rId56"/>
    <hyperlink ref="O71" r:id="rId57"/>
    <hyperlink ref="O72" r:id="rId58"/>
    <hyperlink ref="O73" r:id="rId59"/>
    <hyperlink ref="O74" r:id="rId60"/>
    <hyperlink ref="O75" r:id="rId61"/>
    <hyperlink ref="O76" r:id="rId62"/>
    <hyperlink ref="O77" r:id="rId63"/>
    <hyperlink ref="O78" r:id="rId64"/>
    <hyperlink ref="O79" r:id="rId65"/>
    <hyperlink ref="O80" r:id="rId66"/>
    <hyperlink ref="O81" r:id="rId67"/>
    <hyperlink ref="O82" r:id="rId68"/>
    <hyperlink ref="O83" r:id="rId69"/>
    <hyperlink ref="O84" r:id="rId70"/>
    <hyperlink ref="O85" r:id="rId71"/>
    <hyperlink ref="O86" r:id="rId72"/>
    <hyperlink ref="O87" r:id="rId73"/>
    <hyperlink ref="O88" r:id="rId74"/>
    <hyperlink ref="O89" r:id="rId75"/>
    <hyperlink ref="O90" r:id="rId76"/>
    <hyperlink ref="O91" r:id="rId77"/>
    <hyperlink ref="O92" r:id="rId78"/>
    <hyperlink ref="O93" r:id="rId79"/>
    <hyperlink ref="O94" r:id="rId80"/>
    <hyperlink ref="O95" r:id="rId81"/>
    <hyperlink ref="O96" r:id="rId82"/>
    <hyperlink ref="O97" r:id="rId83"/>
    <hyperlink ref="O98" r:id="rId84"/>
    <hyperlink ref="O99" r:id="rId85"/>
    <hyperlink ref="O100" r:id="rId86"/>
    <hyperlink ref="O101" r:id="rId87"/>
    <hyperlink ref="O102" r:id="rId88"/>
    <hyperlink ref="O103" r:id="rId89"/>
    <hyperlink ref="O104" r:id="rId90"/>
    <hyperlink ref="O105" r:id="rId91"/>
    <hyperlink ref="O106" r:id="rId92"/>
    <hyperlink ref="O107" r:id="rId93"/>
    <hyperlink ref="O108" r:id="rId94"/>
    <hyperlink ref="O109" r:id="rId95"/>
    <hyperlink ref="O111" r:id="rId96"/>
    <hyperlink ref="O112" r:id="rId97"/>
    <hyperlink ref="O113" r:id="rId98"/>
    <hyperlink ref="O114" r:id="rId99"/>
    <hyperlink ref="O115" r:id="rId100"/>
    <hyperlink ref="O116" r:id="rId101"/>
    <hyperlink ref="O117" r:id="rId102"/>
    <hyperlink ref="O118" r:id="rId103"/>
    <hyperlink ref="O119" r:id="rId104"/>
    <hyperlink ref="O120" r:id="rId105"/>
    <hyperlink ref="O121" r:id="rId106"/>
    <hyperlink ref="O122" r:id="rId107"/>
    <hyperlink ref="O123" r:id="rId108"/>
    <hyperlink ref="O124" r:id="rId109"/>
    <hyperlink ref="O125" r:id="rId110"/>
    <hyperlink ref="O126" r:id="rId111"/>
    <hyperlink ref="O110" r:id="rId112"/>
    <hyperlink ref="O128" r:id="rId113"/>
    <hyperlink ref="O129" r:id="rId114"/>
    <hyperlink ref="O130" r:id="rId115"/>
    <hyperlink ref="O131" r:id="rId116"/>
    <hyperlink ref="O132" r:id="rId117"/>
    <hyperlink ref="O133" r:id="rId118"/>
    <hyperlink ref="O134" r:id="rId119"/>
    <hyperlink ref="O135" r:id="rId120"/>
    <hyperlink ref="O136" r:id="rId121"/>
    <hyperlink ref="O137" r:id="rId122"/>
    <hyperlink ref="O138" r:id="rId123"/>
    <hyperlink ref="O139" r:id="rId124"/>
    <hyperlink ref="O140" r:id="rId125"/>
    <hyperlink ref="O141" r:id="rId126"/>
    <hyperlink ref="O142" r:id="rId127"/>
    <hyperlink ref="O143" r:id="rId128"/>
    <hyperlink ref="O144" r:id="rId129"/>
    <hyperlink ref="O145" r:id="rId130"/>
    <hyperlink ref="O146" r:id="rId131"/>
    <hyperlink ref="O147" r:id="rId132"/>
    <hyperlink ref="O148" r:id="rId133"/>
    <hyperlink ref="O149" r:id="rId134"/>
    <hyperlink ref="O150" r:id="rId135"/>
    <hyperlink ref="O151" r:id="rId136"/>
    <hyperlink ref="O152" r:id="rId137"/>
    <hyperlink ref="O153" r:id="rId138"/>
    <hyperlink ref="O154" r:id="rId139"/>
    <hyperlink ref="O155" r:id="rId140"/>
    <hyperlink ref="O156" r:id="rId141"/>
    <hyperlink ref="O157" r:id="rId142"/>
    <hyperlink ref="O158" r:id="rId143"/>
    <hyperlink ref="O159" r:id="rId144"/>
    <hyperlink ref="O160" r:id="rId145"/>
    <hyperlink ref="O161" r:id="rId146"/>
    <hyperlink ref="O66" r:id="rId147"/>
    <hyperlink ref="O42" r:id="rId148"/>
    <hyperlink ref="O44" r:id="rId149"/>
    <hyperlink ref="O45" r:id="rId150"/>
    <hyperlink ref="O46" r:id="rId151"/>
    <hyperlink ref="O15" r:id="rId152"/>
    <hyperlink ref="O19" r:id="rId153"/>
  </hyperlinks>
  <pageMargins left="0.7" right="0.7" top="0.75" bottom="0.75" header="0.3" footer="0.3"/>
  <pageSetup paperSize="9" orientation="portrait" r:id="rId15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3"/>
  <sheetViews>
    <sheetView tabSelected="1" topLeftCell="A106" workbookViewId="0">
      <selection activeCell="H124" sqref="H124"/>
    </sheetView>
  </sheetViews>
  <sheetFormatPr defaultRowHeight="15"/>
  <cols>
    <col min="2" max="2" width="4" bestFit="1" customWidth="1"/>
    <col min="3" max="3" width="12.42578125" customWidth="1"/>
    <col min="4" max="4" width="29.5703125" customWidth="1"/>
    <col min="5" max="5" width="27.5703125" customWidth="1"/>
    <col min="6" max="6" width="18.57031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8.57031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9.7109375" bestFit="1" customWidth="1"/>
    <col min="16" max="16" width="19.7109375" bestFit="1" customWidth="1"/>
    <col min="17" max="17" width="20.28515625" bestFit="1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59"/>
      <c r="L1" s="59"/>
      <c r="M1" s="59"/>
      <c r="N1" s="59"/>
      <c r="O1" s="59"/>
      <c r="P1" s="59"/>
      <c r="Q1" s="59"/>
      <c r="R1" s="59"/>
    </row>
    <row r="2" spans="1:18" ht="32.25" thickBot="1">
      <c r="A2" s="1"/>
      <c r="B2" s="7"/>
      <c r="C2" s="13"/>
      <c r="D2" s="4" t="s">
        <v>0</v>
      </c>
      <c r="E2" s="4"/>
      <c r="F2" s="40" t="s">
        <v>792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793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5</v>
      </c>
      <c r="D7" s="12" t="s">
        <v>40</v>
      </c>
      <c r="E7" s="12" t="s">
        <v>194</v>
      </c>
      <c r="F7" s="12" t="s">
        <v>345</v>
      </c>
      <c r="G7" s="12" t="s">
        <v>420</v>
      </c>
      <c r="H7" s="12" t="s">
        <v>542</v>
      </c>
      <c r="I7" s="12" t="s">
        <v>796</v>
      </c>
      <c r="J7" s="12" t="s">
        <v>590</v>
      </c>
      <c r="K7" s="42" t="s">
        <v>795</v>
      </c>
      <c r="L7" s="12" t="s">
        <v>791</v>
      </c>
      <c r="M7" s="12" t="s">
        <v>914</v>
      </c>
      <c r="N7" s="12" t="s">
        <v>919</v>
      </c>
      <c r="O7" s="12" t="s">
        <v>799</v>
      </c>
      <c r="P7" s="12" t="s">
        <v>920</v>
      </c>
      <c r="Q7" s="12" t="s">
        <v>921</v>
      </c>
      <c r="R7" s="12" t="s">
        <v>802</v>
      </c>
    </row>
    <row r="8" spans="1:18">
      <c r="A8" s="1"/>
      <c r="B8" s="16">
        <f>ROW(B8) - ROW($B$7)</f>
        <v>1</v>
      </c>
      <c r="C8" s="22" t="s">
        <v>6</v>
      </c>
      <c r="D8" s="14" t="s">
        <v>41</v>
      </c>
      <c r="E8" s="14" t="s">
        <v>195</v>
      </c>
      <c r="F8" s="14" t="s">
        <v>804</v>
      </c>
      <c r="G8" s="14" t="s">
        <v>421</v>
      </c>
      <c r="H8" s="14" t="s">
        <v>543</v>
      </c>
      <c r="I8" s="14" t="s">
        <v>622</v>
      </c>
      <c r="J8" s="14" t="s">
        <v>591</v>
      </c>
      <c r="K8" s="43" t="s">
        <v>729</v>
      </c>
      <c r="L8" s="14">
        <v>1</v>
      </c>
      <c r="M8" s="14">
        <f>L8*25</f>
        <v>25</v>
      </c>
      <c r="N8" s="14">
        <v>30</v>
      </c>
      <c r="O8" s="52" t="s">
        <v>838</v>
      </c>
      <c r="P8" s="15" t="s">
        <v>810</v>
      </c>
      <c r="Q8" s="15">
        <f>P8*N8</f>
        <v>7.3140000000000001</v>
      </c>
      <c r="R8" s="14"/>
    </row>
    <row r="9" spans="1:18" ht="48">
      <c r="A9" s="1"/>
      <c r="B9" s="17">
        <f t="shared" ref="B9:B160" si="0">ROW(B9) - ROW($B$7)</f>
        <v>2</v>
      </c>
      <c r="C9" s="23" t="s">
        <v>6</v>
      </c>
      <c r="D9" s="20" t="s">
        <v>42</v>
      </c>
      <c r="E9" s="20" t="s">
        <v>196</v>
      </c>
      <c r="F9" s="20" t="s">
        <v>804</v>
      </c>
      <c r="G9" s="20" t="s">
        <v>346</v>
      </c>
      <c r="H9" s="20" t="s">
        <v>544</v>
      </c>
      <c r="I9" s="14" t="s">
        <v>622</v>
      </c>
      <c r="J9" s="20" t="s">
        <v>592</v>
      </c>
      <c r="K9" s="44" t="s">
        <v>730</v>
      </c>
      <c r="L9" s="20">
        <v>1</v>
      </c>
      <c r="M9" s="14">
        <f t="shared" ref="M9:M71" si="1">L9*25</f>
        <v>25</v>
      </c>
      <c r="N9" s="20">
        <v>30</v>
      </c>
      <c r="O9" s="52" t="s">
        <v>838</v>
      </c>
      <c r="P9" s="21" t="s">
        <v>811</v>
      </c>
      <c r="Q9" s="21">
        <f t="shared" ref="Q9" si="2">P9*N9</f>
        <v>0.81900000000000006</v>
      </c>
      <c r="R9" s="20"/>
    </row>
    <row r="10" spans="1:18">
      <c r="A10" s="1"/>
      <c r="B10" s="16">
        <f>ROW(B10) - ROW($B$7)</f>
        <v>3</v>
      </c>
      <c r="C10" s="23" t="s">
        <v>6</v>
      </c>
      <c r="D10" s="14" t="s">
        <v>43</v>
      </c>
      <c r="E10" s="14" t="s">
        <v>197</v>
      </c>
      <c r="F10" s="14" t="s">
        <v>347</v>
      </c>
      <c r="G10" s="14" t="s">
        <v>422</v>
      </c>
      <c r="H10" s="14" t="s">
        <v>545</v>
      </c>
      <c r="I10" s="14" t="s">
        <v>622</v>
      </c>
      <c r="J10" s="14" t="s">
        <v>593</v>
      </c>
      <c r="K10" s="43" t="s">
        <v>731</v>
      </c>
      <c r="L10" s="14">
        <v>1</v>
      </c>
      <c r="M10" s="14">
        <f t="shared" si="1"/>
        <v>25</v>
      </c>
      <c r="N10" s="14">
        <v>50</v>
      </c>
      <c r="O10" s="52" t="s">
        <v>838</v>
      </c>
      <c r="P10" s="15" t="s">
        <v>812</v>
      </c>
      <c r="Q10" s="15">
        <f>P10*N10</f>
        <v>0.61</v>
      </c>
      <c r="R10" s="14"/>
    </row>
    <row r="11" spans="1:18" ht="24">
      <c r="A11" s="1"/>
      <c r="B11" s="17">
        <f t="shared" si="0"/>
        <v>4</v>
      </c>
      <c r="C11" s="23" t="s">
        <v>6</v>
      </c>
      <c r="D11" s="20" t="s">
        <v>44</v>
      </c>
      <c r="E11" s="20" t="s">
        <v>198</v>
      </c>
      <c r="F11" s="20" t="s">
        <v>347</v>
      </c>
      <c r="G11" s="20" t="s">
        <v>423</v>
      </c>
      <c r="H11" s="20" t="s">
        <v>546</v>
      </c>
      <c r="I11" s="14" t="s">
        <v>622</v>
      </c>
      <c r="J11" s="20" t="s">
        <v>594</v>
      </c>
      <c r="K11" s="44" t="s">
        <v>732</v>
      </c>
      <c r="L11" s="20">
        <v>9</v>
      </c>
      <c r="M11" s="14">
        <f t="shared" si="1"/>
        <v>225</v>
      </c>
      <c r="N11" s="20">
        <v>250</v>
      </c>
      <c r="O11" s="52" t="s">
        <v>838</v>
      </c>
      <c r="P11" s="21">
        <v>8.7900000000000006E-2</v>
      </c>
      <c r="Q11" s="21">
        <f t="shared" ref="Q11" si="3">P11*N11</f>
        <v>21.975000000000001</v>
      </c>
      <c r="R11" s="20"/>
    </row>
    <row r="12" spans="1:18">
      <c r="A12" s="1"/>
      <c r="B12" s="16">
        <f>ROW(B12) - ROW($B$7)</f>
        <v>5</v>
      </c>
      <c r="C12" s="23" t="s">
        <v>6</v>
      </c>
      <c r="D12" s="14" t="s">
        <v>45</v>
      </c>
      <c r="E12" s="14" t="s">
        <v>199</v>
      </c>
      <c r="F12" s="14" t="s">
        <v>348</v>
      </c>
      <c r="G12" s="14" t="s">
        <v>424</v>
      </c>
      <c r="H12" s="14" t="s">
        <v>547</v>
      </c>
      <c r="I12" s="14" t="s">
        <v>622</v>
      </c>
      <c r="J12" s="14" t="s">
        <v>595</v>
      </c>
      <c r="K12" s="43" t="s">
        <v>733</v>
      </c>
      <c r="L12" s="14">
        <v>4</v>
      </c>
      <c r="M12" s="14">
        <f t="shared" si="1"/>
        <v>100</v>
      </c>
      <c r="N12" s="14">
        <v>150</v>
      </c>
      <c r="O12" s="52" t="s">
        <v>838</v>
      </c>
      <c r="P12" s="15" t="s">
        <v>813</v>
      </c>
      <c r="Q12" s="15">
        <f>P12*N12</f>
        <v>0.55500000000000005</v>
      </c>
      <c r="R12" s="14"/>
    </row>
    <row r="13" spans="1:18" ht="24">
      <c r="A13" s="1"/>
      <c r="B13" s="17">
        <f t="shared" si="0"/>
        <v>6</v>
      </c>
      <c r="C13" s="23" t="s">
        <v>6</v>
      </c>
      <c r="D13" s="20" t="s">
        <v>46</v>
      </c>
      <c r="E13" s="20" t="s">
        <v>200</v>
      </c>
      <c r="F13" s="20" t="s">
        <v>348</v>
      </c>
      <c r="G13" s="44" t="s">
        <v>805</v>
      </c>
      <c r="H13" s="14" t="s">
        <v>547</v>
      </c>
      <c r="I13" s="20" t="s">
        <v>622</v>
      </c>
      <c r="J13" s="20" t="s">
        <v>596</v>
      </c>
      <c r="K13" s="45" t="s">
        <v>734</v>
      </c>
      <c r="L13" s="20">
        <v>13</v>
      </c>
      <c r="M13" s="14">
        <f t="shared" si="1"/>
        <v>325</v>
      </c>
      <c r="N13" s="20">
        <v>400</v>
      </c>
      <c r="O13" s="52" t="s">
        <v>838</v>
      </c>
      <c r="P13" s="21" t="s">
        <v>814</v>
      </c>
      <c r="Q13" s="21">
        <f t="shared" ref="Q13" si="4">P13*N13</f>
        <v>2.2399999999999998</v>
      </c>
      <c r="R13" s="20"/>
    </row>
    <row r="14" spans="1:18">
      <c r="A14" s="1"/>
      <c r="B14" s="16">
        <f>ROW(B14) - ROW($B$7)</f>
        <v>7</v>
      </c>
      <c r="C14" s="23" t="s">
        <v>6</v>
      </c>
      <c r="D14" s="14" t="s">
        <v>47</v>
      </c>
      <c r="E14" s="14" t="s">
        <v>201</v>
      </c>
      <c r="F14" s="14" t="s">
        <v>349</v>
      </c>
      <c r="G14" s="14" t="s">
        <v>425</v>
      </c>
      <c r="H14" s="14" t="s">
        <v>548</v>
      </c>
      <c r="I14" s="14" t="s">
        <v>622</v>
      </c>
      <c r="J14" s="14" t="s">
        <v>597</v>
      </c>
      <c r="K14" s="43" t="s">
        <v>735</v>
      </c>
      <c r="L14" s="14">
        <v>3</v>
      </c>
      <c r="M14" s="14">
        <f t="shared" si="1"/>
        <v>75</v>
      </c>
      <c r="N14" s="14">
        <v>80</v>
      </c>
      <c r="O14" s="52" t="s">
        <v>838</v>
      </c>
      <c r="P14" s="15" t="s">
        <v>815</v>
      </c>
      <c r="Q14" s="15">
        <f>P14*N14</f>
        <v>3.5199999999999996</v>
      </c>
      <c r="R14" s="14"/>
    </row>
    <row r="15" spans="1:18">
      <c r="A15" s="1"/>
      <c r="B15" s="17">
        <f t="shared" si="0"/>
        <v>8</v>
      </c>
      <c r="C15" s="23" t="s">
        <v>6</v>
      </c>
      <c r="D15" s="20" t="s">
        <v>48</v>
      </c>
      <c r="E15" s="20" t="s">
        <v>202</v>
      </c>
      <c r="F15" s="20" t="s">
        <v>349</v>
      </c>
      <c r="G15" s="47" t="s">
        <v>426</v>
      </c>
      <c r="H15" s="20" t="s">
        <v>545</v>
      </c>
      <c r="I15" s="14" t="s">
        <v>426</v>
      </c>
      <c r="J15" s="20" t="s">
        <v>915</v>
      </c>
      <c r="K15" s="44" t="s">
        <v>736</v>
      </c>
      <c r="L15" s="20">
        <v>4</v>
      </c>
      <c r="M15" s="14">
        <f t="shared" si="1"/>
        <v>100</v>
      </c>
      <c r="N15" s="20">
        <v>120</v>
      </c>
      <c r="O15" s="52" t="s">
        <v>838</v>
      </c>
      <c r="P15" s="21">
        <v>2.4400000000000002E-2</v>
      </c>
      <c r="Q15" s="21">
        <f t="shared" ref="Q15" si="5">P15*N15</f>
        <v>2.9280000000000004</v>
      </c>
      <c r="R15" s="20"/>
    </row>
    <row r="16" spans="1:18">
      <c r="A16" s="1"/>
      <c r="B16" s="16">
        <f>ROW(B16) - ROW($B$7)</f>
        <v>9</v>
      </c>
      <c r="C16" s="23" t="s">
        <v>6</v>
      </c>
      <c r="D16" s="14" t="s">
        <v>49</v>
      </c>
      <c r="E16" s="14" t="s">
        <v>203</v>
      </c>
      <c r="F16" s="14" t="s">
        <v>349</v>
      </c>
      <c r="G16" s="14" t="s">
        <v>427</v>
      </c>
      <c r="H16" s="14" t="s">
        <v>546</v>
      </c>
      <c r="I16" s="14" t="s">
        <v>622</v>
      </c>
      <c r="J16" s="14" t="s">
        <v>598</v>
      </c>
      <c r="K16" s="43" t="s">
        <v>730</v>
      </c>
      <c r="L16" s="14">
        <v>3</v>
      </c>
      <c r="M16" s="14">
        <f t="shared" si="1"/>
        <v>75</v>
      </c>
      <c r="N16" s="14">
        <v>80</v>
      </c>
      <c r="O16" s="52" t="s">
        <v>838</v>
      </c>
      <c r="P16" s="15">
        <v>0.22439999999999999</v>
      </c>
      <c r="Q16" s="15">
        <f>P16*N16</f>
        <v>17.951999999999998</v>
      </c>
      <c r="R16" s="14"/>
    </row>
    <row r="17" spans="1:18">
      <c r="A17" s="1"/>
      <c r="B17" s="17">
        <f t="shared" si="0"/>
        <v>10</v>
      </c>
      <c r="C17" s="23" t="s">
        <v>6</v>
      </c>
      <c r="D17" s="20" t="s">
        <v>50</v>
      </c>
      <c r="E17" s="20" t="s">
        <v>204</v>
      </c>
      <c r="F17" s="20" t="s">
        <v>350</v>
      </c>
      <c r="G17" s="20" t="s">
        <v>428</v>
      </c>
      <c r="H17" s="20" t="s">
        <v>545</v>
      </c>
      <c r="I17" s="14" t="s">
        <v>622</v>
      </c>
      <c r="J17" s="20" t="s">
        <v>599</v>
      </c>
      <c r="K17" s="44" t="s">
        <v>737</v>
      </c>
      <c r="L17" s="20">
        <v>1</v>
      </c>
      <c r="M17" s="14">
        <f t="shared" si="1"/>
        <v>25</v>
      </c>
      <c r="N17" s="20">
        <v>100</v>
      </c>
      <c r="O17" s="52" t="s">
        <v>838</v>
      </c>
      <c r="P17" s="21" t="s">
        <v>817</v>
      </c>
      <c r="Q17" s="21">
        <f t="shared" ref="Q17" si="6">P17*N17</f>
        <v>0.15</v>
      </c>
      <c r="R17" s="20"/>
    </row>
    <row r="18" spans="1:18">
      <c r="A18" s="1"/>
      <c r="B18" s="16">
        <f>ROW(B18) - ROW($B$7)</f>
        <v>11</v>
      </c>
      <c r="C18" s="23" t="s">
        <v>6</v>
      </c>
      <c r="D18" s="14" t="s">
        <v>51</v>
      </c>
      <c r="E18" s="14" t="s">
        <v>205</v>
      </c>
      <c r="F18" s="14" t="s">
        <v>350</v>
      </c>
      <c r="G18" s="14" t="s">
        <v>429</v>
      </c>
      <c r="H18" s="14" t="s">
        <v>546</v>
      </c>
      <c r="I18" s="14" t="s">
        <v>622</v>
      </c>
      <c r="J18" s="14" t="s">
        <v>600</v>
      </c>
      <c r="K18" s="43" t="s">
        <v>738</v>
      </c>
      <c r="L18" s="14">
        <v>2</v>
      </c>
      <c r="M18" s="14">
        <f t="shared" si="1"/>
        <v>50</v>
      </c>
      <c r="N18" s="14">
        <v>100</v>
      </c>
      <c r="O18" s="52" t="s">
        <v>838</v>
      </c>
      <c r="P18" s="15" t="s">
        <v>818</v>
      </c>
      <c r="Q18" s="15">
        <f>P18*N18</f>
        <v>1.76</v>
      </c>
      <c r="R18" s="14"/>
    </row>
    <row r="19" spans="1:18">
      <c r="A19" s="1"/>
      <c r="B19" s="17">
        <f t="shared" si="0"/>
        <v>12</v>
      </c>
      <c r="C19" s="23" t="s">
        <v>6</v>
      </c>
      <c r="D19" s="20" t="s">
        <v>52</v>
      </c>
      <c r="E19" s="20" t="s">
        <v>206</v>
      </c>
      <c r="F19" s="20" t="s">
        <v>350</v>
      </c>
      <c r="G19" s="47" t="s">
        <v>430</v>
      </c>
      <c r="H19" s="20" t="s">
        <v>545</v>
      </c>
      <c r="I19" s="14" t="s">
        <v>917</v>
      </c>
      <c r="J19" s="20" t="s">
        <v>916</v>
      </c>
      <c r="K19" s="44" t="s">
        <v>735</v>
      </c>
      <c r="L19" s="20">
        <v>5</v>
      </c>
      <c r="M19" s="14">
        <f t="shared" si="1"/>
        <v>125</v>
      </c>
      <c r="N19" s="20">
        <v>150</v>
      </c>
      <c r="O19" s="52" t="s">
        <v>838</v>
      </c>
      <c r="P19" s="21">
        <v>5.5999999999999999E-3</v>
      </c>
      <c r="Q19" s="21">
        <f t="shared" ref="Q19" si="7">P19*N19</f>
        <v>0.84</v>
      </c>
      <c r="R19" s="20"/>
    </row>
    <row r="20" spans="1:18" ht="96">
      <c r="A20" s="1"/>
      <c r="B20" s="16">
        <f>ROW(B20) - ROW($B$7)</f>
        <v>13</v>
      </c>
      <c r="C20" s="23" t="s">
        <v>6</v>
      </c>
      <c r="D20" s="14" t="s">
        <v>53</v>
      </c>
      <c r="E20" s="14" t="s">
        <v>207</v>
      </c>
      <c r="F20" s="14" t="s">
        <v>350</v>
      </c>
      <c r="G20" s="14" t="s">
        <v>431</v>
      </c>
      <c r="H20" s="14" t="s">
        <v>545</v>
      </c>
      <c r="I20" s="14" t="s">
        <v>622</v>
      </c>
      <c r="J20" s="14" t="s">
        <v>601</v>
      </c>
      <c r="K20" s="43" t="s">
        <v>734</v>
      </c>
      <c r="L20" s="14">
        <v>62</v>
      </c>
      <c r="M20" s="14">
        <f t="shared" si="1"/>
        <v>1550</v>
      </c>
      <c r="N20" s="14">
        <v>1600</v>
      </c>
      <c r="O20" s="52" t="s">
        <v>838</v>
      </c>
      <c r="P20" s="15">
        <v>1.1999999999999999E-3</v>
      </c>
      <c r="Q20" s="15">
        <f>P20*N20</f>
        <v>1.92</v>
      </c>
      <c r="R20" s="14"/>
    </row>
    <row r="21" spans="1:18">
      <c r="A21" s="1"/>
      <c r="B21" s="17">
        <f t="shared" si="0"/>
        <v>14</v>
      </c>
      <c r="C21" s="23" t="s">
        <v>6</v>
      </c>
      <c r="D21" s="20" t="s">
        <v>918</v>
      </c>
      <c r="E21" s="20" t="s">
        <v>208</v>
      </c>
      <c r="F21" s="20" t="s">
        <v>350</v>
      </c>
      <c r="G21" s="20" t="s">
        <v>432</v>
      </c>
      <c r="H21" s="20" t="s">
        <v>545</v>
      </c>
      <c r="I21" s="14" t="s">
        <v>622</v>
      </c>
      <c r="J21" s="20" t="s">
        <v>602</v>
      </c>
      <c r="K21" s="44" t="s">
        <v>733</v>
      </c>
      <c r="L21" s="20">
        <v>5</v>
      </c>
      <c r="M21" s="14">
        <f t="shared" si="1"/>
        <v>125</v>
      </c>
      <c r="N21" s="20">
        <v>200</v>
      </c>
      <c r="O21" s="52" t="s">
        <v>838</v>
      </c>
      <c r="P21" s="21" t="s">
        <v>820</v>
      </c>
      <c r="Q21" s="21">
        <f t="shared" ref="Q21" si="8">P21*N21</f>
        <v>0.76</v>
      </c>
      <c r="R21" s="20"/>
    </row>
    <row r="22" spans="1:18">
      <c r="A22" s="1"/>
      <c r="B22" s="16">
        <f>ROW(B22) - ROW($B$7)</f>
        <v>15</v>
      </c>
      <c r="C22" s="23" t="s">
        <v>6</v>
      </c>
      <c r="D22" s="14" t="s">
        <v>54</v>
      </c>
      <c r="E22" s="14" t="s">
        <v>209</v>
      </c>
      <c r="F22" s="14" t="s">
        <v>351</v>
      </c>
      <c r="G22" s="14" t="s">
        <v>433</v>
      </c>
      <c r="H22" s="14" t="s">
        <v>545</v>
      </c>
      <c r="I22" s="14" t="s">
        <v>622</v>
      </c>
      <c r="J22" s="14" t="s">
        <v>603</v>
      </c>
      <c r="K22" s="43" t="s">
        <v>739</v>
      </c>
      <c r="L22" s="14">
        <v>6</v>
      </c>
      <c r="M22" s="14">
        <f t="shared" si="1"/>
        <v>150</v>
      </c>
      <c r="N22" s="14">
        <v>200</v>
      </c>
      <c r="O22" s="52" t="s">
        <v>838</v>
      </c>
      <c r="P22" s="15" t="s">
        <v>821</v>
      </c>
      <c r="Q22" s="15">
        <f>P22*N22</f>
        <v>0.2</v>
      </c>
      <c r="R22" s="14"/>
    </row>
    <row r="23" spans="1:18">
      <c r="A23" s="1"/>
      <c r="B23" s="17">
        <f t="shared" si="0"/>
        <v>16</v>
      </c>
      <c r="C23" s="23" t="s">
        <v>6</v>
      </c>
      <c r="D23" s="20" t="s">
        <v>55</v>
      </c>
      <c r="E23" s="20" t="s">
        <v>210</v>
      </c>
      <c r="F23" s="20" t="s">
        <v>350</v>
      </c>
      <c r="G23" s="20" t="s">
        <v>434</v>
      </c>
      <c r="H23" s="20" t="s">
        <v>545</v>
      </c>
      <c r="I23" s="14" t="s">
        <v>622</v>
      </c>
      <c r="J23" s="20" t="s">
        <v>604</v>
      </c>
      <c r="K23" s="44" t="s">
        <v>732</v>
      </c>
      <c r="L23" s="20">
        <v>1</v>
      </c>
      <c r="M23" s="14">
        <f t="shared" si="1"/>
        <v>25</v>
      </c>
      <c r="N23" s="20">
        <v>40</v>
      </c>
      <c r="O23" s="52" t="s">
        <v>838</v>
      </c>
      <c r="P23" s="21" t="s">
        <v>822</v>
      </c>
      <c r="Q23" s="21">
        <f t="shared" ref="Q23" si="9">P23*N23</f>
        <v>0.94</v>
      </c>
      <c r="R23" s="20"/>
    </row>
    <row r="24" spans="1:18" ht="36">
      <c r="A24" s="1"/>
      <c r="B24" s="16">
        <f>ROW(B24) - ROW($B$7)</f>
        <v>17</v>
      </c>
      <c r="C24" s="23" t="s">
        <v>6</v>
      </c>
      <c r="D24" s="14" t="s">
        <v>56</v>
      </c>
      <c r="E24" s="14" t="s">
        <v>211</v>
      </c>
      <c r="F24" s="14" t="s">
        <v>350</v>
      </c>
      <c r="G24" s="14" t="s">
        <v>435</v>
      </c>
      <c r="H24" s="14" t="s">
        <v>549</v>
      </c>
      <c r="I24" s="14" t="s">
        <v>622</v>
      </c>
      <c r="J24" s="14" t="s">
        <v>605</v>
      </c>
      <c r="K24" s="43" t="s">
        <v>740</v>
      </c>
      <c r="L24" s="14">
        <v>2</v>
      </c>
      <c r="M24" s="14">
        <f t="shared" si="1"/>
        <v>50</v>
      </c>
      <c r="N24" s="14">
        <v>100</v>
      </c>
      <c r="O24" s="52" t="s">
        <v>838</v>
      </c>
      <c r="P24" s="15" t="s">
        <v>823</v>
      </c>
      <c r="Q24" s="15">
        <f>P24*N24</f>
        <v>0.44</v>
      </c>
      <c r="R24" s="14"/>
    </row>
    <row r="25" spans="1:18">
      <c r="A25" s="1"/>
      <c r="B25" s="16">
        <f>ROW(B25) - ROW($B$7)</f>
        <v>18</v>
      </c>
      <c r="C25" s="23" t="s">
        <v>6</v>
      </c>
      <c r="D25" s="14" t="s">
        <v>57</v>
      </c>
      <c r="E25" s="14" t="s">
        <v>212</v>
      </c>
      <c r="F25" s="14" t="s">
        <v>349</v>
      </c>
      <c r="G25" s="14" t="s">
        <v>436</v>
      </c>
      <c r="H25" s="14" t="s">
        <v>545</v>
      </c>
      <c r="I25" s="14" t="s">
        <v>622</v>
      </c>
      <c r="J25" s="14" t="s">
        <v>606</v>
      </c>
      <c r="K25" s="43" t="s">
        <v>741</v>
      </c>
      <c r="L25" s="14">
        <v>1</v>
      </c>
      <c r="M25" s="14">
        <f t="shared" si="1"/>
        <v>25</v>
      </c>
      <c r="N25" s="14">
        <v>50</v>
      </c>
      <c r="O25" s="52" t="s">
        <v>838</v>
      </c>
      <c r="P25" s="15" t="s">
        <v>824</v>
      </c>
      <c r="Q25" s="15">
        <f>P25*N25</f>
        <v>0.59500000000000008</v>
      </c>
      <c r="R25" s="14"/>
    </row>
    <row r="26" spans="1:18" ht="24">
      <c r="A26" s="1"/>
      <c r="B26" s="17">
        <f t="shared" si="0"/>
        <v>19</v>
      </c>
      <c r="C26" s="23" t="s">
        <v>6</v>
      </c>
      <c r="D26" s="20" t="s">
        <v>58</v>
      </c>
      <c r="E26" s="20" t="s">
        <v>213</v>
      </c>
      <c r="F26" s="20" t="s">
        <v>350</v>
      </c>
      <c r="G26" s="20" t="s">
        <v>437</v>
      </c>
      <c r="H26" s="20" t="s">
        <v>546</v>
      </c>
      <c r="I26" s="14" t="s">
        <v>622</v>
      </c>
      <c r="J26" s="20" t="s">
        <v>607</v>
      </c>
      <c r="K26" s="44" t="s">
        <v>742</v>
      </c>
      <c r="L26" s="20">
        <v>8</v>
      </c>
      <c r="M26" s="14" t="s">
        <v>922</v>
      </c>
      <c r="N26" s="20">
        <v>300</v>
      </c>
      <c r="O26" s="52" t="s">
        <v>838</v>
      </c>
      <c r="P26" s="21" t="s">
        <v>825</v>
      </c>
      <c r="Q26" s="21">
        <f t="shared" ref="Q26" si="10">P26*N26</f>
        <v>0.6</v>
      </c>
      <c r="R26" s="20"/>
    </row>
    <row r="27" spans="1:18">
      <c r="A27" s="1"/>
      <c r="B27" s="16">
        <f>ROW(B27) - ROW($B$7)</f>
        <v>20</v>
      </c>
      <c r="C27" s="23" t="s">
        <v>6</v>
      </c>
      <c r="D27" s="14" t="s">
        <v>59</v>
      </c>
      <c r="E27" s="14" t="s">
        <v>214</v>
      </c>
      <c r="F27" s="14" t="s">
        <v>350</v>
      </c>
      <c r="G27" s="14" t="s">
        <v>438</v>
      </c>
      <c r="H27" s="14" t="s">
        <v>545</v>
      </c>
      <c r="I27" s="14" t="s">
        <v>622</v>
      </c>
      <c r="J27" s="14" t="s">
        <v>608</v>
      </c>
      <c r="K27" s="43" t="s">
        <v>731</v>
      </c>
      <c r="L27" s="14">
        <v>2</v>
      </c>
      <c r="M27" s="14">
        <f t="shared" si="1"/>
        <v>50</v>
      </c>
      <c r="N27" s="14">
        <v>100</v>
      </c>
      <c r="O27" s="52" t="s">
        <v>838</v>
      </c>
      <c r="P27" s="15" t="s">
        <v>826</v>
      </c>
      <c r="Q27" s="15">
        <f>P27*N27</f>
        <v>0.27999999999999997</v>
      </c>
      <c r="R27" s="14"/>
    </row>
    <row r="28" spans="1:18">
      <c r="A28" s="1"/>
      <c r="B28" s="17">
        <f t="shared" si="0"/>
        <v>21</v>
      </c>
      <c r="C28" s="23" t="s">
        <v>6</v>
      </c>
      <c r="D28" s="20" t="s">
        <v>60</v>
      </c>
      <c r="E28" s="20" t="s">
        <v>215</v>
      </c>
      <c r="F28" s="14" t="s">
        <v>350</v>
      </c>
      <c r="G28" s="20" t="s">
        <v>439</v>
      </c>
      <c r="H28" s="20" t="s">
        <v>545</v>
      </c>
      <c r="I28" s="14" t="s">
        <v>622</v>
      </c>
      <c r="J28" s="20" t="s">
        <v>609</v>
      </c>
      <c r="K28" s="43" t="s">
        <v>743</v>
      </c>
      <c r="L28" s="20">
        <v>2</v>
      </c>
      <c r="M28" s="14">
        <f t="shared" si="1"/>
        <v>50</v>
      </c>
      <c r="N28" s="20">
        <v>100</v>
      </c>
      <c r="O28" s="52" t="s">
        <v>838</v>
      </c>
      <c r="P28" s="21" t="s">
        <v>827</v>
      </c>
      <c r="Q28" s="21">
        <f t="shared" ref="Q28" si="11">P28*N28</f>
        <v>0.21</v>
      </c>
      <c r="R28" s="20"/>
    </row>
    <row r="29" spans="1:18">
      <c r="A29" s="1"/>
      <c r="B29" s="16">
        <f>ROW(B29) - ROW($B$7)</f>
        <v>22</v>
      </c>
      <c r="C29" s="23" t="s">
        <v>6</v>
      </c>
      <c r="D29" s="14" t="s">
        <v>61</v>
      </c>
      <c r="E29" s="14" t="s">
        <v>216</v>
      </c>
      <c r="F29" s="20" t="s">
        <v>348</v>
      </c>
      <c r="G29" s="14" t="s">
        <v>440</v>
      </c>
      <c r="H29" s="14" t="s">
        <v>545</v>
      </c>
      <c r="I29" s="14" t="s">
        <v>622</v>
      </c>
      <c r="J29" s="14" t="s">
        <v>610</v>
      </c>
      <c r="K29" s="44" t="s">
        <v>744</v>
      </c>
      <c r="L29" s="14">
        <v>1</v>
      </c>
      <c r="M29" s="14">
        <f t="shared" si="1"/>
        <v>25</v>
      </c>
      <c r="N29" s="14">
        <v>100</v>
      </c>
      <c r="O29" s="52" t="s">
        <v>838</v>
      </c>
      <c r="P29" s="15" t="s">
        <v>825</v>
      </c>
      <c r="Q29" s="15">
        <f>P29*N29</f>
        <v>0.2</v>
      </c>
      <c r="R29" s="14"/>
    </row>
    <row r="30" spans="1:18">
      <c r="A30" s="1"/>
      <c r="B30" s="17">
        <f t="shared" si="0"/>
        <v>23</v>
      </c>
      <c r="C30" s="23" t="s">
        <v>6</v>
      </c>
      <c r="D30" s="20" t="s">
        <v>62</v>
      </c>
      <c r="E30" s="20" t="s">
        <v>217</v>
      </c>
      <c r="F30" s="14" t="s">
        <v>348</v>
      </c>
      <c r="G30" s="20" t="s">
        <v>441</v>
      </c>
      <c r="H30" s="20" t="s">
        <v>550</v>
      </c>
      <c r="I30" s="14" t="s">
        <v>622</v>
      </c>
      <c r="J30" s="20" t="s">
        <v>611</v>
      </c>
      <c r="K30" s="43" t="s">
        <v>745</v>
      </c>
      <c r="L30" s="20">
        <v>1</v>
      </c>
      <c r="M30" s="14">
        <f t="shared" si="1"/>
        <v>25</v>
      </c>
      <c r="N30" s="20">
        <v>100</v>
      </c>
      <c r="O30" s="52" t="s">
        <v>838</v>
      </c>
      <c r="P30" s="21" t="s">
        <v>826</v>
      </c>
      <c r="Q30" s="21">
        <f t="shared" ref="Q30" si="12">P30*N30</f>
        <v>0.27999999999999997</v>
      </c>
      <c r="R30" s="20"/>
    </row>
    <row r="31" spans="1:18">
      <c r="A31" s="1"/>
      <c r="B31" s="16">
        <f>ROW(B31) - ROW($B$7)</f>
        <v>24</v>
      </c>
      <c r="C31" s="23" t="s">
        <v>6</v>
      </c>
      <c r="D31" s="14" t="s">
        <v>63</v>
      </c>
      <c r="E31" s="14" t="s">
        <v>218</v>
      </c>
      <c r="F31" s="20" t="s">
        <v>348</v>
      </c>
      <c r="G31" s="14" t="s">
        <v>442</v>
      </c>
      <c r="H31" s="14" t="s">
        <v>546</v>
      </c>
      <c r="I31" s="14" t="s">
        <v>622</v>
      </c>
      <c r="J31" s="14" t="s">
        <v>612</v>
      </c>
      <c r="K31" s="44" t="s">
        <v>746</v>
      </c>
      <c r="L31" s="14">
        <v>1</v>
      </c>
      <c r="M31" s="14">
        <f t="shared" si="1"/>
        <v>25</v>
      </c>
      <c r="N31" s="14">
        <v>50</v>
      </c>
      <c r="O31" s="52" t="s">
        <v>838</v>
      </c>
      <c r="P31" s="15" t="s">
        <v>828</v>
      </c>
      <c r="Q31" s="15">
        <f>P31*N31</f>
        <v>0.75</v>
      </c>
      <c r="R31" s="14"/>
    </row>
    <row r="32" spans="1:18">
      <c r="A32" s="1"/>
      <c r="B32" s="17">
        <f t="shared" si="0"/>
        <v>25</v>
      </c>
      <c r="C32" s="23" t="s">
        <v>6</v>
      </c>
      <c r="D32" s="20" t="s">
        <v>64</v>
      </c>
      <c r="E32" s="20" t="s">
        <v>219</v>
      </c>
      <c r="F32" s="14" t="s">
        <v>350</v>
      </c>
      <c r="G32" s="20" t="s">
        <v>443</v>
      </c>
      <c r="H32" s="20" t="s">
        <v>545</v>
      </c>
      <c r="I32" s="14" t="s">
        <v>622</v>
      </c>
      <c r="J32" s="20" t="s">
        <v>613</v>
      </c>
      <c r="K32" s="43" t="s">
        <v>747</v>
      </c>
      <c r="L32" s="20">
        <v>1</v>
      </c>
      <c r="M32" s="14">
        <f t="shared" si="1"/>
        <v>25</v>
      </c>
      <c r="N32" s="20">
        <v>100</v>
      </c>
      <c r="O32" s="52" t="s">
        <v>838</v>
      </c>
      <c r="P32" s="21" t="s">
        <v>829</v>
      </c>
      <c r="Q32" s="21">
        <f t="shared" ref="Q32" si="13">P32*N32</f>
        <v>0.11</v>
      </c>
      <c r="R32" s="20"/>
    </row>
    <row r="33" spans="1:18">
      <c r="A33" s="1"/>
      <c r="B33" s="16">
        <f>ROW(B33) - ROW($B$7)</f>
        <v>26</v>
      </c>
      <c r="C33" s="23" t="s">
        <v>6</v>
      </c>
      <c r="D33" s="14" t="s">
        <v>65</v>
      </c>
      <c r="E33" s="14" t="s">
        <v>220</v>
      </c>
      <c r="F33" s="20" t="s">
        <v>349</v>
      </c>
      <c r="G33" s="14" t="s">
        <v>444</v>
      </c>
      <c r="H33" s="14" t="s">
        <v>545</v>
      </c>
      <c r="I33" s="14" t="s">
        <v>622</v>
      </c>
      <c r="J33" s="14" t="s">
        <v>614</v>
      </c>
      <c r="K33" s="44" t="s">
        <v>748</v>
      </c>
      <c r="L33" s="14">
        <v>1</v>
      </c>
      <c r="M33" s="14">
        <f t="shared" si="1"/>
        <v>25</v>
      </c>
      <c r="N33" s="14">
        <v>40</v>
      </c>
      <c r="O33" s="52" t="s">
        <v>838</v>
      </c>
      <c r="P33" s="15" t="s">
        <v>830</v>
      </c>
      <c r="Q33" s="15">
        <f>P33*N33</f>
        <v>1.18</v>
      </c>
      <c r="R33" s="14"/>
    </row>
    <row r="34" spans="1:18">
      <c r="A34" s="1"/>
      <c r="B34" s="17">
        <f t="shared" si="0"/>
        <v>27</v>
      </c>
      <c r="C34" s="23" t="s">
        <v>6</v>
      </c>
      <c r="D34" s="20" t="s">
        <v>66</v>
      </c>
      <c r="E34" s="20" t="s">
        <v>221</v>
      </c>
      <c r="F34" s="14" t="s">
        <v>348</v>
      </c>
      <c r="G34" s="47" t="s">
        <v>445</v>
      </c>
      <c r="H34" s="20" t="s">
        <v>545</v>
      </c>
      <c r="I34" s="20" t="s">
        <v>839</v>
      </c>
      <c r="J34" s="20" t="s">
        <v>840</v>
      </c>
      <c r="K34" s="43" t="s">
        <v>740</v>
      </c>
      <c r="L34" s="20">
        <v>1</v>
      </c>
      <c r="M34" s="14">
        <f t="shared" si="1"/>
        <v>25</v>
      </c>
      <c r="N34" s="20">
        <v>100</v>
      </c>
      <c r="O34" s="52" t="s">
        <v>838</v>
      </c>
      <c r="P34" s="21">
        <v>3.5000000000000001E-3</v>
      </c>
      <c r="Q34" s="21">
        <f t="shared" ref="Q34" si="14">P34*N34</f>
        <v>0.35000000000000003</v>
      </c>
      <c r="R34" s="20"/>
    </row>
    <row r="35" spans="1:18">
      <c r="A35" s="1"/>
      <c r="B35" s="16">
        <f>ROW(B35) - ROW($B$7)</f>
        <v>28</v>
      </c>
      <c r="C35" s="23" t="s">
        <v>6</v>
      </c>
      <c r="D35" s="14" t="s">
        <v>67</v>
      </c>
      <c r="E35" s="14" t="s">
        <v>222</v>
      </c>
      <c r="F35" s="20" t="s">
        <v>347</v>
      </c>
      <c r="G35" s="14" t="s">
        <v>446</v>
      </c>
      <c r="H35" s="14" t="s">
        <v>545</v>
      </c>
      <c r="I35" s="14" t="s">
        <v>622</v>
      </c>
      <c r="J35" s="14" t="s">
        <v>615</v>
      </c>
      <c r="K35" s="44" t="s">
        <v>749</v>
      </c>
      <c r="L35" s="14">
        <v>6</v>
      </c>
      <c r="M35" s="14">
        <f t="shared" si="1"/>
        <v>150</v>
      </c>
      <c r="N35" s="14">
        <v>160</v>
      </c>
      <c r="O35" s="52" t="s">
        <v>838</v>
      </c>
      <c r="P35" s="15">
        <v>5.5100000000000003E-2</v>
      </c>
      <c r="Q35" s="15">
        <f>P35*N35</f>
        <v>8.8160000000000007</v>
      </c>
      <c r="R35" s="14"/>
    </row>
    <row r="36" spans="1:18">
      <c r="A36" s="1"/>
      <c r="B36" s="17">
        <f t="shared" si="0"/>
        <v>29</v>
      </c>
      <c r="C36" s="23" t="s">
        <v>6</v>
      </c>
      <c r="D36" s="20" t="s">
        <v>68</v>
      </c>
      <c r="E36" s="20" t="s">
        <v>223</v>
      </c>
      <c r="F36" s="14" t="s">
        <v>350</v>
      </c>
      <c r="G36" s="20" t="s">
        <v>447</v>
      </c>
      <c r="H36" s="20" t="s">
        <v>545</v>
      </c>
      <c r="I36" s="14" t="s">
        <v>622</v>
      </c>
      <c r="J36" s="20" t="s">
        <v>616</v>
      </c>
      <c r="K36" s="43" t="s">
        <v>750</v>
      </c>
      <c r="L36" s="20">
        <v>1</v>
      </c>
      <c r="M36" s="14">
        <f t="shared" si="1"/>
        <v>25</v>
      </c>
      <c r="N36" s="20">
        <v>100</v>
      </c>
      <c r="O36" s="52" t="s">
        <v>838</v>
      </c>
      <c r="P36" s="21" t="s">
        <v>832</v>
      </c>
      <c r="Q36" s="21">
        <f t="shared" ref="Q36" si="15">P36*N36</f>
        <v>0.22999999999999998</v>
      </c>
      <c r="R36" s="20"/>
    </row>
    <row r="37" spans="1:18">
      <c r="A37" s="1"/>
      <c r="B37" s="16">
        <f>ROW(B37) - ROW($B$7)</f>
        <v>30</v>
      </c>
      <c r="C37" s="23" t="s">
        <v>6</v>
      </c>
      <c r="D37" s="14" t="s">
        <v>69</v>
      </c>
      <c r="E37" s="14" t="s">
        <v>224</v>
      </c>
      <c r="F37" s="20" t="s">
        <v>350</v>
      </c>
      <c r="G37" s="14" t="s">
        <v>448</v>
      </c>
      <c r="H37" s="14" t="s">
        <v>545</v>
      </c>
      <c r="I37" s="14" t="s">
        <v>622</v>
      </c>
      <c r="J37" s="14" t="s">
        <v>617</v>
      </c>
      <c r="K37" s="44" t="s">
        <v>751</v>
      </c>
      <c r="L37" s="14">
        <v>3</v>
      </c>
      <c r="M37" s="14">
        <f t="shared" si="1"/>
        <v>75</v>
      </c>
      <c r="N37" s="14">
        <v>100</v>
      </c>
      <c r="O37" s="52" t="s">
        <v>838</v>
      </c>
      <c r="P37" s="15" t="s">
        <v>821</v>
      </c>
      <c r="Q37" s="15">
        <f>P37*N37</f>
        <v>0.1</v>
      </c>
      <c r="R37" s="14"/>
    </row>
    <row r="38" spans="1:18">
      <c r="A38" s="1"/>
      <c r="B38" s="17">
        <f t="shared" si="0"/>
        <v>31</v>
      </c>
      <c r="C38" s="23" t="s">
        <v>6</v>
      </c>
      <c r="D38" s="20" t="s">
        <v>70</v>
      </c>
      <c r="E38" s="20" t="s">
        <v>225</v>
      </c>
      <c r="F38" s="14" t="s">
        <v>350</v>
      </c>
      <c r="G38" s="20" t="s">
        <v>449</v>
      </c>
      <c r="H38" s="20" t="s">
        <v>546</v>
      </c>
      <c r="I38" s="14" t="s">
        <v>622</v>
      </c>
      <c r="J38" s="20" t="s">
        <v>618</v>
      </c>
      <c r="K38" s="43" t="s">
        <v>752</v>
      </c>
      <c r="L38" s="20">
        <v>2</v>
      </c>
      <c r="M38" s="14">
        <f t="shared" si="1"/>
        <v>50</v>
      </c>
      <c r="N38" s="20">
        <v>100</v>
      </c>
      <c r="O38" s="52" t="s">
        <v>838</v>
      </c>
      <c r="P38" s="21" t="s">
        <v>833</v>
      </c>
      <c r="Q38" s="21">
        <f t="shared" ref="Q38" si="16">P38*N38</f>
        <v>1.1199999999999999</v>
      </c>
      <c r="R38" s="20"/>
    </row>
    <row r="39" spans="1:18">
      <c r="A39" s="1"/>
      <c r="B39" s="16">
        <f>ROW(B39) - ROW($B$7)</f>
        <v>32</v>
      </c>
      <c r="C39" s="23" t="s">
        <v>6</v>
      </c>
      <c r="D39" s="14" t="s">
        <v>71</v>
      </c>
      <c r="E39" s="14" t="s">
        <v>226</v>
      </c>
      <c r="F39" s="20" t="s">
        <v>348</v>
      </c>
      <c r="G39" s="14" t="s">
        <v>450</v>
      </c>
      <c r="H39" s="14" t="s">
        <v>551</v>
      </c>
      <c r="I39" s="14" t="s">
        <v>622</v>
      </c>
      <c r="J39" s="14" t="s">
        <v>807</v>
      </c>
      <c r="K39" s="44" t="s">
        <v>733</v>
      </c>
      <c r="L39" s="14">
        <v>2</v>
      </c>
      <c r="M39" s="14">
        <f t="shared" si="1"/>
        <v>50</v>
      </c>
      <c r="N39" s="14">
        <v>55</v>
      </c>
      <c r="O39" s="52" t="s">
        <v>838</v>
      </c>
      <c r="P39" s="15">
        <v>8.3699999999999997E-2</v>
      </c>
      <c r="Q39" s="15">
        <f>P39*N39</f>
        <v>4.6034999999999995</v>
      </c>
      <c r="R39" s="14"/>
    </row>
    <row r="40" spans="1:18" ht="25.5">
      <c r="A40" s="1"/>
      <c r="B40" s="17">
        <f t="shared" si="0"/>
        <v>33</v>
      </c>
      <c r="C40" s="22" t="s">
        <v>7</v>
      </c>
      <c r="D40" s="20" t="s">
        <v>72</v>
      </c>
      <c r="E40" s="20" t="s">
        <v>227</v>
      </c>
      <c r="F40" s="14" t="s">
        <v>352</v>
      </c>
      <c r="G40" s="20" t="s">
        <v>451</v>
      </c>
      <c r="H40" s="20" t="s">
        <v>552</v>
      </c>
      <c r="I40" s="14" t="s">
        <v>622</v>
      </c>
      <c r="J40" s="20" t="s">
        <v>619</v>
      </c>
      <c r="K40" s="43" t="s">
        <v>732</v>
      </c>
      <c r="L40" s="20">
        <v>1</v>
      </c>
      <c r="M40" s="14">
        <f t="shared" si="1"/>
        <v>25</v>
      </c>
      <c r="N40" s="20">
        <v>30</v>
      </c>
      <c r="O40" s="52" t="s">
        <v>838</v>
      </c>
      <c r="P40" s="21" t="s">
        <v>835</v>
      </c>
      <c r="Q40" s="21">
        <f t="shared" ref="Q40" si="17">P40*N40</f>
        <v>8.01</v>
      </c>
      <c r="R40" s="20"/>
    </row>
    <row r="41" spans="1:18">
      <c r="A41" s="1"/>
      <c r="B41" s="16">
        <f>ROW(B41) - ROW($B$7)</f>
        <v>34</v>
      </c>
      <c r="C41" s="23" t="s">
        <v>8</v>
      </c>
      <c r="D41" s="14" t="s">
        <v>73</v>
      </c>
      <c r="E41" s="14" t="s">
        <v>228</v>
      </c>
      <c r="F41" s="20" t="s">
        <v>353</v>
      </c>
      <c r="G41" s="14" t="s">
        <v>452</v>
      </c>
      <c r="H41" s="14" t="s">
        <v>14</v>
      </c>
      <c r="I41" s="14" t="s">
        <v>622</v>
      </c>
      <c r="J41" s="14" t="s">
        <v>620</v>
      </c>
      <c r="K41" s="44" t="s">
        <v>622</v>
      </c>
      <c r="L41" s="14">
        <v>1</v>
      </c>
      <c r="M41" s="14">
        <f t="shared" si="1"/>
        <v>25</v>
      </c>
      <c r="N41" s="14">
        <v>30</v>
      </c>
      <c r="O41" s="52" t="s">
        <v>838</v>
      </c>
      <c r="P41" s="15" t="s">
        <v>836</v>
      </c>
      <c r="Q41" s="15">
        <f>P41*N41</f>
        <v>3.8489999999999998</v>
      </c>
      <c r="R41" s="14"/>
    </row>
    <row r="42" spans="1:18" ht="24">
      <c r="A42" s="1"/>
      <c r="B42" s="17">
        <f t="shared" si="0"/>
        <v>35</v>
      </c>
      <c r="C42" s="22" t="s">
        <v>9</v>
      </c>
      <c r="D42" s="20" t="s">
        <v>74</v>
      </c>
      <c r="E42" s="20" t="s">
        <v>229</v>
      </c>
      <c r="F42" s="14" t="s">
        <v>354</v>
      </c>
      <c r="G42" s="20" t="s">
        <v>453</v>
      </c>
      <c r="H42" s="20" t="s">
        <v>553</v>
      </c>
      <c r="I42" s="14" t="s">
        <v>622</v>
      </c>
      <c r="J42" s="20" t="s">
        <v>622</v>
      </c>
      <c r="K42" s="44" t="s">
        <v>622</v>
      </c>
      <c r="L42" s="20">
        <v>1</v>
      </c>
      <c r="M42" s="14">
        <f t="shared" si="1"/>
        <v>25</v>
      </c>
      <c r="N42" s="20">
        <v>26</v>
      </c>
      <c r="O42" s="52" t="s">
        <v>913</v>
      </c>
      <c r="P42" s="21">
        <v>0.35</v>
      </c>
      <c r="Q42" s="21">
        <f t="shared" ref="Q42" si="18">P42*N42</f>
        <v>9.1</v>
      </c>
      <c r="R42" s="20"/>
    </row>
    <row r="43" spans="1:18">
      <c r="A43" s="1"/>
      <c r="B43" s="16">
        <f>ROW(B43) - ROW($B$7)</f>
        <v>36</v>
      </c>
      <c r="C43" s="23" t="s">
        <v>10</v>
      </c>
      <c r="D43" s="14" t="s">
        <v>75</v>
      </c>
      <c r="E43" s="14" t="s">
        <v>230</v>
      </c>
      <c r="F43" s="20" t="s">
        <v>353</v>
      </c>
      <c r="G43" s="14" t="s">
        <v>454</v>
      </c>
      <c r="H43" s="14" t="s">
        <v>14</v>
      </c>
      <c r="I43" s="14" t="s">
        <v>622</v>
      </c>
      <c r="J43" s="14" t="s">
        <v>621</v>
      </c>
      <c r="K43" s="44" t="s">
        <v>622</v>
      </c>
      <c r="L43" s="14">
        <v>1</v>
      </c>
      <c r="M43" s="14">
        <f t="shared" si="1"/>
        <v>25</v>
      </c>
      <c r="N43" s="14">
        <v>30</v>
      </c>
      <c r="O43" s="52" t="s">
        <v>838</v>
      </c>
      <c r="P43" s="15" t="s">
        <v>837</v>
      </c>
      <c r="Q43" s="15">
        <f>P43*N43</f>
        <v>4.1550000000000002</v>
      </c>
      <c r="R43" s="14"/>
    </row>
    <row r="44" spans="1:18" ht="24">
      <c r="A44" s="1"/>
      <c r="B44" s="17">
        <f t="shared" si="0"/>
        <v>37</v>
      </c>
      <c r="C44" s="22" t="s">
        <v>9</v>
      </c>
      <c r="D44" s="20" t="s">
        <v>76</v>
      </c>
      <c r="E44" s="20" t="s">
        <v>231</v>
      </c>
      <c r="F44" s="14" t="s">
        <v>354</v>
      </c>
      <c r="G44" s="20" t="s">
        <v>455</v>
      </c>
      <c r="H44" s="20" t="s">
        <v>553</v>
      </c>
      <c r="I44" s="14" t="s">
        <v>622</v>
      </c>
      <c r="J44" s="20" t="s">
        <v>622</v>
      </c>
      <c r="K44" s="44" t="s">
        <v>622</v>
      </c>
      <c r="L44" s="20">
        <v>1</v>
      </c>
      <c r="M44" s="14">
        <f t="shared" si="1"/>
        <v>25</v>
      </c>
      <c r="N44" s="20">
        <v>26</v>
      </c>
      <c r="O44" s="52" t="s">
        <v>913</v>
      </c>
      <c r="P44" s="21">
        <v>0.35</v>
      </c>
      <c r="Q44" s="21">
        <f t="shared" ref="Q44" si="19">P44*N44</f>
        <v>9.1</v>
      </c>
      <c r="R44" s="20"/>
    </row>
    <row r="45" spans="1:18">
      <c r="A45" s="1"/>
      <c r="B45" s="16">
        <f>ROW(B45) - ROW($B$7)</f>
        <v>38</v>
      </c>
      <c r="C45" s="23" t="s">
        <v>8</v>
      </c>
      <c r="D45" s="14" t="s">
        <v>77</v>
      </c>
      <c r="E45" s="14" t="s">
        <v>232</v>
      </c>
      <c r="F45" s="20" t="s">
        <v>354</v>
      </c>
      <c r="G45" s="14" t="s">
        <v>456</v>
      </c>
      <c r="H45" s="14" t="s">
        <v>554</v>
      </c>
      <c r="I45" s="14" t="s">
        <v>622</v>
      </c>
      <c r="J45" s="14" t="s">
        <v>622</v>
      </c>
      <c r="K45" s="44" t="s">
        <v>622</v>
      </c>
      <c r="L45" s="14">
        <v>5</v>
      </c>
      <c r="M45" s="14">
        <f t="shared" si="1"/>
        <v>125</v>
      </c>
      <c r="N45" s="14">
        <v>126</v>
      </c>
      <c r="O45" s="52" t="s">
        <v>913</v>
      </c>
      <c r="P45" s="15">
        <v>0.35</v>
      </c>
      <c r="Q45" s="15">
        <f>P45*N45</f>
        <v>44.099999999999994</v>
      </c>
      <c r="R45" s="14"/>
    </row>
    <row r="46" spans="1:18" ht="30">
      <c r="A46" s="1"/>
      <c r="B46" s="17">
        <f t="shared" si="0"/>
        <v>39</v>
      </c>
      <c r="C46" s="22" t="s">
        <v>9</v>
      </c>
      <c r="D46" s="20" t="s">
        <v>78</v>
      </c>
      <c r="E46" s="20" t="s">
        <v>233</v>
      </c>
      <c r="F46" s="14" t="s">
        <v>355</v>
      </c>
      <c r="G46" s="20" t="s">
        <v>457</v>
      </c>
      <c r="H46" s="20" t="s">
        <v>555</v>
      </c>
      <c r="I46" s="14" t="s">
        <v>622</v>
      </c>
      <c r="J46" s="20" t="s">
        <v>622</v>
      </c>
      <c r="K46" s="44" t="s">
        <v>622</v>
      </c>
      <c r="L46" s="20">
        <v>5</v>
      </c>
      <c r="M46" s="14">
        <f t="shared" si="1"/>
        <v>125</v>
      </c>
      <c r="N46" s="20">
        <v>126</v>
      </c>
      <c r="O46" s="57" t="s">
        <v>901</v>
      </c>
      <c r="P46" s="21">
        <v>5.355E-2</v>
      </c>
      <c r="Q46" s="21">
        <f t="shared" ref="Q46" si="20">P46*N46</f>
        <v>6.7473000000000001</v>
      </c>
      <c r="R46" s="20"/>
    </row>
    <row r="47" spans="1:18" ht="24">
      <c r="A47" s="1"/>
      <c r="B47" s="16">
        <f>ROW(B47) - ROW($B$7)</f>
        <v>40</v>
      </c>
      <c r="C47" s="23" t="s">
        <v>10</v>
      </c>
      <c r="D47" s="14" t="s">
        <v>79</v>
      </c>
      <c r="E47" s="14" t="s">
        <v>234</v>
      </c>
      <c r="F47" s="20" t="s">
        <v>356</v>
      </c>
      <c r="G47" s="14" t="s">
        <v>458</v>
      </c>
      <c r="H47" s="14" t="s">
        <v>556</v>
      </c>
      <c r="I47" s="14" t="s">
        <v>622</v>
      </c>
      <c r="J47" s="14" t="s">
        <v>623</v>
      </c>
      <c r="K47" s="44" t="s">
        <v>622</v>
      </c>
      <c r="L47" s="14">
        <v>1</v>
      </c>
      <c r="M47" s="14">
        <f t="shared" si="1"/>
        <v>25</v>
      </c>
      <c r="N47" s="14">
        <v>30</v>
      </c>
      <c r="O47" s="52" t="s">
        <v>838</v>
      </c>
      <c r="P47" s="15" t="s">
        <v>841</v>
      </c>
      <c r="Q47" s="15">
        <f>P47*N47</f>
        <v>4.3049999999999997</v>
      </c>
      <c r="R47" s="14"/>
    </row>
    <row r="48" spans="1:18" ht="24">
      <c r="A48" s="1"/>
      <c r="B48" s="17">
        <f t="shared" si="0"/>
        <v>41</v>
      </c>
      <c r="C48" s="22" t="s">
        <v>11</v>
      </c>
      <c r="D48" s="20" t="s">
        <v>80</v>
      </c>
      <c r="E48" s="20" t="s">
        <v>235</v>
      </c>
      <c r="F48" s="14" t="s">
        <v>357</v>
      </c>
      <c r="G48" s="43" t="s">
        <v>806</v>
      </c>
      <c r="H48" s="14" t="s">
        <v>556</v>
      </c>
      <c r="I48" s="14" t="s">
        <v>622</v>
      </c>
      <c r="J48" s="20" t="s">
        <v>624</v>
      </c>
      <c r="K48" s="44" t="s">
        <v>622</v>
      </c>
      <c r="L48" s="20">
        <v>1</v>
      </c>
      <c r="M48" s="14">
        <f t="shared" si="1"/>
        <v>25</v>
      </c>
      <c r="N48" s="20">
        <v>30</v>
      </c>
      <c r="O48" s="52" t="s">
        <v>838</v>
      </c>
      <c r="P48" s="21" t="s">
        <v>842</v>
      </c>
      <c r="Q48" s="21">
        <f t="shared" ref="Q48" si="21">P48*N48</f>
        <v>4.851</v>
      </c>
      <c r="R48" s="20"/>
    </row>
    <row r="49" spans="1:18" ht="24">
      <c r="A49" s="1"/>
      <c r="B49" s="16">
        <f>ROW(B49) - ROW($B$7)</f>
        <v>42</v>
      </c>
      <c r="C49" s="23" t="s">
        <v>10</v>
      </c>
      <c r="D49" s="14" t="s">
        <v>81</v>
      </c>
      <c r="E49" s="14" t="s">
        <v>236</v>
      </c>
      <c r="F49" s="20" t="s">
        <v>358</v>
      </c>
      <c r="G49" s="14" t="s">
        <v>459</v>
      </c>
      <c r="H49" s="14" t="s">
        <v>556</v>
      </c>
      <c r="I49" s="14" t="s">
        <v>622</v>
      </c>
      <c r="J49" s="14" t="s">
        <v>625</v>
      </c>
      <c r="K49" s="44" t="s">
        <v>622</v>
      </c>
      <c r="L49" s="14">
        <v>1</v>
      </c>
      <c r="M49" s="14">
        <f t="shared" si="1"/>
        <v>25</v>
      </c>
      <c r="N49" s="14">
        <v>30</v>
      </c>
      <c r="O49" s="52" t="s">
        <v>838</v>
      </c>
      <c r="P49" s="15" t="s">
        <v>843</v>
      </c>
      <c r="Q49" s="15">
        <f>P49*N49</f>
        <v>4.9470000000000001</v>
      </c>
      <c r="R49" s="14"/>
    </row>
    <row r="50" spans="1:18" ht="24">
      <c r="A50" s="1"/>
      <c r="B50" s="17">
        <f t="shared" si="0"/>
        <v>43</v>
      </c>
      <c r="C50" s="23" t="s">
        <v>10</v>
      </c>
      <c r="D50" s="20" t="s">
        <v>82</v>
      </c>
      <c r="E50" s="20" t="s">
        <v>237</v>
      </c>
      <c r="F50" s="14" t="s">
        <v>359</v>
      </c>
      <c r="G50" s="20" t="s">
        <v>460</v>
      </c>
      <c r="H50" s="20" t="s">
        <v>556</v>
      </c>
      <c r="I50" s="14" t="s">
        <v>622</v>
      </c>
      <c r="J50" s="20" t="s">
        <v>808</v>
      </c>
      <c r="K50" s="44" t="s">
        <v>622</v>
      </c>
      <c r="L50" s="20">
        <v>1</v>
      </c>
      <c r="M50" s="14">
        <f t="shared" si="1"/>
        <v>25</v>
      </c>
      <c r="N50" s="20">
        <v>30</v>
      </c>
      <c r="O50" s="52" t="s">
        <v>838</v>
      </c>
      <c r="P50" s="21" t="s">
        <v>844</v>
      </c>
      <c r="Q50" s="21">
        <f t="shared" ref="Q50" si="22">P50*N50</f>
        <v>1.3980000000000001</v>
      </c>
      <c r="R50" s="20"/>
    </row>
    <row r="51" spans="1:18" ht="24">
      <c r="A51" s="1"/>
      <c r="B51" s="16">
        <f>ROW(B51) - ROW($B$7)</f>
        <v>44</v>
      </c>
      <c r="C51" s="23" t="s">
        <v>10</v>
      </c>
      <c r="D51" s="14" t="s">
        <v>83</v>
      </c>
      <c r="E51" s="14" t="s">
        <v>238</v>
      </c>
      <c r="F51" s="20" t="s">
        <v>360</v>
      </c>
      <c r="G51" s="14" t="s">
        <v>461</v>
      </c>
      <c r="H51" s="14" t="s">
        <v>557</v>
      </c>
      <c r="I51" s="14" t="s">
        <v>622</v>
      </c>
      <c r="J51" s="14" t="s">
        <v>626</v>
      </c>
      <c r="K51" s="44" t="s">
        <v>622</v>
      </c>
      <c r="L51" s="14">
        <v>8</v>
      </c>
      <c r="M51" s="14">
        <f t="shared" si="1"/>
        <v>200</v>
      </c>
      <c r="N51" s="14">
        <v>205</v>
      </c>
      <c r="O51" s="52" t="s">
        <v>838</v>
      </c>
      <c r="P51" s="15">
        <v>9.0700000000000003E-2</v>
      </c>
      <c r="Q51" s="15">
        <f>P51*N51</f>
        <v>18.593499999999999</v>
      </c>
      <c r="R51" s="14"/>
    </row>
    <row r="52" spans="1:18">
      <c r="A52" s="1"/>
      <c r="B52" s="17">
        <f t="shared" si="0"/>
        <v>45</v>
      </c>
      <c r="C52" s="22" t="s">
        <v>8</v>
      </c>
      <c r="D52" s="20" t="s">
        <v>84</v>
      </c>
      <c r="E52" s="20" t="s">
        <v>239</v>
      </c>
      <c r="F52" s="14" t="s">
        <v>360</v>
      </c>
      <c r="G52" s="20" t="s">
        <v>462</v>
      </c>
      <c r="H52" s="20" t="s">
        <v>558</v>
      </c>
      <c r="I52" s="14" t="s">
        <v>622</v>
      </c>
      <c r="J52" s="20" t="s">
        <v>627</v>
      </c>
      <c r="K52" s="44" t="s">
        <v>622</v>
      </c>
      <c r="L52" s="20">
        <v>6</v>
      </c>
      <c r="M52" s="14">
        <f t="shared" si="1"/>
        <v>150</v>
      </c>
      <c r="N52" s="20">
        <v>160</v>
      </c>
      <c r="O52" s="52" t="s">
        <v>838</v>
      </c>
      <c r="P52" s="21">
        <v>2.7900000000000001E-2</v>
      </c>
      <c r="Q52" s="21">
        <f t="shared" ref="Q52" si="23">P52*N52</f>
        <v>4.4640000000000004</v>
      </c>
      <c r="R52" s="20"/>
    </row>
    <row r="53" spans="1:18" ht="36">
      <c r="A53" s="1"/>
      <c r="B53" s="16">
        <f>ROW(B53) - ROW($B$7)</f>
        <v>46</v>
      </c>
      <c r="C53" s="23" t="s">
        <v>12</v>
      </c>
      <c r="D53" s="14" t="s">
        <v>85</v>
      </c>
      <c r="E53" s="14" t="s">
        <v>240</v>
      </c>
      <c r="F53" s="20" t="s">
        <v>361</v>
      </c>
      <c r="G53" s="14" t="s">
        <v>463</v>
      </c>
      <c r="H53" s="14" t="s">
        <v>559</v>
      </c>
      <c r="I53" s="14" t="s">
        <v>622</v>
      </c>
      <c r="J53" s="14" t="s">
        <v>628</v>
      </c>
      <c r="K53" s="44" t="s">
        <v>622</v>
      </c>
      <c r="L53" s="14">
        <v>4</v>
      </c>
      <c r="M53" s="14">
        <f t="shared" si="1"/>
        <v>100</v>
      </c>
      <c r="N53" s="14">
        <v>150</v>
      </c>
      <c r="O53" s="52" t="s">
        <v>838</v>
      </c>
      <c r="P53" s="15" t="s">
        <v>847</v>
      </c>
      <c r="Q53" s="15">
        <f>P53*N53</f>
        <v>2.7899999999999996</v>
      </c>
      <c r="R53" s="14"/>
    </row>
    <row r="54" spans="1:18">
      <c r="A54" s="1"/>
      <c r="B54" s="17">
        <f t="shared" si="0"/>
        <v>47</v>
      </c>
      <c r="C54" s="22" t="s">
        <v>13</v>
      </c>
      <c r="D54" s="20" t="s">
        <v>86</v>
      </c>
      <c r="E54" s="20" t="s">
        <v>241</v>
      </c>
      <c r="F54" s="14" t="s">
        <v>361</v>
      </c>
      <c r="G54" s="20" t="s">
        <v>464</v>
      </c>
      <c r="H54" s="20" t="s">
        <v>560</v>
      </c>
      <c r="I54" s="14" t="s">
        <v>622</v>
      </c>
      <c r="J54" s="20" t="s">
        <v>629</v>
      </c>
      <c r="K54" s="44" t="s">
        <v>622</v>
      </c>
      <c r="L54" s="20">
        <v>4</v>
      </c>
      <c r="M54" s="14">
        <f t="shared" si="1"/>
        <v>100</v>
      </c>
      <c r="N54" s="20">
        <v>105</v>
      </c>
      <c r="O54" s="52" t="s">
        <v>838</v>
      </c>
      <c r="P54" s="21">
        <v>0.14560000000000001</v>
      </c>
      <c r="Q54" s="21">
        <f t="shared" ref="Q54" si="24">P54*N54</f>
        <v>15.288</v>
      </c>
      <c r="R54" s="20"/>
    </row>
    <row r="55" spans="1:18" ht="24">
      <c r="A55" s="1"/>
      <c r="B55" s="16">
        <f>ROW(B55) - ROW($B$7)</f>
        <v>48</v>
      </c>
      <c r="C55" s="23" t="s">
        <v>8</v>
      </c>
      <c r="D55" s="14" t="s">
        <v>87</v>
      </c>
      <c r="E55" s="14" t="s">
        <v>242</v>
      </c>
      <c r="F55" s="20" t="s">
        <v>354</v>
      </c>
      <c r="G55" s="14" t="s">
        <v>465</v>
      </c>
      <c r="H55" s="14" t="s">
        <v>14</v>
      </c>
      <c r="I55" s="14" t="s">
        <v>622</v>
      </c>
      <c r="J55" s="14" t="s">
        <v>630</v>
      </c>
      <c r="K55" s="44" t="s">
        <v>622</v>
      </c>
      <c r="L55" s="14">
        <v>8</v>
      </c>
      <c r="M55" s="14">
        <f t="shared" si="1"/>
        <v>200</v>
      </c>
      <c r="N55" s="14">
        <v>250</v>
      </c>
      <c r="O55" s="52" t="s">
        <v>838</v>
      </c>
      <c r="P55" s="15" t="s">
        <v>849</v>
      </c>
      <c r="Q55" s="15">
        <f>P55*N55</f>
        <v>3.5249999999999999</v>
      </c>
      <c r="R55" s="14"/>
    </row>
    <row r="56" spans="1:18" ht="36">
      <c r="A56" s="1"/>
      <c r="B56" s="17">
        <f t="shared" si="0"/>
        <v>49</v>
      </c>
      <c r="C56" s="22" t="s">
        <v>8</v>
      </c>
      <c r="D56" s="20" t="s">
        <v>88</v>
      </c>
      <c r="E56" s="20" t="s">
        <v>243</v>
      </c>
      <c r="F56" s="14" t="s">
        <v>362</v>
      </c>
      <c r="G56" s="20" t="s">
        <v>466</v>
      </c>
      <c r="H56" s="20" t="s">
        <v>561</v>
      </c>
      <c r="I56" s="14" t="s">
        <v>622</v>
      </c>
      <c r="J56" s="20" t="s">
        <v>631</v>
      </c>
      <c r="K56" s="44" t="s">
        <v>622</v>
      </c>
      <c r="L56" s="20">
        <v>8</v>
      </c>
      <c r="M56" s="14">
        <f t="shared" si="1"/>
        <v>200</v>
      </c>
      <c r="N56" s="20">
        <v>210</v>
      </c>
      <c r="O56" s="52" t="s">
        <v>838</v>
      </c>
      <c r="P56" s="21">
        <v>3.1899999999999998E-2</v>
      </c>
      <c r="Q56" s="21">
        <f t="shared" ref="Q56" si="25">P56*N56</f>
        <v>6.6989999999999998</v>
      </c>
      <c r="R56" s="20"/>
    </row>
    <row r="57" spans="1:18" ht="24">
      <c r="A57" s="1"/>
      <c r="B57" s="16">
        <f>ROW(B57) - ROW($B$7)</f>
        <v>50</v>
      </c>
      <c r="C57" s="23" t="s">
        <v>14</v>
      </c>
      <c r="D57" s="14" t="s">
        <v>89</v>
      </c>
      <c r="E57" s="14" t="s">
        <v>244</v>
      </c>
      <c r="F57" s="20" t="s">
        <v>354</v>
      </c>
      <c r="G57" s="14" t="s">
        <v>467</v>
      </c>
      <c r="H57" s="14" t="s">
        <v>555</v>
      </c>
      <c r="I57" s="14" t="s">
        <v>622</v>
      </c>
      <c r="J57" s="14" t="s">
        <v>632</v>
      </c>
      <c r="K57" s="44" t="s">
        <v>622</v>
      </c>
      <c r="L57" s="14">
        <v>1</v>
      </c>
      <c r="M57" s="14">
        <f t="shared" si="1"/>
        <v>25</v>
      </c>
      <c r="N57" s="14">
        <v>30</v>
      </c>
      <c r="O57" s="52" t="s">
        <v>838</v>
      </c>
      <c r="P57" s="15" t="s">
        <v>851</v>
      </c>
      <c r="Q57" s="15">
        <f>P57*N57</f>
        <v>1.0169999999999999</v>
      </c>
      <c r="R57" s="14"/>
    </row>
    <row r="58" spans="1:18">
      <c r="A58" s="1"/>
      <c r="B58" s="17">
        <f t="shared" si="0"/>
        <v>51</v>
      </c>
      <c r="C58" s="22" t="s">
        <v>8</v>
      </c>
      <c r="D58" s="20" t="s">
        <v>90</v>
      </c>
      <c r="E58" s="20" t="s">
        <v>245</v>
      </c>
      <c r="F58" s="14" t="s">
        <v>363</v>
      </c>
      <c r="G58" s="20" t="s">
        <v>468</v>
      </c>
      <c r="H58" s="20" t="s">
        <v>14</v>
      </c>
      <c r="I58" s="14" t="s">
        <v>622</v>
      </c>
      <c r="J58" s="20" t="s">
        <v>633</v>
      </c>
      <c r="K58" s="44" t="s">
        <v>622</v>
      </c>
      <c r="L58" s="20">
        <v>1</v>
      </c>
      <c r="M58" s="14">
        <f t="shared" si="1"/>
        <v>25</v>
      </c>
      <c r="N58" s="20">
        <v>30</v>
      </c>
      <c r="O58" s="52" t="s">
        <v>838</v>
      </c>
      <c r="P58" s="21" t="s">
        <v>852</v>
      </c>
      <c r="Q58" s="21">
        <f t="shared" ref="Q58" si="26">P58*N58</f>
        <v>2.133</v>
      </c>
      <c r="R58" s="20"/>
    </row>
    <row r="59" spans="1:18" ht="25.5">
      <c r="A59" s="1"/>
      <c r="B59" s="16">
        <f>ROW(B59) - ROW($B$7)</f>
        <v>52</v>
      </c>
      <c r="C59" s="23" t="s">
        <v>15</v>
      </c>
      <c r="D59" s="14" t="s">
        <v>91</v>
      </c>
      <c r="E59" s="14" t="s">
        <v>246</v>
      </c>
      <c r="F59" s="20" t="s">
        <v>364</v>
      </c>
      <c r="G59" s="14" t="s">
        <v>469</v>
      </c>
      <c r="H59" s="14" t="s">
        <v>14</v>
      </c>
      <c r="I59" s="14" t="s">
        <v>622</v>
      </c>
      <c r="J59" s="14" t="s">
        <v>634</v>
      </c>
      <c r="K59" s="44" t="s">
        <v>622</v>
      </c>
      <c r="L59" s="14">
        <v>2</v>
      </c>
      <c r="M59" s="14">
        <f t="shared" si="1"/>
        <v>50</v>
      </c>
      <c r="N59" s="14">
        <v>55</v>
      </c>
      <c r="O59" s="52" t="s">
        <v>838</v>
      </c>
      <c r="P59" s="15">
        <v>1.124E-2</v>
      </c>
      <c r="Q59" s="15">
        <f>P59*N59</f>
        <v>0.61819999999999997</v>
      </c>
      <c r="R59" s="14"/>
    </row>
    <row r="60" spans="1:18">
      <c r="A60" s="1"/>
      <c r="B60" s="17">
        <f t="shared" si="0"/>
        <v>53</v>
      </c>
      <c r="C60" s="22" t="s">
        <v>16</v>
      </c>
      <c r="D60" s="20" t="s">
        <v>92</v>
      </c>
      <c r="E60" s="20" t="s">
        <v>247</v>
      </c>
      <c r="F60" s="14" t="s">
        <v>365</v>
      </c>
      <c r="G60" s="20" t="s">
        <v>470</v>
      </c>
      <c r="H60" s="20" t="s">
        <v>562</v>
      </c>
      <c r="I60" s="14" t="s">
        <v>622</v>
      </c>
      <c r="J60" s="20" t="s">
        <v>635</v>
      </c>
      <c r="K60" s="44" t="s">
        <v>622</v>
      </c>
      <c r="L60" s="20">
        <v>1</v>
      </c>
      <c r="M60" s="14">
        <f t="shared" si="1"/>
        <v>25</v>
      </c>
      <c r="N60" s="20">
        <v>30</v>
      </c>
      <c r="O60" s="52" t="s">
        <v>838</v>
      </c>
      <c r="P60" s="21" t="s">
        <v>854</v>
      </c>
      <c r="Q60" s="21">
        <f t="shared" ref="Q60" si="27">P60*N60</f>
        <v>24.233999999999998</v>
      </c>
      <c r="R60" s="20"/>
    </row>
    <row r="61" spans="1:18" ht="24">
      <c r="A61" s="1"/>
      <c r="B61" s="16">
        <f>ROW(B61) - ROW($B$7)</f>
        <v>54</v>
      </c>
      <c r="C61" s="22" t="s">
        <v>16</v>
      </c>
      <c r="D61" s="14" t="s">
        <v>93</v>
      </c>
      <c r="E61" s="14" t="s">
        <v>248</v>
      </c>
      <c r="F61" s="20" t="s">
        <v>366</v>
      </c>
      <c r="G61" s="14" t="s">
        <v>471</v>
      </c>
      <c r="H61" s="14" t="s">
        <v>563</v>
      </c>
      <c r="I61" s="14" t="s">
        <v>622</v>
      </c>
      <c r="J61" s="14" t="s">
        <v>636</v>
      </c>
      <c r="K61" s="44" t="s">
        <v>622</v>
      </c>
      <c r="L61" s="14">
        <v>6</v>
      </c>
      <c r="M61" s="14">
        <f t="shared" si="1"/>
        <v>150</v>
      </c>
      <c r="N61" s="14">
        <v>160</v>
      </c>
      <c r="O61" s="52" t="s">
        <v>838</v>
      </c>
      <c r="P61" s="15">
        <v>3.4299999999999997E-2</v>
      </c>
      <c r="Q61" s="15">
        <f>P61*N61</f>
        <v>5.4879999999999995</v>
      </c>
      <c r="R61" s="14"/>
    </row>
    <row r="62" spans="1:18">
      <c r="A62" s="1"/>
      <c r="B62" s="17">
        <f t="shared" si="0"/>
        <v>55</v>
      </c>
      <c r="C62" s="22" t="s">
        <v>17</v>
      </c>
      <c r="D62" s="20" t="s">
        <v>94</v>
      </c>
      <c r="E62" s="20" t="s">
        <v>249</v>
      </c>
      <c r="F62" s="14" t="s">
        <v>367</v>
      </c>
      <c r="G62" s="20" t="s">
        <v>472</v>
      </c>
      <c r="H62" s="20" t="s">
        <v>546</v>
      </c>
      <c r="I62" s="14" t="s">
        <v>622</v>
      </c>
      <c r="J62" s="20" t="s">
        <v>637</v>
      </c>
      <c r="K62" s="44" t="s">
        <v>622</v>
      </c>
      <c r="L62" s="20">
        <v>1</v>
      </c>
      <c r="M62" s="14">
        <f t="shared" si="1"/>
        <v>25</v>
      </c>
      <c r="N62" s="20">
        <v>40</v>
      </c>
      <c r="O62" s="52" t="s">
        <v>838</v>
      </c>
      <c r="P62" s="21" t="s">
        <v>856</v>
      </c>
      <c r="Q62" s="21">
        <f t="shared" ref="Q62" si="28">P62*N62</f>
        <v>0.79200000000000004</v>
      </c>
      <c r="R62" s="20"/>
    </row>
    <row r="63" spans="1:18">
      <c r="A63" s="1"/>
      <c r="B63" s="16">
        <f>ROW(B63) - ROW($B$7)</f>
        <v>56</v>
      </c>
      <c r="C63" s="23" t="s">
        <v>18</v>
      </c>
      <c r="D63" s="14" t="s">
        <v>95</v>
      </c>
      <c r="E63" s="14" t="s">
        <v>250</v>
      </c>
      <c r="F63" s="20" t="s">
        <v>367</v>
      </c>
      <c r="G63" s="14" t="s">
        <v>473</v>
      </c>
      <c r="H63" s="14" t="s">
        <v>546</v>
      </c>
      <c r="I63" s="14" t="s">
        <v>622</v>
      </c>
      <c r="J63" s="14" t="s">
        <v>638</v>
      </c>
      <c r="K63" s="44" t="s">
        <v>622</v>
      </c>
      <c r="L63" s="14">
        <v>4</v>
      </c>
      <c r="M63" s="14">
        <f t="shared" si="1"/>
        <v>100</v>
      </c>
      <c r="N63" s="14">
        <v>200</v>
      </c>
      <c r="O63" s="52" t="s">
        <v>838</v>
      </c>
      <c r="P63" s="15" t="s">
        <v>857</v>
      </c>
      <c r="Q63" s="15">
        <f>P63*N63</f>
        <v>1.46</v>
      </c>
      <c r="R63" s="14"/>
    </row>
    <row r="64" spans="1:18" ht="24">
      <c r="A64" s="53"/>
      <c r="B64" s="17">
        <f t="shared" si="0"/>
        <v>57</v>
      </c>
      <c r="C64" s="22" t="s">
        <v>19</v>
      </c>
      <c r="D64" s="20" t="s">
        <v>96</v>
      </c>
      <c r="E64" s="20" t="s">
        <v>251</v>
      </c>
      <c r="F64" s="20" t="s">
        <v>804</v>
      </c>
      <c r="G64" s="20" t="s">
        <v>368</v>
      </c>
      <c r="H64" s="20" t="s">
        <v>564</v>
      </c>
      <c r="I64" s="14" t="s">
        <v>622</v>
      </c>
      <c r="J64" s="20" t="s">
        <v>639</v>
      </c>
      <c r="K64" s="44" t="s">
        <v>622</v>
      </c>
      <c r="L64" s="20">
        <v>1</v>
      </c>
      <c r="M64" s="14">
        <f t="shared" si="1"/>
        <v>25</v>
      </c>
      <c r="N64" s="20">
        <v>26</v>
      </c>
      <c r="O64" s="52" t="s">
        <v>858</v>
      </c>
      <c r="P64" s="21">
        <v>1.0395000000000001</v>
      </c>
      <c r="Q64" s="21">
        <f t="shared" ref="Q64" si="29">P64*N64</f>
        <v>27.027000000000001</v>
      </c>
      <c r="R64" s="20"/>
    </row>
    <row r="65" spans="1:18" ht="48">
      <c r="A65" s="1"/>
      <c r="B65" s="16">
        <f>ROW(B65) - ROW($B$7)</f>
        <v>58</v>
      </c>
      <c r="C65" s="23" t="s">
        <v>20</v>
      </c>
      <c r="D65" s="14" t="s">
        <v>97</v>
      </c>
      <c r="E65" s="14" t="s">
        <v>252</v>
      </c>
      <c r="F65" s="20" t="s">
        <v>804</v>
      </c>
      <c r="G65" s="14" t="s">
        <v>369</v>
      </c>
      <c r="H65" s="14" t="s">
        <v>565</v>
      </c>
      <c r="I65" s="14" t="s">
        <v>622</v>
      </c>
      <c r="J65" s="14" t="s">
        <v>640</v>
      </c>
      <c r="K65" s="44" t="s">
        <v>622</v>
      </c>
      <c r="L65" s="14">
        <v>1</v>
      </c>
      <c r="M65" s="14">
        <f t="shared" si="1"/>
        <v>25</v>
      </c>
      <c r="N65" s="14">
        <v>30</v>
      </c>
      <c r="O65" s="52" t="s">
        <v>838</v>
      </c>
      <c r="P65" s="15" t="s">
        <v>859</v>
      </c>
      <c r="Q65" s="15">
        <f>P65*N65</f>
        <v>8.0220000000000002</v>
      </c>
      <c r="R65" s="14"/>
    </row>
    <row r="66" spans="1:18" ht="30">
      <c r="A66" s="1"/>
      <c r="B66" s="17">
        <f t="shared" si="0"/>
        <v>59</v>
      </c>
      <c r="C66" s="22" t="s">
        <v>794</v>
      </c>
      <c r="D66" s="20" t="s">
        <v>98</v>
      </c>
      <c r="E66" s="20" t="s">
        <v>253</v>
      </c>
      <c r="F66" s="20" t="s">
        <v>804</v>
      </c>
      <c r="G66" s="20" t="s">
        <v>474</v>
      </c>
      <c r="H66" s="20" t="s">
        <v>566</v>
      </c>
      <c r="I66" s="14" t="s">
        <v>622</v>
      </c>
      <c r="J66" s="20" t="s">
        <v>622</v>
      </c>
      <c r="K66" s="44" t="s">
        <v>622</v>
      </c>
      <c r="L66" s="20">
        <v>1</v>
      </c>
      <c r="M66" s="14">
        <f t="shared" si="1"/>
        <v>25</v>
      </c>
      <c r="N66" s="20">
        <v>1</v>
      </c>
      <c r="O66" s="52" t="s">
        <v>901</v>
      </c>
      <c r="P66" s="15">
        <v>84.87</v>
      </c>
      <c r="Q66" s="15">
        <f t="shared" ref="Q66:Q129" si="30">P66*N66</f>
        <v>84.87</v>
      </c>
      <c r="R66" s="20"/>
    </row>
    <row r="67" spans="1:18" ht="60">
      <c r="A67" s="1"/>
      <c r="B67" s="16">
        <f>ROW(B67) - ROW($B$7)</f>
        <v>60</v>
      </c>
      <c r="C67" s="23" t="s">
        <v>21</v>
      </c>
      <c r="D67" s="14" t="s">
        <v>99</v>
      </c>
      <c r="E67" s="14" t="s">
        <v>254</v>
      </c>
      <c r="F67" s="20" t="s">
        <v>370</v>
      </c>
      <c r="G67" s="14" t="s">
        <v>475</v>
      </c>
      <c r="H67" s="14" t="s">
        <v>567</v>
      </c>
      <c r="I67" s="14" t="s">
        <v>622</v>
      </c>
      <c r="J67" s="14" t="s">
        <v>641</v>
      </c>
      <c r="K67" s="44" t="s">
        <v>622</v>
      </c>
      <c r="L67" s="14">
        <v>1</v>
      </c>
      <c r="M67" s="14">
        <f t="shared" si="1"/>
        <v>25</v>
      </c>
      <c r="N67" s="14">
        <v>30</v>
      </c>
      <c r="O67" s="52" t="s">
        <v>838</v>
      </c>
      <c r="P67" s="21" t="s">
        <v>860</v>
      </c>
      <c r="Q67" s="15">
        <f t="shared" si="30"/>
        <v>1.2</v>
      </c>
      <c r="R67" s="14"/>
    </row>
    <row r="68" spans="1:18" ht="72">
      <c r="A68" s="1"/>
      <c r="B68" s="17">
        <f t="shared" si="0"/>
        <v>61</v>
      </c>
      <c r="C68" s="22" t="s">
        <v>22</v>
      </c>
      <c r="D68" s="20" t="s">
        <v>100</v>
      </c>
      <c r="E68" s="20" t="s">
        <v>255</v>
      </c>
      <c r="F68" s="20" t="s">
        <v>804</v>
      </c>
      <c r="G68" s="20" t="s">
        <v>371</v>
      </c>
      <c r="H68" s="20" t="s">
        <v>568</v>
      </c>
      <c r="I68" s="14" t="s">
        <v>622</v>
      </c>
      <c r="J68" s="20" t="s">
        <v>642</v>
      </c>
      <c r="K68" s="44" t="s">
        <v>622</v>
      </c>
      <c r="L68" s="20">
        <v>1</v>
      </c>
      <c r="M68" s="14">
        <f t="shared" si="1"/>
        <v>25</v>
      </c>
      <c r="N68" s="20">
        <v>26</v>
      </c>
      <c r="O68" s="52" t="s">
        <v>838</v>
      </c>
      <c r="P68" s="15">
        <v>0.45669999999999999</v>
      </c>
      <c r="Q68" s="15">
        <f t="shared" si="30"/>
        <v>11.8742</v>
      </c>
      <c r="R68" s="20"/>
    </row>
    <row r="69" spans="1:18" ht="25.5">
      <c r="A69" s="1"/>
      <c r="B69" s="16">
        <f>ROW(B69) - ROW($B$7)</f>
        <v>62</v>
      </c>
      <c r="C69" s="22" t="s">
        <v>23</v>
      </c>
      <c r="D69" s="14" t="s">
        <v>101</v>
      </c>
      <c r="E69" s="14" t="s">
        <v>256</v>
      </c>
      <c r="F69" s="20" t="s">
        <v>804</v>
      </c>
      <c r="G69" s="14" t="s">
        <v>372</v>
      </c>
      <c r="H69" s="14" t="s">
        <v>569</v>
      </c>
      <c r="I69" s="14" t="s">
        <v>622</v>
      </c>
      <c r="J69" s="14" t="s">
        <v>643</v>
      </c>
      <c r="K69" s="44" t="s">
        <v>622</v>
      </c>
      <c r="L69" s="14">
        <v>1</v>
      </c>
      <c r="M69" s="14">
        <f t="shared" si="1"/>
        <v>25</v>
      </c>
      <c r="N69" s="14">
        <v>30</v>
      </c>
      <c r="O69" s="52" t="s">
        <v>838</v>
      </c>
      <c r="P69" s="21" t="s">
        <v>862</v>
      </c>
      <c r="Q69" s="15">
        <f t="shared" si="30"/>
        <v>6.0629999999999997</v>
      </c>
      <c r="R69" s="14"/>
    </row>
    <row r="70" spans="1:18" ht="25.5">
      <c r="A70" s="1"/>
      <c r="B70" s="17">
        <f t="shared" si="0"/>
        <v>63</v>
      </c>
      <c r="C70" s="23" t="s">
        <v>23</v>
      </c>
      <c r="D70" s="20" t="s">
        <v>102</v>
      </c>
      <c r="E70" s="20" t="s">
        <v>257</v>
      </c>
      <c r="F70" s="20" t="s">
        <v>804</v>
      </c>
      <c r="G70" s="20" t="s">
        <v>373</v>
      </c>
      <c r="H70" s="20" t="s">
        <v>569</v>
      </c>
      <c r="I70" s="14" t="s">
        <v>622</v>
      </c>
      <c r="J70" s="20" t="s">
        <v>644</v>
      </c>
      <c r="K70" s="44" t="s">
        <v>622</v>
      </c>
      <c r="L70" s="20">
        <v>1</v>
      </c>
      <c r="M70" s="14">
        <f t="shared" si="1"/>
        <v>25</v>
      </c>
      <c r="N70" s="20">
        <v>26</v>
      </c>
      <c r="O70" s="52" t="s">
        <v>838</v>
      </c>
      <c r="P70" s="15">
        <v>0.44269999999999998</v>
      </c>
      <c r="Q70" s="15">
        <f t="shared" si="30"/>
        <v>11.510199999999999</v>
      </c>
      <c r="R70" s="20"/>
    </row>
    <row r="71" spans="1:18" ht="60">
      <c r="A71" s="1"/>
      <c r="B71" s="16">
        <f>ROW(B71) - ROW($B$7)</f>
        <v>64</v>
      </c>
      <c r="C71" s="23" t="s">
        <v>22</v>
      </c>
      <c r="D71" s="14" t="s">
        <v>103</v>
      </c>
      <c r="E71" s="14" t="s">
        <v>258</v>
      </c>
      <c r="F71" s="20" t="s">
        <v>804</v>
      </c>
      <c r="G71" s="14" t="s">
        <v>374</v>
      </c>
      <c r="H71" s="14" t="s">
        <v>569</v>
      </c>
      <c r="I71" s="14" t="s">
        <v>622</v>
      </c>
      <c r="J71" s="14" t="s">
        <v>645</v>
      </c>
      <c r="K71" s="44" t="s">
        <v>622</v>
      </c>
      <c r="L71" s="14">
        <v>2</v>
      </c>
      <c r="M71" s="14">
        <f t="shared" si="1"/>
        <v>50</v>
      </c>
      <c r="N71" s="14">
        <v>55</v>
      </c>
      <c r="O71" s="52" t="s">
        <v>838</v>
      </c>
      <c r="P71" s="21" t="s">
        <v>863</v>
      </c>
      <c r="Q71" s="15">
        <f t="shared" si="30"/>
        <v>17.858499999999999</v>
      </c>
      <c r="R71" s="14"/>
    </row>
    <row r="72" spans="1:18" ht="60">
      <c r="A72" s="1"/>
      <c r="B72" s="17">
        <f t="shared" si="0"/>
        <v>65</v>
      </c>
      <c r="C72" s="22" t="s">
        <v>21</v>
      </c>
      <c r="D72" s="20" t="s">
        <v>104</v>
      </c>
      <c r="E72" s="20" t="s">
        <v>259</v>
      </c>
      <c r="F72" s="14" t="s">
        <v>375</v>
      </c>
      <c r="G72" s="20" t="s">
        <v>476</v>
      </c>
      <c r="H72" s="20" t="s">
        <v>567</v>
      </c>
      <c r="I72" s="14" t="s">
        <v>622</v>
      </c>
      <c r="J72" s="20" t="s">
        <v>646</v>
      </c>
      <c r="K72" s="44" t="s">
        <v>622</v>
      </c>
      <c r="L72" s="20">
        <v>6</v>
      </c>
      <c r="M72" s="14">
        <f t="shared" ref="M72:M135" si="31">L72*25</f>
        <v>150</v>
      </c>
      <c r="N72" s="20">
        <v>160</v>
      </c>
      <c r="O72" s="52" t="s">
        <v>838</v>
      </c>
      <c r="P72" s="15" t="s">
        <v>864</v>
      </c>
      <c r="Q72" s="15">
        <f t="shared" si="30"/>
        <v>4.6239999999999997</v>
      </c>
      <c r="R72" s="20"/>
    </row>
    <row r="73" spans="1:18" ht="48">
      <c r="A73" s="1"/>
      <c r="B73" s="16">
        <f>ROW(B73) - ROW($B$7)</f>
        <v>66</v>
      </c>
      <c r="C73" s="23" t="s">
        <v>20</v>
      </c>
      <c r="D73" s="14" t="s">
        <v>105</v>
      </c>
      <c r="E73" s="14" t="s">
        <v>260</v>
      </c>
      <c r="F73" s="20" t="s">
        <v>804</v>
      </c>
      <c r="G73" s="14" t="s">
        <v>376</v>
      </c>
      <c r="H73" s="14" t="s">
        <v>570</v>
      </c>
      <c r="I73" s="14" t="s">
        <v>622</v>
      </c>
      <c r="J73" s="14" t="s">
        <v>647</v>
      </c>
      <c r="K73" s="44" t="s">
        <v>622</v>
      </c>
      <c r="L73" s="14">
        <v>2</v>
      </c>
      <c r="M73" s="14">
        <f t="shared" si="31"/>
        <v>50</v>
      </c>
      <c r="N73" s="14">
        <v>55</v>
      </c>
      <c r="O73" s="52" t="s">
        <v>838</v>
      </c>
      <c r="P73" s="21">
        <v>0.2341</v>
      </c>
      <c r="Q73" s="15">
        <f t="shared" si="30"/>
        <v>12.875500000000001</v>
      </c>
      <c r="R73" s="14"/>
    </row>
    <row r="74" spans="1:18" ht="60">
      <c r="A74" s="1"/>
      <c r="B74" s="17">
        <f t="shared" si="0"/>
        <v>67</v>
      </c>
      <c r="C74" s="22" t="s">
        <v>22</v>
      </c>
      <c r="D74" s="20" t="s">
        <v>106</v>
      </c>
      <c r="E74" s="20" t="s">
        <v>261</v>
      </c>
      <c r="F74" s="20" t="s">
        <v>804</v>
      </c>
      <c r="G74" s="20" t="s">
        <v>377</v>
      </c>
      <c r="H74" s="20" t="s">
        <v>569</v>
      </c>
      <c r="I74" s="14" t="s">
        <v>622</v>
      </c>
      <c r="J74" s="20" t="s">
        <v>648</v>
      </c>
      <c r="K74" s="44" t="s">
        <v>622</v>
      </c>
      <c r="L74" s="20">
        <v>1</v>
      </c>
      <c r="M74" s="14">
        <f t="shared" si="31"/>
        <v>25</v>
      </c>
      <c r="N74" s="20">
        <v>26</v>
      </c>
      <c r="O74" s="52" t="s">
        <v>838</v>
      </c>
      <c r="P74" s="15">
        <v>0.76959999999999995</v>
      </c>
      <c r="Q74" s="15">
        <f t="shared" si="30"/>
        <v>20.009599999999999</v>
      </c>
      <c r="R74" s="20"/>
    </row>
    <row r="75" spans="1:18" ht="48">
      <c r="A75" s="1"/>
      <c r="B75" s="16">
        <f>ROW(B75) - ROW($B$7)</f>
        <v>68</v>
      </c>
      <c r="C75" s="23" t="s">
        <v>20</v>
      </c>
      <c r="D75" s="14" t="s">
        <v>107</v>
      </c>
      <c r="E75" s="14" t="s">
        <v>262</v>
      </c>
      <c r="F75" s="20" t="s">
        <v>804</v>
      </c>
      <c r="G75" s="14" t="s">
        <v>378</v>
      </c>
      <c r="H75" s="14" t="s">
        <v>565</v>
      </c>
      <c r="I75" s="14" t="s">
        <v>622</v>
      </c>
      <c r="J75" s="14" t="s">
        <v>649</v>
      </c>
      <c r="K75" s="44" t="s">
        <v>622</v>
      </c>
      <c r="L75" s="14">
        <v>2</v>
      </c>
      <c r="M75" s="14">
        <f t="shared" si="31"/>
        <v>50</v>
      </c>
      <c r="N75" s="14">
        <v>55</v>
      </c>
      <c r="O75" s="52" t="s">
        <v>838</v>
      </c>
      <c r="P75" s="21">
        <v>0.21729999999999999</v>
      </c>
      <c r="Q75" s="15">
        <f t="shared" si="30"/>
        <v>11.951499999999999</v>
      </c>
      <c r="R75" s="14"/>
    </row>
    <row r="76" spans="1:18" ht="48">
      <c r="A76" s="1"/>
      <c r="B76" s="17">
        <f t="shared" si="0"/>
        <v>69</v>
      </c>
      <c r="C76" s="22" t="s">
        <v>20</v>
      </c>
      <c r="D76" s="20" t="s">
        <v>108</v>
      </c>
      <c r="E76" s="20" t="s">
        <v>263</v>
      </c>
      <c r="F76" s="20" t="s">
        <v>804</v>
      </c>
      <c r="G76" s="20" t="s">
        <v>379</v>
      </c>
      <c r="H76" s="20" t="s">
        <v>565</v>
      </c>
      <c r="I76" s="14" t="s">
        <v>622</v>
      </c>
      <c r="J76" s="20" t="s">
        <v>650</v>
      </c>
      <c r="K76" s="44" t="s">
        <v>622</v>
      </c>
      <c r="L76" s="20">
        <v>2</v>
      </c>
      <c r="M76" s="14">
        <f t="shared" si="31"/>
        <v>50</v>
      </c>
      <c r="N76" s="20">
        <v>55</v>
      </c>
      <c r="O76" s="52" t="s">
        <v>838</v>
      </c>
      <c r="P76" s="15">
        <v>0.21379999999999999</v>
      </c>
      <c r="Q76" s="15">
        <f t="shared" si="30"/>
        <v>11.759</v>
      </c>
      <c r="R76" s="20"/>
    </row>
    <row r="77" spans="1:18" ht="48">
      <c r="A77" s="1"/>
      <c r="B77" s="16">
        <f>ROW(B77) - ROW($B$7)</f>
        <v>70</v>
      </c>
      <c r="C77" s="23" t="s">
        <v>24</v>
      </c>
      <c r="D77" s="14" t="s">
        <v>109</v>
      </c>
      <c r="E77" s="14" t="s">
        <v>264</v>
      </c>
      <c r="F77" s="20" t="s">
        <v>804</v>
      </c>
      <c r="G77" s="14" t="s">
        <v>380</v>
      </c>
      <c r="H77" s="14" t="s">
        <v>571</v>
      </c>
      <c r="I77" s="14" t="s">
        <v>622</v>
      </c>
      <c r="J77" s="14" t="s">
        <v>651</v>
      </c>
      <c r="K77" s="44" t="s">
        <v>622</v>
      </c>
      <c r="L77" s="14">
        <v>2</v>
      </c>
      <c r="M77" s="14">
        <f t="shared" si="31"/>
        <v>50</v>
      </c>
      <c r="N77" s="14">
        <v>51</v>
      </c>
      <c r="O77" s="52" t="s">
        <v>838</v>
      </c>
      <c r="P77" s="21">
        <v>1.0147999999999999</v>
      </c>
      <c r="Q77" s="15">
        <f t="shared" si="30"/>
        <v>51.754799999999996</v>
      </c>
      <c r="R77" s="14"/>
    </row>
    <row r="78" spans="1:18" ht="48">
      <c r="A78" s="1"/>
      <c r="B78" s="17">
        <f t="shared" si="0"/>
        <v>71</v>
      </c>
      <c r="C78" s="22" t="s">
        <v>20</v>
      </c>
      <c r="D78" s="20" t="s">
        <v>110</v>
      </c>
      <c r="E78" s="20" t="s">
        <v>265</v>
      </c>
      <c r="F78" s="20" t="s">
        <v>804</v>
      </c>
      <c r="G78" s="20" t="s">
        <v>381</v>
      </c>
      <c r="H78" s="20" t="s">
        <v>565</v>
      </c>
      <c r="I78" s="14" t="s">
        <v>622</v>
      </c>
      <c r="J78" s="20" t="s">
        <v>652</v>
      </c>
      <c r="K78" s="44" t="s">
        <v>622</v>
      </c>
      <c r="L78" s="20">
        <v>2</v>
      </c>
      <c r="M78" s="14">
        <f t="shared" si="31"/>
        <v>50</v>
      </c>
      <c r="N78" s="20">
        <v>51</v>
      </c>
      <c r="O78" s="52" t="s">
        <v>838</v>
      </c>
      <c r="P78" s="15">
        <v>0.28849999999999998</v>
      </c>
      <c r="Q78" s="15">
        <f t="shared" si="30"/>
        <v>14.7135</v>
      </c>
      <c r="R78" s="20"/>
    </row>
    <row r="79" spans="1:18" ht="48">
      <c r="A79" s="1"/>
      <c r="B79" s="16">
        <f>ROW(B79) - ROW($B$7)</f>
        <v>72</v>
      </c>
      <c r="C79" s="23" t="s">
        <v>20</v>
      </c>
      <c r="D79" s="14" t="s">
        <v>111</v>
      </c>
      <c r="E79" s="14" t="s">
        <v>266</v>
      </c>
      <c r="F79" s="20" t="s">
        <v>804</v>
      </c>
      <c r="G79" s="14" t="s">
        <v>382</v>
      </c>
      <c r="H79" s="14" t="s">
        <v>565</v>
      </c>
      <c r="I79" s="14" t="s">
        <v>622</v>
      </c>
      <c r="J79" s="14" t="s">
        <v>653</v>
      </c>
      <c r="K79" s="44" t="s">
        <v>622</v>
      </c>
      <c r="L79" s="14">
        <v>2</v>
      </c>
      <c r="M79" s="14">
        <f t="shared" si="31"/>
        <v>50</v>
      </c>
      <c r="N79" s="14">
        <v>55</v>
      </c>
      <c r="O79" s="52" t="s">
        <v>838</v>
      </c>
      <c r="P79" s="21">
        <v>0.1527</v>
      </c>
      <c r="Q79" s="15">
        <f t="shared" si="30"/>
        <v>8.3985000000000003</v>
      </c>
      <c r="R79" s="14"/>
    </row>
    <row r="80" spans="1:18" ht="48">
      <c r="A80" s="1"/>
      <c r="B80" s="17">
        <f t="shared" si="0"/>
        <v>73</v>
      </c>
      <c r="C80" s="22" t="s">
        <v>20</v>
      </c>
      <c r="D80" s="20" t="s">
        <v>112</v>
      </c>
      <c r="E80" s="20" t="s">
        <v>267</v>
      </c>
      <c r="F80" s="20" t="s">
        <v>804</v>
      </c>
      <c r="G80" s="20" t="s">
        <v>383</v>
      </c>
      <c r="H80" s="20" t="s">
        <v>565</v>
      </c>
      <c r="I80" s="14" t="s">
        <v>622</v>
      </c>
      <c r="J80" s="20" t="s">
        <v>654</v>
      </c>
      <c r="K80" s="44" t="s">
        <v>622</v>
      </c>
      <c r="L80" s="20">
        <v>2</v>
      </c>
      <c r="M80" s="14">
        <f t="shared" si="31"/>
        <v>50</v>
      </c>
      <c r="N80" s="20">
        <v>55</v>
      </c>
      <c r="O80" s="52" t="s">
        <v>838</v>
      </c>
      <c r="P80" s="15">
        <v>0.1462</v>
      </c>
      <c r="Q80" s="15">
        <f t="shared" si="30"/>
        <v>8.0410000000000004</v>
      </c>
      <c r="R80" s="20"/>
    </row>
    <row r="81" spans="1:18" ht="48">
      <c r="A81" s="1"/>
      <c r="B81" s="16">
        <f>ROW(B81) - ROW($B$7)</f>
        <v>74</v>
      </c>
      <c r="C81" s="23" t="s">
        <v>20</v>
      </c>
      <c r="D81" s="14" t="s">
        <v>113</v>
      </c>
      <c r="E81" s="14" t="s">
        <v>268</v>
      </c>
      <c r="F81" s="20" t="s">
        <v>804</v>
      </c>
      <c r="G81" s="14" t="s">
        <v>384</v>
      </c>
      <c r="H81" s="14" t="s">
        <v>565</v>
      </c>
      <c r="I81" s="14" t="s">
        <v>622</v>
      </c>
      <c r="J81" s="14" t="s">
        <v>655</v>
      </c>
      <c r="K81" s="44" t="s">
        <v>622</v>
      </c>
      <c r="L81" s="14">
        <v>2</v>
      </c>
      <c r="M81" s="14">
        <f t="shared" si="31"/>
        <v>50</v>
      </c>
      <c r="N81" s="14">
        <v>55</v>
      </c>
      <c r="O81" s="52" t="s">
        <v>838</v>
      </c>
      <c r="P81" s="21">
        <v>0.13739999999999999</v>
      </c>
      <c r="Q81" s="15">
        <f t="shared" si="30"/>
        <v>7.5569999999999995</v>
      </c>
      <c r="R81" s="14"/>
    </row>
    <row r="82" spans="1:18" ht="48">
      <c r="A82" s="1"/>
      <c r="B82" s="17">
        <f t="shared" si="0"/>
        <v>75</v>
      </c>
      <c r="C82" s="22" t="s">
        <v>20</v>
      </c>
      <c r="D82" s="20" t="s">
        <v>114</v>
      </c>
      <c r="E82" s="20" t="s">
        <v>269</v>
      </c>
      <c r="F82" s="20" t="s">
        <v>804</v>
      </c>
      <c r="G82" s="20" t="s">
        <v>385</v>
      </c>
      <c r="H82" s="20" t="s">
        <v>570</v>
      </c>
      <c r="I82" s="14" t="s">
        <v>622</v>
      </c>
      <c r="J82" s="20" t="s">
        <v>656</v>
      </c>
      <c r="K82" s="44" t="s">
        <v>622</v>
      </c>
      <c r="L82" s="20">
        <v>2</v>
      </c>
      <c r="M82" s="14">
        <f t="shared" si="31"/>
        <v>50</v>
      </c>
      <c r="N82" s="20">
        <v>55</v>
      </c>
      <c r="O82" s="52" t="s">
        <v>838</v>
      </c>
      <c r="P82" s="15">
        <v>0.159</v>
      </c>
      <c r="Q82" s="15">
        <f t="shared" si="30"/>
        <v>8.745000000000001</v>
      </c>
      <c r="R82" s="20"/>
    </row>
    <row r="83" spans="1:18" ht="48">
      <c r="A83" s="1"/>
      <c r="B83" s="16">
        <f>ROW(B83) - ROW($B$7)</f>
        <v>76</v>
      </c>
      <c r="C83" s="23" t="s">
        <v>25</v>
      </c>
      <c r="D83" s="14" t="s">
        <v>115</v>
      </c>
      <c r="E83" s="14" t="s">
        <v>270</v>
      </c>
      <c r="F83" s="20" t="s">
        <v>804</v>
      </c>
      <c r="G83" s="14" t="s">
        <v>386</v>
      </c>
      <c r="H83" s="14" t="s">
        <v>572</v>
      </c>
      <c r="I83" s="14" t="s">
        <v>622</v>
      </c>
      <c r="J83" s="14" t="s">
        <v>657</v>
      </c>
      <c r="K83" s="44" t="s">
        <v>622</v>
      </c>
      <c r="L83" s="14">
        <v>1</v>
      </c>
      <c r="M83" s="14">
        <f t="shared" si="31"/>
        <v>25</v>
      </c>
      <c r="N83" s="14">
        <v>26</v>
      </c>
      <c r="O83" s="52" t="s">
        <v>838</v>
      </c>
      <c r="P83" s="21">
        <v>0.31790000000000002</v>
      </c>
      <c r="Q83" s="15">
        <f t="shared" si="30"/>
        <v>8.2653999999999996</v>
      </c>
      <c r="R83" s="14"/>
    </row>
    <row r="84" spans="1:18" ht="48">
      <c r="A84" s="1"/>
      <c r="B84" s="17">
        <f t="shared" si="0"/>
        <v>77</v>
      </c>
      <c r="C84" s="22" t="s">
        <v>20</v>
      </c>
      <c r="D84" s="20" t="s">
        <v>116</v>
      </c>
      <c r="E84" s="20" t="s">
        <v>271</v>
      </c>
      <c r="F84" s="20" t="s">
        <v>804</v>
      </c>
      <c r="G84" s="20" t="s">
        <v>387</v>
      </c>
      <c r="H84" s="20" t="s">
        <v>570</v>
      </c>
      <c r="I84" s="14" t="s">
        <v>622</v>
      </c>
      <c r="J84" s="20" t="s">
        <v>658</v>
      </c>
      <c r="K84" s="44" t="s">
        <v>622</v>
      </c>
      <c r="L84" s="20">
        <v>1</v>
      </c>
      <c r="M84" s="14">
        <f t="shared" si="31"/>
        <v>25</v>
      </c>
      <c r="N84" s="20">
        <v>26</v>
      </c>
      <c r="O84" s="52" t="s">
        <v>838</v>
      </c>
      <c r="P84" s="15">
        <v>0.82020000000000004</v>
      </c>
      <c r="Q84" s="15">
        <f t="shared" si="30"/>
        <v>21.325200000000002</v>
      </c>
      <c r="R84" s="20"/>
    </row>
    <row r="85" spans="1:18">
      <c r="A85" s="1"/>
      <c r="B85" s="16">
        <f>ROW(B85) - ROW($B$7)</f>
        <v>78</v>
      </c>
      <c r="C85" s="23" t="s">
        <v>26</v>
      </c>
      <c r="D85" s="14" t="s">
        <v>117</v>
      </c>
      <c r="E85" s="14" t="s">
        <v>272</v>
      </c>
      <c r="F85" s="20" t="s">
        <v>804</v>
      </c>
      <c r="G85" s="14" t="s">
        <v>388</v>
      </c>
      <c r="H85" s="14" t="s">
        <v>557</v>
      </c>
      <c r="I85" s="14" t="s">
        <v>622</v>
      </c>
      <c r="J85" s="14" t="s">
        <v>659</v>
      </c>
      <c r="K85" s="44" t="s">
        <v>753</v>
      </c>
      <c r="L85" s="14">
        <v>1</v>
      </c>
      <c r="M85" s="14">
        <f t="shared" si="31"/>
        <v>25</v>
      </c>
      <c r="N85" s="14">
        <v>26</v>
      </c>
      <c r="O85" s="52" t="s">
        <v>838</v>
      </c>
      <c r="P85" s="21">
        <v>0.73670000000000002</v>
      </c>
      <c r="Q85" s="15">
        <f t="shared" si="30"/>
        <v>19.154199999999999</v>
      </c>
      <c r="R85" s="14"/>
    </row>
    <row r="86" spans="1:18" ht="24">
      <c r="A86" s="1"/>
      <c r="B86" s="17">
        <f t="shared" si="0"/>
        <v>79</v>
      </c>
      <c r="C86" s="22" t="s">
        <v>26</v>
      </c>
      <c r="D86" s="20" t="s">
        <v>118</v>
      </c>
      <c r="E86" s="20" t="s">
        <v>273</v>
      </c>
      <c r="F86" s="20" t="s">
        <v>804</v>
      </c>
      <c r="G86" s="20" t="s">
        <v>389</v>
      </c>
      <c r="H86" s="20" t="s">
        <v>573</v>
      </c>
      <c r="I86" s="14" t="s">
        <v>622</v>
      </c>
      <c r="J86" s="20" t="s">
        <v>660</v>
      </c>
      <c r="K86" s="43" t="s">
        <v>754</v>
      </c>
      <c r="L86" s="20">
        <v>1</v>
      </c>
      <c r="M86" s="14">
        <f t="shared" si="31"/>
        <v>25</v>
      </c>
      <c r="N86" s="20">
        <v>26</v>
      </c>
      <c r="O86" s="52" t="s">
        <v>838</v>
      </c>
      <c r="P86" s="15">
        <v>1.5414000000000001</v>
      </c>
      <c r="Q86" s="15">
        <f t="shared" si="30"/>
        <v>40.0764</v>
      </c>
      <c r="R86" s="20"/>
    </row>
    <row r="87" spans="1:18" ht="48">
      <c r="A87" s="1"/>
      <c r="B87" s="16">
        <f>ROW(B87) - ROW($B$7)</f>
        <v>80</v>
      </c>
      <c r="C87" s="23" t="s">
        <v>27</v>
      </c>
      <c r="D87" s="14" t="s">
        <v>119</v>
      </c>
      <c r="E87" s="14" t="s">
        <v>274</v>
      </c>
      <c r="F87" s="20" t="s">
        <v>390</v>
      </c>
      <c r="G87" s="14" t="s">
        <v>477</v>
      </c>
      <c r="H87" s="14" t="s">
        <v>574</v>
      </c>
      <c r="I87" s="14" t="s">
        <v>622</v>
      </c>
      <c r="J87" s="14" t="s">
        <v>661</v>
      </c>
      <c r="K87" s="44" t="s">
        <v>622</v>
      </c>
      <c r="L87" s="14">
        <v>5</v>
      </c>
      <c r="M87" s="14">
        <f t="shared" si="31"/>
        <v>125</v>
      </c>
      <c r="N87" s="14">
        <v>140</v>
      </c>
      <c r="O87" s="52" t="s">
        <v>838</v>
      </c>
      <c r="P87" s="21" t="s">
        <v>874</v>
      </c>
      <c r="Q87" s="15">
        <f t="shared" si="30"/>
        <v>3.1080000000000001</v>
      </c>
      <c r="R87" s="14"/>
    </row>
    <row r="88" spans="1:18" ht="48">
      <c r="A88" s="1"/>
      <c r="B88" s="17">
        <f t="shared" si="0"/>
        <v>81</v>
      </c>
      <c r="C88" s="22" t="s">
        <v>27</v>
      </c>
      <c r="D88" s="20" t="s">
        <v>120</v>
      </c>
      <c r="E88" s="20" t="s">
        <v>275</v>
      </c>
      <c r="F88" s="14" t="s">
        <v>390</v>
      </c>
      <c r="G88" s="20" t="s">
        <v>478</v>
      </c>
      <c r="H88" s="20" t="s">
        <v>574</v>
      </c>
      <c r="I88" s="14" t="s">
        <v>622</v>
      </c>
      <c r="J88" s="20" t="s">
        <v>662</v>
      </c>
      <c r="K88" s="44" t="s">
        <v>622</v>
      </c>
      <c r="L88" s="20">
        <v>1</v>
      </c>
      <c r="M88" s="14">
        <f t="shared" si="31"/>
        <v>25</v>
      </c>
      <c r="N88" s="20">
        <v>40</v>
      </c>
      <c r="O88" s="52" t="s">
        <v>838</v>
      </c>
      <c r="P88" s="15" t="s">
        <v>875</v>
      </c>
      <c r="Q88" s="15">
        <f t="shared" si="30"/>
        <v>0.872</v>
      </c>
      <c r="R88" s="20"/>
    </row>
    <row r="89" spans="1:18" ht="48">
      <c r="A89" s="1"/>
      <c r="B89" s="16">
        <f>ROW(B89) - ROW($B$7)</f>
        <v>82</v>
      </c>
      <c r="C89" s="23" t="s">
        <v>27</v>
      </c>
      <c r="D89" s="14" t="s">
        <v>121</v>
      </c>
      <c r="E89" s="14" t="s">
        <v>276</v>
      </c>
      <c r="F89" s="20" t="s">
        <v>390</v>
      </c>
      <c r="G89" s="14" t="s">
        <v>479</v>
      </c>
      <c r="H89" s="14" t="s">
        <v>574</v>
      </c>
      <c r="I89" s="14" t="s">
        <v>622</v>
      </c>
      <c r="J89" s="14" t="s">
        <v>663</v>
      </c>
      <c r="K89" s="44" t="s">
        <v>622</v>
      </c>
      <c r="L89" s="14">
        <v>2</v>
      </c>
      <c r="M89" s="14">
        <f t="shared" si="31"/>
        <v>50</v>
      </c>
      <c r="N89" s="14">
        <v>60</v>
      </c>
      <c r="O89" s="52" t="s">
        <v>838</v>
      </c>
      <c r="P89" s="21" t="s">
        <v>876</v>
      </c>
      <c r="Q89" s="15">
        <f t="shared" si="30"/>
        <v>1.2899999999999998</v>
      </c>
      <c r="R89" s="14"/>
    </row>
    <row r="90" spans="1:18" ht="24">
      <c r="A90" s="1"/>
      <c r="B90" s="17">
        <f t="shared" si="0"/>
        <v>83</v>
      </c>
      <c r="C90" s="22" t="s">
        <v>28</v>
      </c>
      <c r="D90" s="20" t="s">
        <v>122</v>
      </c>
      <c r="E90" s="20" t="s">
        <v>277</v>
      </c>
      <c r="F90" s="20" t="s">
        <v>804</v>
      </c>
      <c r="G90" s="20" t="s">
        <v>391</v>
      </c>
      <c r="H90" s="20" t="s">
        <v>575</v>
      </c>
      <c r="I90" s="14" t="s">
        <v>622</v>
      </c>
      <c r="J90" s="20" t="s">
        <v>664</v>
      </c>
      <c r="K90" s="44" t="s">
        <v>622</v>
      </c>
      <c r="L90" s="20">
        <v>9</v>
      </c>
      <c r="M90" s="14">
        <f t="shared" si="31"/>
        <v>225</v>
      </c>
      <c r="N90" s="20">
        <v>230</v>
      </c>
      <c r="O90" s="52" t="s">
        <v>838</v>
      </c>
      <c r="P90" s="15">
        <v>0.1033</v>
      </c>
      <c r="Q90" s="15">
        <f t="shared" si="30"/>
        <v>23.759</v>
      </c>
      <c r="R90" s="20"/>
    </row>
    <row r="91" spans="1:18">
      <c r="A91" s="1"/>
      <c r="B91" s="16">
        <f>ROW(B91) - ROW($B$7)</f>
        <v>84</v>
      </c>
      <c r="C91" s="23" t="s">
        <v>29</v>
      </c>
      <c r="D91" s="14" t="s">
        <v>123</v>
      </c>
      <c r="E91" s="14" t="s">
        <v>278</v>
      </c>
      <c r="F91" s="20" t="s">
        <v>392</v>
      </c>
      <c r="G91" s="14" t="s">
        <v>480</v>
      </c>
      <c r="H91" s="14" t="s">
        <v>14</v>
      </c>
      <c r="I91" s="14" t="s">
        <v>622</v>
      </c>
      <c r="J91" s="14" t="s">
        <v>665</v>
      </c>
      <c r="K91" s="44" t="s">
        <v>622</v>
      </c>
      <c r="L91" s="14">
        <v>1</v>
      </c>
      <c r="M91" s="14">
        <f t="shared" si="31"/>
        <v>25</v>
      </c>
      <c r="N91" s="14">
        <v>26</v>
      </c>
      <c r="O91" s="52" t="s">
        <v>838</v>
      </c>
      <c r="P91" s="21">
        <v>0.71419999999999995</v>
      </c>
      <c r="Q91" s="15">
        <f t="shared" si="30"/>
        <v>18.569199999999999</v>
      </c>
      <c r="R91" s="14"/>
    </row>
    <row r="92" spans="1:18">
      <c r="A92" s="1"/>
      <c r="B92" s="17">
        <f t="shared" si="0"/>
        <v>85</v>
      </c>
      <c r="C92" s="22" t="s">
        <v>30</v>
      </c>
      <c r="D92" s="20" t="s">
        <v>124</v>
      </c>
      <c r="E92" s="20" t="s">
        <v>279</v>
      </c>
      <c r="F92" s="14" t="s">
        <v>393</v>
      </c>
      <c r="G92" s="20" t="s">
        <v>481</v>
      </c>
      <c r="H92" s="20" t="s">
        <v>558</v>
      </c>
      <c r="I92" s="14" t="s">
        <v>622</v>
      </c>
      <c r="J92" s="20" t="s">
        <v>666</v>
      </c>
      <c r="K92" s="44" t="s">
        <v>622</v>
      </c>
      <c r="L92" s="20">
        <v>1</v>
      </c>
      <c r="M92" s="14">
        <f t="shared" si="31"/>
        <v>25</v>
      </c>
      <c r="N92" s="20">
        <v>40</v>
      </c>
      <c r="O92" s="52" t="s">
        <v>838</v>
      </c>
      <c r="P92" s="15" t="s">
        <v>878</v>
      </c>
      <c r="Q92" s="15">
        <f t="shared" si="30"/>
        <v>1.06</v>
      </c>
      <c r="R92" s="20"/>
    </row>
    <row r="93" spans="1:18" ht="24">
      <c r="A93" s="1"/>
      <c r="B93" s="16">
        <f>ROW(B93) - ROW($B$7)</f>
        <v>86</v>
      </c>
      <c r="C93" s="23" t="s">
        <v>31</v>
      </c>
      <c r="D93" s="14" t="s">
        <v>125</v>
      </c>
      <c r="E93" s="14" t="s">
        <v>280</v>
      </c>
      <c r="F93" s="20" t="s">
        <v>360</v>
      </c>
      <c r="G93" s="14" t="s">
        <v>482</v>
      </c>
      <c r="H93" s="14" t="s">
        <v>576</v>
      </c>
      <c r="I93" s="14" t="s">
        <v>622</v>
      </c>
      <c r="J93" s="14" t="s">
        <v>667</v>
      </c>
      <c r="K93" s="44" t="s">
        <v>622</v>
      </c>
      <c r="L93" s="14">
        <v>5</v>
      </c>
      <c r="M93" s="14">
        <f t="shared" si="31"/>
        <v>125</v>
      </c>
      <c r="N93" s="14">
        <v>140</v>
      </c>
      <c r="O93" s="52" t="s">
        <v>838</v>
      </c>
      <c r="P93" s="21" t="s">
        <v>879</v>
      </c>
      <c r="Q93" s="15">
        <f t="shared" si="30"/>
        <v>0.98</v>
      </c>
      <c r="R93" s="14"/>
    </row>
    <row r="94" spans="1:18" ht="24">
      <c r="A94" s="1"/>
      <c r="B94" s="17">
        <f t="shared" si="0"/>
        <v>87</v>
      </c>
      <c r="C94" s="22" t="s">
        <v>30</v>
      </c>
      <c r="D94" s="20" t="s">
        <v>126</v>
      </c>
      <c r="E94" s="20" t="s">
        <v>281</v>
      </c>
      <c r="F94" s="14" t="s">
        <v>360</v>
      </c>
      <c r="G94" s="20" t="s">
        <v>483</v>
      </c>
      <c r="H94" s="20" t="s">
        <v>577</v>
      </c>
      <c r="I94" s="14" t="s">
        <v>622</v>
      </c>
      <c r="J94" s="20" t="s">
        <v>668</v>
      </c>
      <c r="K94" s="44" t="s">
        <v>622</v>
      </c>
      <c r="L94" s="20">
        <v>4</v>
      </c>
      <c r="M94" s="14">
        <f t="shared" si="31"/>
        <v>100</v>
      </c>
      <c r="N94" s="20">
        <v>120</v>
      </c>
      <c r="O94" s="52" t="s">
        <v>838</v>
      </c>
      <c r="P94" s="15" t="s">
        <v>880</v>
      </c>
      <c r="Q94" s="15">
        <f t="shared" si="30"/>
        <v>3.2160000000000002</v>
      </c>
      <c r="R94" s="20"/>
    </row>
    <row r="95" spans="1:18" ht="24">
      <c r="A95" s="1"/>
      <c r="B95" s="16">
        <f>ROW(B95) - ROW($B$7)</f>
        <v>88</v>
      </c>
      <c r="C95" s="23" t="s">
        <v>32</v>
      </c>
      <c r="D95" s="14" t="s">
        <v>127</v>
      </c>
      <c r="E95" s="14" t="s">
        <v>282</v>
      </c>
      <c r="F95" s="20" t="s">
        <v>804</v>
      </c>
      <c r="G95" s="14" t="s">
        <v>394</v>
      </c>
      <c r="H95" s="14" t="s">
        <v>555</v>
      </c>
      <c r="I95" s="14" t="s">
        <v>622</v>
      </c>
      <c r="J95" s="14" t="s">
        <v>669</v>
      </c>
      <c r="K95" s="44" t="s">
        <v>622</v>
      </c>
      <c r="L95" s="14">
        <v>1</v>
      </c>
      <c r="M95" s="14">
        <f t="shared" si="31"/>
        <v>25</v>
      </c>
      <c r="N95" s="14">
        <v>30</v>
      </c>
      <c r="O95" s="52" t="s">
        <v>838</v>
      </c>
      <c r="P95" s="21" t="s">
        <v>881</v>
      </c>
      <c r="Q95" s="15">
        <f t="shared" si="30"/>
        <v>6.7919999999999998</v>
      </c>
      <c r="R95" s="14"/>
    </row>
    <row r="96" spans="1:18" ht="24">
      <c r="A96" s="1"/>
      <c r="B96" s="17">
        <f t="shared" si="0"/>
        <v>89</v>
      </c>
      <c r="C96" s="22" t="s">
        <v>30</v>
      </c>
      <c r="D96" s="20" t="s">
        <v>128</v>
      </c>
      <c r="E96" s="20" t="s">
        <v>283</v>
      </c>
      <c r="F96" s="14" t="s">
        <v>360</v>
      </c>
      <c r="G96" s="20" t="s">
        <v>484</v>
      </c>
      <c r="H96" s="20" t="s">
        <v>578</v>
      </c>
      <c r="I96" s="14" t="s">
        <v>622</v>
      </c>
      <c r="J96" s="20" t="s">
        <v>670</v>
      </c>
      <c r="K96" s="44" t="s">
        <v>622</v>
      </c>
      <c r="L96" s="20">
        <v>6</v>
      </c>
      <c r="M96" s="14">
        <f t="shared" si="31"/>
        <v>150</v>
      </c>
      <c r="N96" s="20">
        <v>200</v>
      </c>
      <c r="O96" s="52" t="s">
        <v>838</v>
      </c>
      <c r="P96" s="15" t="s">
        <v>882</v>
      </c>
      <c r="Q96" s="15">
        <f t="shared" si="30"/>
        <v>2.96</v>
      </c>
      <c r="R96" s="20"/>
    </row>
    <row r="97" spans="1:18" ht="24">
      <c r="A97" s="1"/>
      <c r="B97" s="16">
        <f>ROW(B97) - ROW($B$7)</f>
        <v>90</v>
      </c>
      <c r="C97" s="23" t="s">
        <v>33</v>
      </c>
      <c r="D97" s="14" t="s">
        <v>129</v>
      </c>
      <c r="E97" s="14" t="s">
        <v>284</v>
      </c>
      <c r="F97" s="14" t="s">
        <v>395</v>
      </c>
      <c r="G97" s="14" t="s">
        <v>485</v>
      </c>
      <c r="H97" s="14" t="s">
        <v>545</v>
      </c>
      <c r="I97" s="14" t="s">
        <v>622</v>
      </c>
      <c r="J97" s="14" t="s">
        <v>671</v>
      </c>
      <c r="K97" s="43" t="s">
        <v>755</v>
      </c>
      <c r="L97" s="14">
        <v>3</v>
      </c>
      <c r="M97" s="14">
        <f t="shared" si="31"/>
        <v>75</v>
      </c>
      <c r="N97" s="14">
        <v>100</v>
      </c>
      <c r="O97" s="52" t="s">
        <v>838</v>
      </c>
      <c r="P97" s="21" t="s">
        <v>883</v>
      </c>
      <c r="Q97" s="15">
        <f t="shared" si="30"/>
        <v>1.79</v>
      </c>
      <c r="R97" s="14"/>
    </row>
    <row r="98" spans="1:18">
      <c r="A98" s="1"/>
      <c r="B98" s="17">
        <f t="shared" si="0"/>
        <v>91</v>
      </c>
      <c r="C98" s="22" t="s">
        <v>33</v>
      </c>
      <c r="D98" s="20" t="s">
        <v>130</v>
      </c>
      <c r="E98" s="20" t="s">
        <v>285</v>
      </c>
      <c r="F98" s="14" t="s">
        <v>395</v>
      </c>
      <c r="G98" s="20" t="s">
        <v>486</v>
      </c>
      <c r="H98" s="20" t="s">
        <v>545</v>
      </c>
      <c r="I98" s="14" t="s">
        <v>622</v>
      </c>
      <c r="J98" s="20" t="s">
        <v>672</v>
      </c>
      <c r="K98" s="43" t="s">
        <v>756</v>
      </c>
      <c r="L98" s="20">
        <v>1</v>
      </c>
      <c r="M98" s="14">
        <f t="shared" si="31"/>
        <v>25</v>
      </c>
      <c r="N98" s="20">
        <v>100</v>
      </c>
      <c r="O98" s="52" t="s">
        <v>838</v>
      </c>
      <c r="P98" s="15" t="s">
        <v>884</v>
      </c>
      <c r="Q98" s="15">
        <f t="shared" si="30"/>
        <v>0.06</v>
      </c>
      <c r="R98" s="20"/>
    </row>
    <row r="99" spans="1:18" ht="24">
      <c r="A99" s="1"/>
      <c r="B99" s="16">
        <f>ROW(B99) - ROW($B$7)</f>
        <v>92</v>
      </c>
      <c r="C99" s="23" t="s">
        <v>33</v>
      </c>
      <c r="D99" s="14" t="s">
        <v>131</v>
      </c>
      <c r="E99" s="14" t="s">
        <v>286</v>
      </c>
      <c r="F99" s="20" t="s">
        <v>396</v>
      </c>
      <c r="G99" s="14" t="s">
        <v>487</v>
      </c>
      <c r="H99" s="14" t="s">
        <v>545</v>
      </c>
      <c r="I99" s="14" t="s">
        <v>622</v>
      </c>
      <c r="J99" s="14" t="s">
        <v>673</v>
      </c>
      <c r="K99" s="44" t="s">
        <v>757</v>
      </c>
      <c r="L99" s="14">
        <v>1</v>
      </c>
      <c r="M99" s="14">
        <f t="shared" si="31"/>
        <v>25</v>
      </c>
      <c r="N99" s="14">
        <v>40</v>
      </c>
      <c r="O99" s="52" t="s">
        <v>838</v>
      </c>
      <c r="P99" s="21" t="s">
        <v>885</v>
      </c>
      <c r="Q99" s="15">
        <f t="shared" si="30"/>
        <v>1.444</v>
      </c>
      <c r="R99" s="14"/>
    </row>
    <row r="100" spans="1:18" ht="24">
      <c r="A100" s="1"/>
      <c r="B100" s="17">
        <f t="shared" si="0"/>
        <v>93</v>
      </c>
      <c r="C100" s="23" t="s">
        <v>34</v>
      </c>
      <c r="D100" s="20" t="s">
        <v>132</v>
      </c>
      <c r="E100" s="20" t="s">
        <v>287</v>
      </c>
      <c r="F100" s="20" t="s">
        <v>396</v>
      </c>
      <c r="G100" s="20" t="s">
        <v>488</v>
      </c>
      <c r="H100" s="20" t="s">
        <v>545</v>
      </c>
      <c r="I100" s="14" t="s">
        <v>622</v>
      </c>
      <c r="J100" s="20" t="s">
        <v>674</v>
      </c>
      <c r="K100" s="44" t="s">
        <v>758</v>
      </c>
      <c r="L100" s="20">
        <v>1</v>
      </c>
      <c r="M100" s="14">
        <f t="shared" si="31"/>
        <v>25</v>
      </c>
      <c r="N100" s="20">
        <v>40</v>
      </c>
      <c r="O100" s="52" t="s">
        <v>838</v>
      </c>
      <c r="P100" s="15" t="s">
        <v>886</v>
      </c>
      <c r="Q100" s="15">
        <f t="shared" si="30"/>
        <v>1.3639999999999999</v>
      </c>
      <c r="R100" s="20"/>
    </row>
    <row r="101" spans="1:18" ht="24">
      <c r="A101" s="1"/>
      <c r="B101" s="16">
        <f>ROW(B101) - ROW($B$7)</f>
        <v>94</v>
      </c>
      <c r="C101" s="22" t="s">
        <v>34</v>
      </c>
      <c r="D101" s="14" t="s">
        <v>133</v>
      </c>
      <c r="E101" s="14" t="s">
        <v>288</v>
      </c>
      <c r="F101" s="14" t="s">
        <v>395</v>
      </c>
      <c r="G101" s="14" t="s">
        <v>489</v>
      </c>
      <c r="H101" s="14" t="s">
        <v>545</v>
      </c>
      <c r="I101" s="14" t="s">
        <v>622</v>
      </c>
      <c r="J101" s="14" t="s">
        <v>675</v>
      </c>
      <c r="K101" s="43" t="s">
        <v>759</v>
      </c>
      <c r="L101" s="14">
        <v>1</v>
      </c>
      <c r="M101" s="14">
        <f t="shared" si="31"/>
        <v>25</v>
      </c>
      <c r="N101" s="14">
        <v>50</v>
      </c>
      <c r="O101" s="52" t="s">
        <v>838</v>
      </c>
      <c r="P101" s="21" t="s">
        <v>883</v>
      </c>
      <c r="Q101" s="15">
        <f t="shared" si="30"/>
        <v>0.89500000000000002</v>
      </c>
      <c r="R101" s="14"/>
    </row>
    <row r="102" spans="1:18">
      <c r="A102" s="1"/>
      <c r="B102" s="17">
        <f t="shared" si="0"/>
        <v>95</v>
      </c>
      <c r="C102" s="22" t="s">
        <v>34</v>
      </c>
      <c r="D102" s="20" t="s">
        <v>134</v>
      </c>
      <c r="E102" s="20" t="s">
        <v>289</v>
      </c>
      <c r="F102" s="20" t="s">
        <v>395</v>
      </c>
      <c r="G102" s="20" t="s">
        <v>490</v>
      </c>
      <c r="H102" s="20" t="s">
        <v>545</v>
      </c>
      <c r="I102" s="14" t="s">
        <v>622</v>
      </c>
      <c r="J102" s="20" t="s">
        <v>676</v>
      </c>
      <c r="K102" s="44" t="s">
        <v>760</v>
      </c>
      <c r="L102" s="20">
        <v>1</v>
      </c>
      <c r="M102" s="14">
        <f t="shared" si="31"/>
        <v>25</v>
      </c>
      <c r="N102" s="20">
        <v>100</v>
      </c>
      <c r="O102" s="52" t="s">
        <v>838</v>
      </c>
      <c r="P102" s="15" t="s">
        <v>887</v>
      </c>
      <c r="Q102" s="15">
        <f t="shared" si="30"/>
        <v>6.9999999999999993E-2</v>
      </c>
      <c r="R102" s="20"/>
    </row>
    <row r="103" spans="1:18">
      <c r="A103" s="1"/>
      <c r="B103" s="16">
        <f>ROW(B103) - ROW($B$7)</f>
        <v>96</v>
      </c>
      <c r="C103" s="22" t="s">
        <v>34</v>
      </c>
      <c r="D103" s="14" t="s">
        <v>135</v>
      </c>
      <c r="E103" s="14" t="s">
        <v>290</v>
      </c>
      <c r="F103" s="14" t="s">
        <v>395</v>
      </c>
      <c r="G103" s="14" t="s">
        <v>491</v>
      </c>
      <c r="H103" s="14" t="s">
        <v>545</v>
      </c>
      <c r="I103" s="14" t="s">
        <v>622</v>
      </c>
      <c r="J103" s="14" t="s">
        <v>677</v>
      </c>
      <c r="K103" s="43" t="s">
        <v>761</v>
      </c>
      <c r="L103" s="14">
        <v>6</v>
      </c>
      <c r="M103" s="14">
        <f t="shared" si="31"/>
        <v>150</v>
      </c>
      <c r="N103" s="14">
        <v>200</v>
      </c>
      <c r="O103" s="52" t="s">
        <v>838</v>
      </c>
      <c r="P103" s="21" t="s">
        <v>884</v>
      </c>
      <c r="Q103" s="15">
        <f t="shared" si="30"/>
        <v>0.12</v>
      </c>
      <c r="R103" s="14"/>
    </row>
    <row r="104" spans="1:18" ht="324">
      <c r="A104" s="1"/>
      <c r="B104" s="17">
        <f t="shared" si="0"/>
        <v>97</v>
      </c>
      <c r="C104" s="23" t="s">
        <v>34</v>
      </c>
      <c r="D104" s="20" t="s">
        <v>136</v>
      </c>
      <c r="E104" s="20" t="s">
        <v>291</v>
      </c>
      <c r="F104" s="20" t="s">
        <v>395</v>
      </c>
      <c r="G104" s="20" t="s">
        <v>492</v>
      </c>
      <c r="H104" s="20" t="s">
        <v>545</v>
      </c>
      <c r="I104" s="14" t="s">
        <v>622</v>
      </c>
      <c r="J104" s="20" t="s">
        <v>678</v>
      </c>
      <c r="K104" s="44" t="s">
        <v>762</v>
      </c>
      <c r="L104" s="20">
        <v>172</v>
      </c>
      <c r="M104" s="14">
        <f t="shared" si="31"/>
        <v>4300</v>
      </c>
      <c r="N104" s="20">
        <v>4400</v>
      </c>
      <c r="O104" s="52" t="s">
        <v>838</v>
      </c>
      <c r="P104" s="15">
        <v>5.0000000000000001E-4</v>
      </c>
      <c r="Q104" s="15">
        <f t="shared" si="30"/>
        <v>2.2000000000000002</v>
      </c>
      <c r="R104" s="20"/>
    </row>
    <row r="105" spans="1:18" ht="84">
      <c r="A105" s="1"/>
      <c r="B105" s="16">
        <f>ROW(B105) - ROW($B$7)</f>
        <v>98</v>
      </c>
      <c r="C105" s="22" t="s">
        <v>33</v>
      </c>
      <c r="D105" s="14" t="s">
        <v>137</v>
      </c>
      <c r="E105" s="14" t="s">
        <v>292</v>
      </c>
      <c r="F105" s="14" t="s">
        <v>395</v>
      </c>
      <c r="G105" s="14" t="s">
        <v>493</v>
      </c>
      <c r="H105" s="14" t="s">
        <v>545</v>
      </c>
      <c r="I105" s="14" t="s">
        <v>622</v>
      </c>
      <c r="J105" s="14" t="s">
        <v>679</v>
      </c>
      <c r="K105" s="43" t="s">
        <v>763</v>
      </c>
      <c r="L105" s="14">
        <v>42</v>
      </c>
      <c r="M105" s="14">
        <f t="shared" si="31"/>
        <v>1050</v>
      </c>
      <c r="N105" s="14">
        <v>1100</v>
      </c>
      <c r="O105" s="52" t="s">
        <v>838</v>
      </c>
      <c r="P105" s="21">
        <v>4.0000000000000002E-4</v>
      </c>
      <c r="Q105" s="15">
        <f t="shared" si="30"/>
        <v>0.44</v>
      </c>
      <c r="R105" s="14"/>
    </row>
    <row r="106" spans="1:18" ht="24">
      <c r="A106" s="1"/>
      <c r="B106" s="17">
        <f t="shared" si="0"/>
        <v>99</v>
      </c>
      <c r="C106" s="23" t="s">
        <v>33</v>
      </c>
      <c r="D106" s="20" t="s">
        <v>138</v>
      </c>
      <c r="E106" s="20" t="s">
        <v>293</v>
      </c>
      <c r="F106" s="20" t="s">
        <v>395</v>
      </c>
      <c r="G106" s="20" t="s">
        <v>494</v>
      </c>
      <c r="H106" s="20" t="s">
        <v>545</v>
      </c>
      <c r="I106" s="14" t="s">
        <v>622</v>
      </c>
      <c r="J106" s="20" t="s">
        <v>680</v>
      </c>
      <c r="K106" s="44" t="s">
        <v>764</v>
      </c>
      <c r="L106" s="20">
        <v>12</v>
      </c>
      <c r="M106" s="14">
        <f t="shared" si="31"/>
        <v>300</v>
      </c>
      <c r="N106" s="20">
        <v>400</v>
      </c>
      <c r="O106" s="52" t="s">
        <v>838</v>
      </c>
      <c r="P106" s="15" t="s">
        <v>884</v>
      </c>
      <c r="Q106" s="15">
        <f t="shared" si="30"/>
        <v>0.24</v>
      </c>
      <c r="R106" s="20"/>
    </row>
    <row r="107" spans="1:18">
      <c r="A107" s="1"/>
      <c r="B107" s="16">
        <f>ROW(B107) - ROW($B$7)</f>
        <v>100</v>
      </c>
      <c r="C107" s="23" t="s">
        <v>33</v>
      </c>
      <c r="D107" s="14" t="s">
        <v>139</v>
      </c>
      <c r="E107" s="14" t="s">
        <v>294</v>
      </c>
      <c r="F107" s="14" t="s">
        <v>397</v>
      </c>
      <c r="G107" s="14" t="s">
        <v>495</v>
      </c>
      <c r="H107" s="14" t="s">
        <v>545</v>
      </c>
      <c r="I107" s="14" t="s">
        <v>622</v>
      </c>
      <c r="J107" s="14" t="s">
        <v>681</v>
      </c>
      <c r="K107" s="43" t="s">
        <v>765</v>
      </c>
      <c r="L107" s="14">
        <v>4</v>
      </c>
      <c r="M107" s="14">
        <f t="shared" si="31"/>
        <v>100</v>
      </c>
      <c r="N107" s="14">
        <v>200</v>
      </c>
      <c r="O107" s="52" t="s">
        <v>838</v>
      </c>
      <c r="P107" s="21" t="s">
        <v>889</v>
      </c>
      <c r="Q107" s="15">
        <f t="shared" si="30"/>
        <v>0.18</v>
      </c>
      <c r="R107" s="14"/>
    </row>
    <row r="108" spans="1:18" ht="25.5">
      <c r="A108" s="1"/>
      <c r="B108" s="17">
        <f t="shared" si="0"/>
        <v>101</v>
      </c>
      <c r="C108" s="23" t="s">
        <v>33</v>
      </c>
      <c r="D108" s="47" t="s">
        <v>140</v>
      </c>
      <c r="E108" s="47" t="s">
        <v>291</v>
      </c>
      <c r="F108" s="47" t="s">
        <v>395</v>
      </c>
      <c r="G108" s="47" t="s">
        <v>492</v>
      </c>
      <c r="H108" s="47" t="s">
        <v>545</v>
      </c>
      <c r="I108" s="47" t="s">
        <v>622</v>
      </c>
      <c r="J108" s="47" t="s">
        <v>678</v>
      </c>
      <c r="K108" s="46" t="s">
        <v>766</v>
      </c>
      <c r="L108" s="47">
        <v>3</v>
      </c>
      <c r="M108" s="14">
        <f t="shared" si="31"/>
        <v>75</v>
      </c>
      <c r="N108" s="47" t="s">
        <v>622</v>
      </c>
      <c r="O108" s="55" t="s">
        <v>838</v>
      </c>
      <c r="P108" s="15" t="s">
        <v>622</v>
      </c>
      <c r="Q108" s="15" t="s">
        <v>622</v>
      </c>
      <c r="R108" s="49" t="s">
        <v>803</v>
      </c>
    </row>
    <row r="109" spans="1:18">
      <c r="A109" s="1"/>
      <c r="B109" s="16">
        <f>ROW(B109) - ROW($B$7)</f>
        <v>102</v>
      </c>
      <c r="C109" s="23" t="s">
        <v>33</v>
      </c>
      <c r="D109" s="14" t="s">
        <v>141</v>
      </c>
      <c r="E109" s="14" t="s">
        <v>295</v>
      </c>
      <c r="F109" s="14" t="s">
        <v>395</v>
      </c>
      <c r="G109" s="14" t="s">
        <v>496</v>
      </c>
      <c r="H109" s="14" t="s">
        <v>545</v>
      </c>
      <c r="I109" s="14" t="s">
        <v>622</v>
      </c>
      <c r="J109" s="14" t="s">
        <v>682</v>
      </c>
      <c r="K109" s="43" t="s">
        <v>767</v>
      </c>
      <c r="L109" s="14">
        <v>4</v>
      </c>
      <c r="M109" s="14">
        <f t="shared" si="31"/>
        <v>100</v>
      </c>
      <c r="N109" s="14">
        <v>200</v>
      </c>
      <c r="O109" s="52" t="s">
        <v>838</v>
      </c>
      <c r="P109" s="15" t="s">
        <v>884</v>
      </c>
      <c r="Q109" s="15">
        <f t="shared" si="30"/>
        <v>0.12</v>
      </c>
      <c r="R109" s="14"/>
    </row>
    <row r="110" spans="1:18">
      <c r="A110" s="1"/>
      <c r="B110" s="17">
        <f t="shared" si="0"/>
        <v>103</v>
      </c>
      <c r="C110" s="23" t="s">
        <v>33</v>
      </c>
      <c r="D110" s="20" t="s">
        <v>142</v>
      </c>
      <c r="E110" s="20" t="s">
        <v>296</v>
      </c>
      <c r="F110" s="20" t="s">
        <v>398</v>
      </c>
      <c r="G110" s="47" t="s">
        <v>497</v>
      </c>
      <c r="H110" s="20" t="s">
        <v>545</v>
      </c>
      <c r="I110" s="20" t="s">
        <v>893</v>
      </c>
      <c r="J110" s="20" t="s">
        <v>683</v>
      </c>
      <c r="K110" s="44" t="s">
        <v>768</v>
      </c>
      <c r="L110" s="20">
        <v>1</v>
      </c>
      <c r="M110" s="14">
        <f t="shared" si="31"/>
        <v>25</v>
      </c>
      <c r="N110" s="20">
        <v>100</v>
      </c>
      <c r="O110" s="52" t="s">
        <v>838</v>
      </c>
      <c r="P110" s="15">
        <v>1.1999999999999999E-3</v>
      </c>
      <c r="Q110" s="15">
        <f t="shared" si="30"/>
        <v>0.12</v>
      </c>
      <c r="R110" s="20"/>
    </row>
    <row r="111" spans="1:18">
      <c r="A111" s="1"/>
      <c r="B111" s="16">
        <f>ROW(B111) - ROW($B$7)</f>
        <v>104</v>
      </c>
      <c r="C111" s="23" t="s">
        <v>33</v>
      </c>
      <c r="D111" s="14" t="s">
        <v>143</v>
      </c>
      <c r="E111" s="14" t="s">
        <v>297</v>
      </c>
      <c r="F111" s="14" t="s">
        <v>395</v>
      </c>
      <c r="G111" s="14" t="s">
        <v>498</v>
      </c>
      <c r="H111" s="14" t="s">
        <v>545</v>
      </c>
      <c r="I111" s="14" t="s">
        <v>622</v>
      </c>
      <c r="J111" s="14" t="s">
        <v>684</v>
      </c>
      <c r="K111" s="43" t="s">
        <v>769</v>
      </c>
      <c r="L111" s="14">
        <v>3</v>
      </c>
      <c r="M111" s="14">
        <f t="shared" si="31"/>
        <v>75</v>
      </c>
      <c r="N111" s="14">
        <v>100</v>
      </c>
      <c r="O111" s="52" t="s">
        <v>838</v>
      </c>
      <c r="P111" s="15" t="s">
        <v>884</v>
      </c>
      <c r="Q111" s="15">
        <f t="shared" si="30"/>
        <v>0.06</v>
      </c>
      <c r="R111" s="14"/>
    </row>
    <row r="112" spans="1:18" ht="36">
      <c r="A112" s="1"/>
      <c r="B112" s="17">
        <f t="shared" si="0"/>
        <v>105</v>
      </c>
      <c r="C112" s="23" t="s">
        <v>33</v>
      </c>
      <c r="D112" s="20" t="s">
        <v>144</v>
      </c>
      <c r="E112" s="20" t="s">
        <v>298</v>
      </c>
      <c r="F112" s="20" t="s">
        <v>395</v>
      </c>
      <c r="G112" s="20" t="s">
        <v>499</v>
      </c>
      <c r="H112" s="20" t="s">
        <v>545</v>
      </c>
      <c r="I112" s="14" t="s">
        <v>622</v>
      </c>
      <c r="J112" s="20" t="s">
        <v>685</v>
      </c>
      <c r="K112" s="44" t="s">
        <v>770</v>
      </c>
      <c r="L112" s="20">
        <v>16</v>
      </c>
      <c r="M112" s="14">
        <f t="shared" si="31"/>
        <v>400</v>
      </c>
      <c r="N112" s="20">
        <v>500</v>
      </c>
      <c r="O112" s="52" t="s">
        <v>838</v>
      </c>
      <c r="P112" s="21" t="s">
        <v>884</v>
      </c>
      <c r="Q112" s="15">
        <f t="shared" si="30"/>
        <v>0.3</v>
      </c>
      <c r="R112" s="20"/>
    </row>
    <row r="113" spans="1:18">
      <c r="A113" s="1"/>
      <c r="B113" s="16">
        <f>ROW(B113) - ROW($B$7)</f>
        <v>106</v>
      </c>
      <c r="C113" s="22" t="s">
        <v>33</v>
      </c>
      <c r="D113" s="14" t="s">
        <v>145</v>
      </c>
      <c r="E113" s="14" t="s">
        <v>299</v>
      </c>
      <c r="F113" s="14" t="s">
        <v>395</v>
      </c>
      <c r="G113" s="14" t="s">
        <v>500</v>
      </c>
      <c r="H113" s="14" t="s">
        <v>545</v>
      </c>
      <c r="I113" s="14" t="s">
        <v>622</v>
      </c>
      <c r="J113" s="14" t="s">
        <v>686</v>
      </c>
      <c r="K113" s="43" t="s">
        <v>771</v>
      </c>
      <c r="L113" s="14">
        <v>1</v>
      </c>
      <c r="M113" s="14">
        <f t="shared" si="31"/>
        <v>25</v>
      </c>
      <c r="N113" s="14">
        <v>100</v>
      </c>
      <c r="O113" s="52" t="s">
        <v>838</v>
      </c>
      <c r="P113" s="15" t="s">
        <v>884</v>
      </c>
      <c r="Q113" s="15">
        <f t="shared" si="30"/>
        <v>0.06</v>
      </c>
      <c r="R113" s="14"/>
    </row>
    <row r="114" spans="1:18">
      <c r="A114" s="1"/>
      <c r="B114" s="17">
        <f t="shared" si="0"/>
        <v>107</v>
      </c>
      <c r="C114" s="23" t="s">
        <v>33</v>
      </c>
      <c r="D114" s="20" t="s">
        <v>146</v>
      </c>
      <c r="E114" s="20" t="s">
        <v>300</v>
      </c>
      <c r="F114" s="20" t="s">
        <v>398</v>
      </c>
      <c r="G114" s="20" t="s">
        <v>501</v>
      </c>
      <c r="H114" s="20" t="s">
        <v>545</v>
      </c>
      <c r="I114" s="14" t="s">
        <v>622</v>
      </c>
      <c r="J114" s="20" t="s">
        <v>687</v>
      </c>
      <c r="K114" s="44" t="s">
        <v>772</v>
      </c>
      <c r="L114" s="20">
        <v>1</v>
      </c>
      <c r="M114" s="14">
        <f t="shared" si="31"/>
        <v>25</v>
      </c>
      <c r="N114" s="20">
        <v>100</v>
      </c>
      <c r="O114" s="52" t="s">
        <v>838</v>
      </c>
      <c r="P114" s="21" t="s">
        <v>890</v>
      </c>
      <c r="Q114" s="15">
        <f t="shared" si="30"/>
        <v>0.12</v>
      </c>
      <c r="R114" s="20"/>
    </row>
    <row r="115" spans="1:18">
      <c r="A115" s="1"/>
      <c r="B115" s="16">
        <f>ROW(B115) - ROW($B$7)</f>
        <v>108</v>
      </c>
      <c r="C115" s="22" t="s">
        <v>33</v>
      </c>
      <c r="D115" s="14" t="s">
        <v>147</v>
      </c>
      <c r="E115" s="14" t="s">
        <v>301</v>
      </c>
      <c r="F115" s="14" t="s">
        <v>398</v>
      </c>
      <c r="G115" s="14" t="s">
        <v>502</v>
      </c>
      <c r="H115" s="14" t="s">
        <v>545</v>
      </c>
      <c r="I115" s="14" t="s">
        <v>622</v>
      </c>
      <c r="J115" s="14" t="s">
        <v>688</v>
      </c>
      <c r="K115" s="43" t="s">
        <v>773</v>
      </c>
      <c r="L115" s="14">
        <v>1</v>
      </c>
      <c r="M115" s="14">
        <f t="shared" si="31"/>
        <v>25</v>
      </c>
      <c r="N115" s="14">
        <v>100</v>
      </c>
      <c r="O115" s="52" t="s">
        <v>838</v>
      </c>
      <c r="P115" s="15" t="s">
        <v>890</v>
      </c>
      <c r="Q115" s="15">
        <f t="shared" si="30"/>
        <v>0.12</v>
      </c>
      <c r="R115" s="14"/>
    </row>
    <row r="116" spans="1:18">
      <c r="A116" s="1"/>
      <c r="B116" s="17">
        <f t="shared" si="0"/>
        <v>109</v>
      </c>
      <c r="C116" s="23" t="s">
        <v>33</v>
      </c>
      <c r="D116" s="20" t="s">
        <v>148</v>
      </c>
      <c r="E116" s="20" t="s">
        <v>302</v>
      </c>
      <c r="F116" s="20" t="s">
        <v>395</v>
      </c>
      <c r="G116" s="20" t="s">
        <v>503</v>
      </c>
      <c r="H116" s="20" t="s">
        <v>545</v>
      </c>
      <c r="I116" s="14" t="s">
        <v>622</v>
      </c>
      <c r="J116" s="20" t="s">
        <v>689</v>
      </c>
      <c r="K116" s="44" t="s">
        <v>774</v>
      </c>
      <c r="L116" s="20">
        <v>2</v>
      </c>
      <c r="M116" s="14">
        <f t="shared" si="31"/>
        <v>50</v>
      </c>
      <c r="N116" s="20">
        <v>100</v>
      </c>
      <c r="O116" s="52" t="s">
        <v>838</v>
      </c>
      <c r="P116" s="21" t="s">
        <v>884</v>
      </c>
      <c r="Q116" s="15">
        <f t="shared" si="30"/>
        <v>0.06</v>
      </c>
      <c r="R116" s="20"/>
    </row>
    <row r="117" spans="1:18">
      <c r="A117" s="1"/>
      <c r="B117" s="16">
        <f>ROW(B117) - ROW($B$7)</f>
        <v>110</v>
      </c>
      <c r="C117" s="22" t="s">
        <v>33</v>
      </c>
      <c r="D117" s="14" t="s">
        <v>149</v>
      </c>
      <c r="E117" s="14" t="s">
        <v>303</v>
      </c>
      <c r="F117" s="14" t="s">
        <v>398</v>
      </c>
      <c r="G117" s="14" t="s">
        <v>504</v>
      </c>
      <c r="H117" s="14" t="s">
        <v>545</v>
      </c>
      <c r="I117" s="14" t="s">
        <v>622</v>
      </c>
      <c r="J117" s="14" t="s">
        <v>690</v>
      </c>
      <c r="K117" s="43" t="s">
        <v>775</v>
      </c>
      <c r="L117" s="14">
        <v>6</v>
      </c>
      <c r="M117" s="14">
        <f t="shared" si="31"/>
        <v>150</v>
      </c>
      <c r="N117" s="14">
        <v>200</v>
      </c>
      <c r="O117" s="52" t="s">
        <v>838</v>
      </c>
      <c r="P117" s="15" t="s">
        <v>890</v>
      </c>
      <c r="Q117" s="15">
        <f t="shared" si="30"/>
        <v>0.24</v>
      </c>
      <c r="R117" s="14"/>
    </row>
    <row r="118" spans="1:18" ht="24">
      <c r="A118" s="1"/>
      <c r="B118" s="17">
        <f t="shared" si="0"/>
        <v>111</v>
      </c>
      <c r="C118" s="23" t="s">
        <v>33</v>
      </c>
      <c r="D118" s="20" t="s">
        <v>150</v>
      </c>
      <c r="E118" s="20" t="s">
        <v>304</v>
      </c>
      <c r="F118" s="20" t="s">
        <v>398</v>
      </c>
      <c r="G118" s="20" t="s">
        <v>505</v>
      </c>
      <c r="H118" s="20" t="s">
        <v>545</v>
      </c>
      <c r="I118" s="14" t="s">
        <v>622</v>
      </c>
      <c r="J118" s="20" t="s">
        <v>691</v>
      </c>
      <c r="K118" s="44" t="s">
        <v>765</v>
      </c>
      <c r="L118" s="20">
        <v>9</v>
      </c>
      <c r="M118" s="14">
        <f t="shared" si="31"/>
        <v>225</v>
      </c>
      <c r="N118" s="20">
        <v>300</v>
      </c>
      <c r="O118" s="52" t="s">
        <v>838</v>
      </c>
      <c r="P118" s="21" t="s">
        <v>829</v>
      </c>
      <c r="Q118" s="15">
        <f t="shared" si="30"/>
        <v>0.33</v>
      </c>
      <c r="R118" s="20"/>
    </row>
    <row r="119" spans="1:18">
      <c r="A119" s="1"/>
      <c r="B119" s="16">
        <f>ROW(B119) - ROW($B$7)</f>
        <v>112</v>
      </c>
      <c r="C119" s="22" t="s">
        <v>33</v>
      </c>
      <c r="D119" s="14" t="s">
        <v>151</v>
      </c>
      <c r="E119" s="14" t="s">
        <v>305</v>
      </c>
      <c r="F119" s="14" t="s">
        <v>395</v>
      </c>
      <c r="G119" s="14" t="s">
        <v>506</v>
      </c>
      <c r="H119" s="14" t="s">
        <v>545</v>
      </c>
      <c r="I119" s="14" t="s">
        <v>622</v>
      </c>
      <c r="J119" s="14" t="s">
        <v>692</v>
      </c>
      <c r="K119" s="43" t="s">
        <v>762</v>
      </c>
      <c r="L119" s="14">
        <v>2</v>
      </c>
      <c r="M119" s="14">
        <f t="shared" si="31"/>
        <v>50</v>
      </c>
      <c r="N119" s="14">
        <v>100</v>
      </c>
      <c r="O119" s="52" t="s">
        <v>838</v>
      </c>
      <c r="P119" s="15" t="s">
        <v>829</v>
      </c>
      <c r="Q119" s="15">
        <f t="shared" si="30"/>
        <v>0.11</v>
      </c>
      <c r="R119" s="14"/>
    </row>
    <row r="120" spans="1:18">
      <c r="A120" s="1"/>
      <c r="B120" s="17">
        <f t="shared" si="0"/>
        <v>113</v>
      </c>
      <c r="C120" s="23" t="s">
        <v>33</v>
      </c>
      <c r="D120" s="20" t="s">
        <v>152</v>
      </c>
      <c r="E120" s="20" t="s">
        <v>306</v>
      </c>
      <c r="F120" s="20" t="s">
        <v>398</v>
      </c>
      <c r="G120" s="20" t="s">
        <v>507</v>
      </c>
      <c r="H120" s="20" t="s">
        <v>545</v>
      </c>
      <c r="I120" s="14" t="s">
        <v>622</v>
      </c>
      <c r="J120" s="20" t="s">
        <v>693</v>
      </c>
      <c r="K120" s="44" t="s">
        <v>776</v>
      </c>
      <c r="L120" s="20">
        <v>4</v>
      </c>
      <c r="M120" s="14">
        <f t="shared" si="31"/>
        <v>100</v>
      </c>
      <c r="N120" s="20">
        <v>200</v>
      </c>
      <c r="O120" s="52" t="s">
        <v>838</v>
      </c>
      <c r="P120" s="21" t="s">
        <v>821</v>
      </c>
      <c r="Q120" s="15">
        <f t="shared" si="30"/>
        <v>0.2</v>
      </c>
      <c r="R120" s="20"/>
    </row>
    <row r="121" spans="1:18" ht="24">
      <c r="A121" s="1"/>
      <c r="B121" s="16">
        <f>ROW(B121) - ROW($B$7)</f>
        <v>114</v>
      </c>
      <c r="C121" s="22" t="s">
        <v>33</v>
      </c>
      <c r="D121" s="14" t="s">
        <v>153</v>
      </c>
      <c r="E121" s="14" t="s">
        <v>307</v>
      </c>
      <c r="F121" s="14" t="s">
        <v>395</v>
      </c>
      <c r="G121" s="14" t="s">
        <v>508</v>
      </c>
      <c r="H121" s="14" t="s">
        <v>545</v>
      </c>
      <c r="I121" s="14" t="s">
        <v>622</v>
      </c>
      <c r="J121" s="14" t="s">
        <v>694</v>
      </c>
      <c r="K121" s="43" t="s">
        <v>777</v>
      </c>
      <c r="L121" s="14">
        <v>1</v>
      </c>
      <c r="M121" s="14">
        <f t="shared" si="31"/>
        <v>25</v>
      </c>
      <c r="N121" s="14">
        <v>50</v>
      </c>
      <c r="O121" s="52" t="s">
        <v>838</v>
      </c>
      <c r="P121" s="15" t="s">
        <v>891</v>
      </c>
      <c r="Q121" s="15">
        <f t="shared" si="30"/>
        <v>0.90500000000000003</v>
      </c>
      <c r="R121" s="14"/>
    </row>
    <row r="122" spans="1:18" ht="25.5">
      <c r="A122" s="1"/>
      <c r="B122" s="17">
        <f t="shared" si="0"/>
        <v>115</v>
      </c>
      <c r="C122" s="23" t="s">
        <v>33</v>
      </c>
      <c r="D122" s="47" t="s">
        <v>154</v>
      </c>
      <c r="E122" s="47" t="s">
        <v>298</v>
      </c>
      <c r="F122" s="47" t="s">
        <v>395</v>
      </c>
      <c r="G122" s="47" t="s">
        <v>499</v>
      </c>
      <c r="H122" s="47" t="s">
        <v>545</v>
      </c>
      <c r="I122" s="47" t="s">
        <v>622</v>
      </c>
      <c r="J122" s="47" t="s">
        <v>685</v>
      </c>
      <c r="K122" s="46" t="s">
        <v>766</v>
      </c>
      <c r="L122" s="47">
        <v>1</v>
      </c>
      <c r="M122" s="14">
        <f t="shared" si="31"/>
        <v>25</v>
      </c>
      <c r="N122" s="47" t="s">
        <v>622</v>
      </c>
      <c r="O122" s="55" t="s">
        <v>838</v>
      </c>
      <c r="P122" s="48" t="s">
        <v>884</v>
      </c>
      <c r="Q122" s="15" t="s">
        <v>622</v>
      </c>
      <c r="R122" s="49" t="s">
        <v>803</v>
      </c>
    </row>
    <row r="123" spans="1:18">
      <c r="A123" s="1"/>
      <c r="B123" s="16">
        <f>ROW(B123) - ROW($B$7)</f>
        <v>116</v>
      </c>
      <c r="C123" s="23" t="s">
        <v>33</v>
      </c>
      <c r="D123" s="14" t="s">
        <v>155</v>
      </c>
      <c r="E123" s="14" t="s">
        <v>308</v>
      </c>
      <c r="F123" s="20" t="s">
        <v>395</v>
      </c>
      <c r="G123" s="14" t="s">
        <v>509</v>
      </c>
      <c r="H123" s="14" t="s">
        <v>545</v>
      </c>
      <c r="I123" s="14" t="s">
        <v>622</v>
      </c>
      <c r="J123" s="14" t="s">
        <v>695</v>
      </c>
      <c r="K123" s="44" t="s">
        <v>778</v>
      </c>
      <c r="L123" s="14">
        <v>4</v>
      </c>
      <c r="M123" s="14">
        <f t="shared" si="31"/>
        <v>100</v>
      </c>
      <c r="N123" s="14">
        <v>200</v>
      </c>
      <c r="O123" s="52" t="s">
        <v>838</v>
      </c>
      <c r="P123" s="15" t="s">
        <v>884</v>
      </c>
      <c r="Q123" s="15">
        <f t="shared" si="30"/>
        <v>0.12</v>
      </c>
      <c r="R123" s="14"/>
    </row>
    <row r="124" spans="1:18" ht="36">
      <c r="A124" s="1"/>
      <c r="B124" s="17">
        <f t="shared" si="0"/>
        <v>117</v>
      </c>
      <c r="C124" s="22" t="s">
        <v>33</v>
      </c>
      <c r="D124" s="20" t="s">
        <v>156</v>
      </c>
      <c r="E124" s="20" t="s">
        <v>309</v>
      </c>
      <c r="F124" s="14" t="s">
        <v>395</v>
      </c>
      <c r="G124" s="20" t="s">
        <v>510</v>
      </c>
      <c r="H124" s="20" t="s">
        <v>579</v>
      </c>
      <c r="I124" s="14" t="s">
        <v>622</v>
      </c>
      <c r="J124" s="20" t="s">
        <v>696</v>
      </c>
      <c r="K124" s="43" t="s">
        <v>779</v>
      </c>
      <c r="L124" s="20">
        <v>8</v>
      </c>
      <c r="M124" s="14">
        <f t="shared" si="31"/>
        <v>200</v>
      </c>
      <c r="N124" s="20">
        <v>300</v>
      </c>
      <c r="O124" s="52" t="s">
        <v>838</v>
      </c>
      <c r="P124" s="21" t="s">
        <v>888</v>
      </c>
      <c r="Q124" s="15">
        <f t="shared" si="30"/>
        <v>0.15</v>
      </c>
      <c r="R124" s="20"/>
    </row>
    <row r="125" spans="1:18">
      <c r="A125" s="1"/>
      <c r="B125" s="16">
        <f>ROW(B125) - ROW($B$7)</f>
        <v>118</v>
      </c>
      <c r="C125" s="23" t="s">
        <v>33</v>
      </c>
      <c r="D125" s="14" t="s">
        <v>157</v>
      </c>
      <c r="E125" s="14" t="s">
        <v>310</v>
      </c>
      <c r="F125" s="20" t="s">
        <v>398</v>
      </c>
      <c r="G125" s="14" t="s">
        <v>511</v>
      </c>
      <c r="H125" s="14" t="s">
        <v>545</v>
      </c>
      <c r="I125" s="14" t="s">
        <v>622</v>
      </c>
      <c r="J125" s="14" t="s">
        <v>697</v>
      </c>
      <c r="K125" s="44" t="s">
        <v>775</v>
      </c>
      <c r="L125" s="14">
        <v>4</v>
      </c>
      <c r="M125" s="14">
        <f t="shared" si="31"/>
        <v>100</v>
      </c>
      <c r="N125" s="14">
        <v>200</v>
      </c>
      <c r="O125" s="52" t="s">
        <v>838</v>
      </c>
      <c r="P125" s="15" t="s">
        <v>821</v>
      </c>
      <c r="Q125" s="15">
        <f t="shared" si="30"/>
        <v>0.2</v>
      </c>
      <c r="R125" s="14"/>
    </row>
    <row r="126" spans="1:18">
      <c r="A126" s="1"/>
      <c r="B126" s="17">
        <f t="shared" si="0"/>
        <v>119</v>
      </c>
      <c r="C126" s="22" t="s">
        <v>33</v>
      </c>
      <c r="D126" s="20" t="s">
        <v>158</v>
      </c>
      <c r="E126" s="20" t="s">
        <v>311</v>
      </c>
      <c r="F126" s="14" t="s">
        <v>399</v>
      </c>
      <c r="G126" s="20" t="s">
        <v>512</v>
      </c>
      <c r="H126" s="20" t="s">
        <v>545</v>
      </c>
      <c r="I126" s="14" t="s">
        <v>622</v>
      </c>
      <c r="J126" s="20" t="s">
        <v>892</v>
      </c>
      <c r="K126" s="43" t="s">
        <v>762</v>
      </c>
      <c r="L126" s="20">
        <v>6</v>
      </c>
      <c r="M126" s="14">
        <f t="shared" si="31"/>
        <v>150</v>
      </c>
      <c r="N126" s="20">
        <v>200</v>
      </c>
      <c r="O126" s="52" t="s">
        <v>838</v>
      </c>
      <c r="P126" s="21">
        <v>1.8E-3</v>
      </c>
      <c r="Q126" s="15">
        <f t="shared" si="30"/>
        <v>0.36</v>
      </c>
      <c r="R126" s="20"/>
    </row>
    <row r="127" spans="1:18" ht="25.5">
      <c r="A127" s="1"/>
      <c r="B127" s="16">
        <f>ROW(B127) - ROW($B$7)</f>
        <v>120</v>
      </c>
      <c r="C127" s="23" t="s">
        <v>33</v>
      </c>
      <c r="D127" s="50" t="s">
        <v>159</v>
      </c>
      <c r="E127" s="50" t="s">
        <v>311</v>
      </c>
      <c r="F127" s="47" t="s">
        <v>399</v>
      </c>
      <c r="G127" s="50" t="s">
        <v>512</v>
      </c>
      <c r="H127" s="50" t="s">
        <v>545</v>
      </c>
      <c r="I127" s="50" t="s">
        <v>622</v>
      </c>
      <c r="J127" s="50" t="s">
        <v>892</v>
      </c>
      <c r="K127" s="46" t="s">
        <v>766</v>
      </c>
      <c r="L127" s="50">
        <v>2</v>
      </c>
      <c r="M127" s="14">
        <f t="shared" si="31"/>
        <v>50</v>
      </c>
      <c r="N127" s="47" t="s">
        <v>622</v>
      </c>
      <c r="O127" s="47" t="s">
        <v>622</v>
      </c>
      <c r="P127" s="48" t="s">
        <v>622</v>
      </c>
      <c r="Q127" s="15" t="s">
        <v>622</v>
      </c>
      <c r="R127" s="49" t="s">
        <v>803</v>
      </c>
    </row>
    <row r="128" spans="1:18">
      <c r="A128" s="1"/>
      <c r="B128" s="17">
        <f t="shared" si="0"/>
        <v>121</v>
      </c>
      <c r="C128" s="22" t="s">
        <v>33</v>
      </c>
      <c r="D128" s="20" t="s">
        <v>160</v>
      </c>
      <c r="E128" s="20" t="s">
        <v>312</v>
      </c>
      <c r="F128" s="14" t="s">
        <v>396</v>
      </c>
      <c r="G128" s="20" t="s">
        <v>513</v>
      </c>
      <c r="H128" s="20" t="s">
        <v>545</v>
      </c>
      <c r="I128" s="20" t="s">
        <v>622</v>
      </c>
      <c r="J128" s="20" t="s">
        <v>698</v>
      </c>
      <c r="K128" s="43" t="s">
        <v>780</v>
      </c>
      <c r="L128" s="20">
        <v>1</v>
      </c>
      <c r="M128" s="14">
        <f t="shared" si="31"/>
        <v>25</v>
      </c>
      <c r="N128" s="20">
        <v>100</v>
      </c>
      <c r="O128" s="52" t="s">
        <v>838</v>
      </c>
      <c r="P128" s="21" t="s">
        <v>825</v>
      </c>
      <c r="Q128" s="15">
        <f t="shared" si="30"/>
        <v>0.2</v>
      </c>
      <c r="R128" s="20"/>
    </row>
    <row r="129" spans="1:18">
      <c r="A129" s="1"/>
      <c r="B129" s="16">
        <f>ROW(B129) - ROW($B$7)</f>
        <v>122</v>
      </c>
      <c r="C129" s="23" t="s">
        <v>34</v>
      </c>
      <c r="D129" s="14" t="s">
        <v>161</v>
      </c>
      <c r="E129" s="14" t="s">
        <v>313</v>
      </c>
      <c r="F129" s="20" t="s">
        <v>395</v>
      </c>
      <c r="G129" s="14" t="s">
        <v>514</v>
      </c>
      <c r="H129" s="14" t="s">
        <v>545</v>
      </c>
      <c r="I129" s="20" t="s">
        <v>622</v>
      </c>
      <c r="J129" s="14" t="s">
        <v>699</v>
      </c>
      <c r="K129" s="44" t="s">
        <v>781</v>
      </c>
      <c r="L129" s="14">
        <v>1</v>
      </c>
      <c r="M129" s="14">
        <f t="shared" si="31"/>
        <v>25</v>
      </c>
      <c r="N129" s="14">
        <v>50</v>
      </c>
      <c r="O129" s="52" t="s">
        <v>838</v>
      </c>
      <c r="P129" s="15" t="s">
        <v>894</v>
      </c>
      <c r="Q129" s="15">
        <f t="shared" si="30"/>
        <v>0.95</v>
      </c>
      <c r="R129" s="14"/>
    </row>
    <row r="130" spans="1:18">
      <c r="A130" s="1"/>
      <c r="B130" s="17">
        <f t="shared" si="0"/>
        <v>123</v>
      </c>
      <c r="C130" s="22" t="s">
        <v>33</v>
      </c>
      <c r="D130" s="20" t="s">
        <v>162</v>
      </c>
      <c r="E130" s="20" t="s">
        <v>314</v>
      </c>
      <c r="F130" s="14" t="s">
        <v>395</v>
      </c>
      <c r="G130" s="20" t="s">
        <v>515</v>
      </c>
      <c r="H130" s="20" t="s">
        <v>545</v>
      </c>
      <c r="I130" s="20" t="s">
        <v>622</v>
      </c>
      <c r="J130" s="20" t="s">
        <v>700</v>
      </c>
      <c r="K130" s="43" t="s">
        <v>782</v>
      </c>
      <c r="L130" s="20">
        <v>6</v>
      </c>
      <c r="M130" s="14">
        <f t="shared" si="31"/>
        <v>150</v>
      </c>
      <c r="N130" s="20">
        <v>200</v>
      </c>
      <c r="O130" s="52" t="s">
        <v>838</v>
      </c>
      <c r="P130" s="21" t="s">
        <v>887</v>
      </c>
      <c r="Q130" s="15">
        <f t="shared" ref="Q130:Q161" si="32">P130*N130</f>
        <v>0.13999999999999999</v>
      </c>
      <c r="R130" s="20"/>
    </row>
    <row r="131" spans="1:18" ht="24">
      <c r="A131" s="1"/>
      <c r="B131" s="16">
        <f>ROW(B131) - ROW($B$7)</f>
        <v>124</v>
      </c>
      <c r="C131" s="23" t="s">
        <v>33</v>
      </c>
      <c r="D131" s="14" t="s">
        <v>163</v>
      </c>
      <c r="E131" s="14" t="s">
        <v>315</v>
      </c>
      <c r="F131" s="20" t="s">
        <v>396</v>
      </c>
      <c r="G131" s="14" t="s">
        <v>516</v>
      </c>
      <c r="H131" s="14" t="s">
        <v>545</v>
      </c>
      <c r="I131" s="20" t="s">
        <v>622</v>
      </c>
      <c r="J131" s="14" t="s">
        <v>701</v>
      </c>
      <c r="K131" s="44" t="s">
        <v>783</v>
      </c>
      <c r="L131" s="14">
        <v>1</v>
      </c>
      <c r="M131" s="14">
        <f t="shared" si="31"/>
        <v>25</v>
      </c>
      <c r="N131" s="14">
        <v>40</v>
      </c>
      <c r="O131" s="52" t="s">
        <v>838</v>
      </c>
      <c r="P131" s="15" t="s">
        <v>895</v>
      </c>
      <c r="Q131" s="15">
        <f t="shared" si="32"/>
        <v>0.34</v>
      </c>
      <c r="R131" s="14"/>
    </row>
    <row r="132" spans="1:18">
      <c r="A132" s="1"/>
      <c r="B132" s="17">
        <f t="shared" si="0"/>
        <v>125</v>
      </c>
      <c r="C132" s="22" t="s">
        <v>33</v>
      </c>
      <c r="D132" s="20" t="s">
        <v>164</v>
      </c>
      <c r="E132" s="20" t="s">
        <v>316</v>
      </c>
      <c r="F132" s="14" t="s">
        <v>396</v>
      </c>
      <c r="G132" s="20" t="s">
        <v>517</v>
      </c>
      <c r="H132" s="20" t="s">
        <v>545</v>
      </c>
      <c r="I132" s="20" t="s">
        <v>622</v>
      </c>
      <c r="J132" s="20" t="s">
        <v>702</v>
      </c>
      <c r="K132" s="43" t="s">
        <v>784</v>
      </c>
      <c r="L132" s="20">
        <v>1</v>
      </c>
      <c r="M132" s="14">
        <f t="shared" si="31"/>
        <v>25</v>
      </c>
      <c r="N132" s="20">
        <v>100</v>
      </c>
      <c r="O132" s="52" t="s">
        <v>838</v>
      </c>
      <c r="P132" s="21" t="s">
        <v>825</v>
      </c>
      <c r="Q132" s="15">
        <f t="shared" si="32"/>
        <v>0.2</v>
      </c>
      <c r="R132" s="20"/>
    </row>
    <row r="133" spans="1:18" ht="24">
      <c r="A133" s="1"/>
      <c r="B133" s="16">
        <f>ROW(B133) - ROW($B$7)</f>
        <v>126</v>
      </c>
      <c r="C133" s="23" t="s">
        <v>34</v>
      </c>
      <c r="D133" s="14" t="s">
        <v>165</v>
      </c>
      <c r="E133" s="14" t="s">
        <v>317</v>
      </c>
      <c r="F133" s="20" t="s">
        <v>396</v>
      </c>
      <c r="G133" s="14" t="s">
        <v>518</v>
      </c>
      <c r="H133" s="14" t="s">
        <v>545</v>
      </c>
      <c r="I133" s="20" t="s">
        <v>622</v>
      </c>
      <c r="J133" s="14" t="s">
        <v>703</v>
      </c>
      <c r="K133" s="44" t="s">
        <v>785</v>
      </c>
      <c r="L133" s="14">
        <v>1</v>
      </c>
      <c r="M133" s="14">
        <f t="shared" si="31"/>
        <v>25</v>
      </c>
      <c r="N133" s="14">
        <v>40</v>
      </c>
      <c r="O133" s="52" t="s">
        <v>838</v>
      </c>
      <c r="P133" s="15" t="s">
        <v>885</v>
      </c>
      <c r="Q133" s="15">
        <f t="shared" si="32"/>
        <v>1.444</v>
      </c>
      <c r="R133" s="14"/>
    </row>
    <row r="134" spans="1:18" ht="24">
      <c r="A134" s="1"/>
      <c r="B134" s="17">
        <f t="shared" si="0"/>
        <v>127</v>
      </c>
      <c r="C134" s="22" t="s">
        <v>33</v>
      </c>
      <c r="D134" s="20" t="s">
        <v>166</v>
      </c>
      <c r="E134" s="20" t="s">
        <v>318</v>
      </c>
      <c r="F134" s="14" t="s">
        <v>395</v>
      </c>
      <c r="G134" s="20" t="s">
        <v>519</v>
      </c>
      <c r="H134" s="20" t="s">
        <v>545</v>
      </c>
      <c r="I134" s="20" t="s">
        <v>622</v>
      </c>
      <c r="J134" s="20" t="s">
        <v>704</v>
      </c>
      <c r="K134" s="43" t="s">
        <v>786</v>
      </c>
      <c r="L134" s="20">
        <v>1</v>
      </c>
      <c r="M134" s="14">
        <f t="shared" si="31"/>
        <v>25</v>
      </c>
      <c r="N134" s="20">
        <v>40</v>
      </c>
      <c r="O134" s="52" t="s">
        <v>838</v>
      </c>
      <c r="P134" s="21" t="s">
        <v>822</v>
      </c>
      <c r="Q134" s="15">
        <f t="shared" si="32"/>
        <v>0.94</v>
      </c>
      <c r="R134" s="20"/>
    </row>
    <row r="135" spans="1:18" ht="24">
      <c r="A135" s="1"/>
      <c r="B135" s="16">
        <f>ROW(B135) - ROW($B$7)</f>
        <v>128</v>
      </c>
      <c r="C135" s="23" t="s">
        <v>34</v>
      </c>
      <c r="D135" s="14" t="s">
        <v>167</v>
      </c>
      <c r="E135" s="14" t="s">
        <v>319</v>
      </c>
      <c r="F135" s="20" t="s">
        <v>395</v>
      </c>
      <c r="G135" s="14" t="s">
        <v>520</v>
      </c>
      <c r="H135" s="14" t="s">
        <v>545</v>
      </c>
      <c r="I135" s="20" t="s">
        <v>622</v>
      </c>
      <c r="J135" s="14" t="s">
        <v>705</v>
      </c>
      <c r="K135" s="44" t="s">
        <v>787</v>
      </c>
      <c r="L135" s="14">
        <v>1</v>
      </c>
      <c r="M135" s="14">
        <f t="shared" si="31"/>
        <v>25</v>
      </c>
      <c r="N135" s="14">
        <v>50</v>
      </c>
      <c r="O135" s="52" t="s">
        <v>838</v>
      </c>
      <c r="P135" s="15">
        <v>1.83E-2</v>
      </c>
      <c r="Q135" s="15">
        <f t="shared" si="32"/>
        <v>0.91500000000000004</v>
      </c>
      <c r="R135" s="14"/>
    </row>
    <row r="136" spans="1:18">
      <c r="A136" s="1"/>
      <c r="B136" s="17">
        <f t="shared" si="0"/>
        <v>129</v>
      </c>
      <c r="C136" s="23" t="s">
        <v>33</v>
      </c>
      <c r="D136" s="20" t="s">
        <v>168</v>
      </c>
      <c r="E136" s="20" t="s">
        <v>320</v>
      </c>
      <c r="F136" s="20" t="s">
        <v>395</v>
      </c>
      <c r="G136" s="20" t="s">
        <v>521</v>
      </c>
      <c r="H136" s="20" t="s">
        <v>545</v>
      </c>
      <c r="I136" s="20" t="s">
        <v>622</v>
      </c>
      <c r="J136" s="20" t="s">
        <v>706</v>
      </c>
      <c r="K136" s="44" t="s">
        <v>788</v>
      </c>
      <c r="L136" s="20">
        <v>2</v>
      </c>
      <c r="M136" s="14">
        <f t="shared" ref="M136:M161" si="33">L136*25</f>
        <v>50</v>
      </c>
      <c r="N136" s="20">
        <v>100</v>
      </c>
      <c r="O136" s="52" t="s">
        <v>838</v>
      </c>
      <c r="P136" s="21" t="s">
        <v>896</v>
      </c>
      <c r="Q136" s="15">
        <f t="shared" si="32"/>
        <v>6</v>
      </c>
      <c r="R136" s="20"/>
    </row>
    <row r="137" spans="1:18" ht="24">
      <c r="A137" s="1"/>
      <c r="B137" s="16">
        <f>ROW(B137) - ROW($B$7)</f>
        <v>130</v>
      </c>
      <c r="C137" s="22" t="s">
        <v>35</v>
      </c>
      <c r="D137" s="14" t="s">
        <v>169</v>
      </c>
      <c r="E137" s="14" t="s">
        <v>321</v>
      </c>
      <c r="F137" s="20" t="s">
        <v>804</v>
      </c>
      <c r="G137" s="14" t="s">
        <v>400</v>
      </c>
      <c r="H137" s="14" t="s">
        <v>580</v>
      </c>
      <c r="I137" s="20" t="s">
        <v>622</v>
      </c>
      <c r="J137" s="14" t="s">
        <v>707</v>
      </c>
      <c r="K137" s="43" t="s">
        <v>622</v>
      </c>
      <c r="L137" s="14">
        <v>7</v>
      </c>
      <c r="M137" s="14">
        <f t="shared" si="33"/>
        <v>175</v>
      </c>
      <c r="N137" s="14">
        <v>180</v>
      </c>
      <c r="O137" s="52" t="s">
        <v>838</v>
      </c>
      <c r="P137" s="15">
        <v>0.1009</v>
      </c>
      <c r="Q137" s="15">
        <f t="shared" si="32"/>
        <v>18.161999999999999</v>
      </c>
      <c r="R137" s="14"/>
    </row>
    <row r="138" spans="1:18" ht="48">
      <c r="A138" s="1"/>
      <c r="B138" s="17">
        <f t="shared" si="0"/>
        <v>131</v>
      </c>
      <c r="C138" s="23" t="s">
        <v>36</v>
      </c>
      <c r="D138" s="20" t="s">
        <v>170</v>
      </c>
      <c r="E138" s="20" t="s">
        <v>322</v>
      </c>
      <c r="F138" s="20" t="s">
        <v>804</v>
      </c>
      <c r="G138" s="20" t="s">
        <v>401</v>
      </c>
      <c r="H138" s="20" t="s">
        <v>581</v>
      </c>
      <c r="I138" s="20" t="s">
        <v>622</v>
      </c>
      <c r="J138" s="20" t="s">
        <v>708</v>
      </c>
      <c r="K138" s="43" t="s">
        <v>622</v>
      </c>
      <c r="L138" s="20">
        <v>1</v>
      </c>
      <c r="M138" s="14">
        <f t="shared" si="33"/>
        <v>25</v>
      </c>
      <c r="N138" s="20">
        <v>26</v>
      </c>
      <c r="O138" s="52" t="s">
        <v>838</v>
      </c>
      <c r="P138" s="21">
        <v>0.27979999999999999</v>
      </c>
      <c r="Q138" s="15">
        <f t="shared" si="32"/>
        <v>7.2747999999999999</v>
      </c>
      <c r="R138" s="20"/>
    </row>
    <row r="139" spans="1:18" ht="25.5">
      <c r="A139" s="1"/>
      <c r="B139" s="16">
        <f>ROW(B139) - ROW($B$7)</f>
        <v>132</v>
      </c>
      <c r="C139" s="22" t="s">
        <v>37</v>
      </c>
      <c r="D139" s="14" t="s">
        <v>171</v>
      </c>
      <c r="E139" s="14" t="s">
        <v>323</v>
      </c>
      <c r="F139" s="20" t="s">
        <v>804</v>
      </c>
      <c r="G139" s="14" t="s">
        <v>522</v>
      </c>
      <c r="H139" s="14" t="s">
        <v>582</v>
      </c>
      <c r="I139" s="20" t="s">
        <v>622</v>
      </c>
      <c r="J139" s="14" t="s">
        <v>709</v>
      </c>
      <c r="K139" s="43" t="s">
        <v>622</v>
      </c>
      <c r="L139" s="14">
        <v>1</v>
      </c>
      <c r="M139" s="14">
        <f t="shared" si="33"/>
        <v>25</v>
      </c>
      <c r="N139" s="14">
        <v>26</v>
      </c>
      <c r="O139" s="52" t="s">
        <v>838</v>
      </c>
      <c r="P139" s="15">
        <v>0.2752</v>
      </c>
      <c r="Q139" s="15">
        <f t="shared" si="32"/>
        <v>7.1551999999999998</v>
      </c>
      <c r="R139" s="14"/>
    </row>
    <row r="140" spans="1:18" ht="24">
      <c r="A140" s="1"/>
      <c r="B140" s="17">
        <f t="shared" si="0"/>
        <v>133</v>
      </c>
      <c r="C140" s="23" t="s">
        <v>38</v>
      </c>
      <c r="D140" s="20" t="s">
        <v>172</v>
      </c>
      <c r="E140" s="20" t="s">
        <v>324</v>
      </c>
      <c r="F140" s="20" t="s">
        <v>357</v>
      </c>
      <c r="G140" s="20" t="s">
        <v>523</v>
      </c>
      <c r="H140" s="20" t="s">
        <v>583</v>
      </c>
      <c r="I140" s="20" t="s">
        <v>622</v>
      </c>
      <c r="J140" s="20" t="s">
        <v>710</v>
      </c>
      <c r="K140" s="43" t="s">
        <v>622</v>
      </c>
      <c r="L140" s="20">
        <v>1</v>
      </c>
      <c r="M140" s="14">
        <f t="shared" si="33"/>
        <v>25</v>
      </c>
      <c r="N140" s="20">
        <v>26</v>
      </c>
      <c r="O140" s="52" t="s">
        <v>838</v>
      </c>
      <c r="P140" s="21">
        <v>0.56140000000000001</v>
      </c>
      <c r="Q140" s="15">
        <f t="shared" si="32"/>
        <v>14.596400000000001</v>
      </c>
      <c r="R140" s="20"/>
    </row>
    <row r="141" spans="1:18" ht="24">
      <c r="A141" s="1"/>
      <c r="B141" s="16">
        <f>ROW(B141) - ROW($B$7)</f>
        <v>134</v>
      </c>
      <c r="C141" s="22" t="s">
        <v>38</v>
      </c>
      <c r="D141" s="14" t="s">
        <v>173</v>
      </c>
      <c r="E141" s="14" t="s">
        <v>325</v>
      </c>
      <c r="F141" s="14" t="s">
        <v>402</v>
      </c>
      <c r="G141" s="14" t="s">
        <v>524</v>
      </c>
      <c r="H141" s="14" t="s">
        <v>583</v>
      </c>
      <c r="I141" s="20" t="s">
        <v>622</v>
      </c>
      <c r="J141" s="14" t="s">
        <v>711</v>
      </c>
      <c r="K141" s="43" t="s">
        <v>622</v>
      </c>
      <c r="L141" s="14">
        <v>1</v>
      </c>
      <c r="M141" s="14">
        <f t="shared" si="33"/>
        <v>25</v>
      </c>
      <c r="N141" s="14">
        <v>26</v>
      </c>
      <c r="O141" s="52" t="s">
        <v>838</v>
      </c>
      <c r="P141" s="15">
        <v>2.6732999999999998</v>
      </c>
      <c r="Q141" s="15">
        <f t="shared" si="32"/>
        <v>69.505799999999994</v>
      </c>
      <c r="R141" s="14"/>
    </row>
    <row r="142" spans="1:18" ht="30">
      <c r="A142" s="1"/>
      <c r="B142" s="17">
        <f t="shared" si="0"/>
        <v>135</v>
      </c>
      <c r="C142" s="23" t="s">
        <v>38</v>
      </c>
      <c r="D142" s="20" t="s">
        <v>174</v>
      </c>
      <c r="E142" s="20" t="s">
        <v>326</v>
      </c>
      <c r="F142" s="20" t="s">
        <v>403</v>
      </c>
      <c r="G142" s="20" t="s">
        <v>525</v>
      </c>
      <c r="H142" s="20" t="s">
        <v>556</v>
      </c>
      <c r="I142" s="20" t="s">
        <v>622</v>
      </c>
      <c r="J142" s="20" t="s">
        <v>712</v>
      </c>
      <c r="K142" s="43" t="s">
        <v>622</v>
      </c>
      <c r="L142" s="20">
        <v>1</v>
      </c>
      <c r="M142" s="14">
        <f t="shared" si="33"/>
        <v>25</v>
      </c>
      <c r="N142" s="20">
        <v>26</v>
      </c>
      <c r="O142" s="57" t="s">
        <v>901</v>
      </c>
      <c r="P142" s="21">
        <v>0.69020000000000004</v>
      </c>
      <c r="Q142" s="15">
        <f t="shared" si="32"/>
        <v>17.9452</v>
      </c>
      <c r="R142" s="20"/>
    </row>
    <row r="143" spans="1:18" ht="24">
      <c r="A143" s="1"/>
      <c r="B143" s="16">
        <f>ROW(B143) - ROW($B$7)</f>
        <v>136</v>
      </c>
      <c r="C143" s="22" t="s">
        <v>38</v>
      </c>
      <c r="D143" s="14" t="s">
        <v>175</v>
      </c>
      <c r="E143" s="14" t="s">
        <v>327</v>
      </c>
      <c r="F143" s="14" t="s">
        <v>404</v>
      </c>
      <c r="G143" s="14" t="s">
        <v>526</v>
      </c>
      <c r="H143" s="14" t="s">
        <v>556</v>
      </c>
      <c r="I143" s="20" t="s">
        <v>622</v>
      </c>
      <c r="J143" s="14" t="s">
        <v>713</v>
      </c>
      <c r="K143" s="43" t="s">
        <v>622</v>
      </c>
      <c r="L143" s="14">
        <v>1</v>
      </c>
      <c r="M143" s="14">
        <f t="shared" si="33"/>
        <v>25</v>
      </c>
      <c r="N143" s="14">
        <v>26</v>
      </c>
      <c r="O143" s="57" t="s">
        <v>858</v>
      </c>
      <c r="P143" s="15">
        <v>3.5985</v>
      </c>
      <c r="Q143" s="15">
        <f t="shared" si="32"/>
        <v>93.561000000000007</v>
      </c>
      <c r="R143" s="14"/>
    </row>
    <row r="144" spans="1:18">
      <c r="A144" s="1"/>
      <c r="B144" s="17">
        <f t="shared" si="0"/>
        <v>137</v>
      </c>
      <c r="C144" s="23" t="s">
        <v>38</v>
      </c>
      <c r="D144" s="20" t="s">
        <v>176</v>
      </c>
      <c r="E144" s="20" t="s">
        <v>328</v>
      </c>
      <c r="F144" s="20" t="s">
        <v>405</v>
      </c>
      <c r="G144" s="20" t="s">
        <v>527</v>
      </c>
      <c r="H144" s="20" t="s">
        <v>584</v>
      </c>
      <c r="I144" s="20" t="s">
        <v>622</v>
      </c>
      <c r="J144" s="20" t="s">
        <v>714</v>
      </c>
      <c r="K144" s="43" t="s">
        <v>622</v>
      </c>
      <c r="L144" s="20">
        <v>1</v>
      </c>
      <c r="M144" s="14">
        <f t="shared" si="33"/>
        <v>25</v>
      </c>
      <c r="N144" s="20">
        <v>26</v>
      </c>
      <c r="O144" s="52" t="s">
        <v>838</v>
      </c>
      <c r="P144" s="21">
        <v>1.5377000000000001</v>
      </c>
      <c r="Q144" s="15">
        <f t="shared" si="32"/>
        <v>39.980200000000004</v>
      </c>
      <c r="R144" s="20"/>
    </row>
    <row r="145" spans="1:18" ht="24">
      <c r="A145" s="1"/>
      <c r="B145" s="16">
        <f>ROW(B145) - ROW($B$7)</f>
        <v>138</v>
      </c>
      <c r="C145" s="22" t="s">
        <v>38</v>
      </c>
      <c r="D145" s="14" t="s">
        <v>177</v>
      </c>
      <c r="E145" s="14" t="s">
        <v>329</v>
      </c>
      <c r="F145" s="14" t="s">
        <v>406</v>
      </c>
      <c r="G145" s="14" t="s">
        <v>528</v>
      </c>
      <c r="H145" s="14" t="s">
        <v>556</v>
      </c>
      <c r="I145" s="20" t="s">
        <v>622</v>
      </c>
      <c r="J145" s="14" t="s">
        <v>715</v>
      </c>
      <c r="K145" s="43" t="s">
        <v>622</v>
      </c>
      <c r="L145" s="14">
        <v>1</v>
      </c>
      <c r="M145" s="14">
        <f t="shared" si="33"/>
        <v>25</v>
      </c>
      <c r="N145" s="14">
        <v>26</v>
      </c>
      <c r="O145" s="52" t="s">
        <v>838</v>
      </c>
      <c r="P145" s="15">
        <v>0.35299999999999998</v>
      </c>
      <c r="Q145" s="15">
        <f t="shared" si="32"/>
        <v>9.177999999999999</v>
      </c>
      <c r="R145" s="14"/>
    </row>
    <row r="146" spans="1:18" ht="36">
      <c r="A146" s="1"/>
      <c r="B146" s="17">
        <f t="shared" si="0"/>
        <v>139</v>
      </c>
      <c r="C146" s="23" t="s">
        <v>9</v>
      </c>
      <c r="D146" s="20" t="s">
        <v>178</v>
      </c>
      <c r="E146" s="20" t="s">
        <v>330</v>
      </c>
      <c r="F146" s="20" t="s">
        <v>357</v>
      </c>
      <c r="G146" s="20" t="s">
        <v>529</v>
      </c>
      <c r="H146" s="20" t="s">
        <v>558</v>
      </c>
      <c r="I146" s="20" t="s">
        <v>622</v>
      </c>
      <c r="J146" s="20" t="s">
        <v>716</v>
      </c>
      <c r="K146" s="43" t="s">
        <v>622</v>
      </c>
      <c r="L146" s="20">
        <v>2</v>
      </c>
      <c r="M146" s="14">
        <f t="shared" si="33"/>
        <v>50</v>
      </c>
      <c r="N146" s="20">
        <v>60</v>
      </c>
      <c r="O146" s="52" t="s">
        <v>838</v>
      </c>
      <c r="P146" s="21" t="s">
        <v>904</v>
      </c>
      <c r="Q146" s="15">
        <f t="shared" si="32"/>
        <v>1.98</v>
      </c>
      <c r="R146" s="20"/>
    </row>
    <row r="147" spans="1:18" ht="36">
      <c r="A147" s="1"/>
      <c r="B147" s="16">
        <f>ROW(B147) - ROW($B$7)</f>
        <v>140</v>
      </c>
      <c r="C147" s="22" t="s">
        <v>38</v>
      </c>
      <c r="D147" s="14" t="s">
        <v>179</v>
      </c>
      <c r="E147" s="14" t="s">
        <v>331</v>
      </c>
      <c r="F147" s="14" t="s">
        <v>407</v>
      </c>
      <c r="G147" s="14" t="s">
        <v>530</v>
      </c>
      <c r="H147" s="14" t="s">
        <v>585</v>
      </c>
      <c r="I147" s="20" t="s">
        <v>622</v>
      </c>
      <c r="J147" s="14" t="s">
        <v>717</v>
      </c>
      <c r="K147" s="43" t="s">
        <v>622</v>
      </c>
      <c r="L147" s="14">
        <v>1</v>
      </c>
      <c r="M147" s="14">
        <f t="shared" si="33"/>
        <v>25</v>
      </c>
      <c r="N147" s="14">
        <v>26</v>
      </c>
      <c r="O147" s="52" t="s">
        <v>838</v>
      </c>
      <c r="P147" s="15">
        <v>1.6920999999999999</v>
      </c>
      <c r="Q147" s="15">
        <f t="shared" si="32"/>
        <v>43.994599999999998</v>
      </c>
      <c r="R147" s="14"/>
    </row>
    <row r="148" spans="1:18" ht="24">
      <c r="A148" s="1"/>
      <c r="B148" s="17">
        <f t="shared" si="0"/>
        <v>141</v>
      </c>
      <c r="C148" s="23" t="s">
        <v>38</v>
      </c>
      <c r="D148" s="20" t="s">
        <v>180</v>
      </c>
      <c r="E148" s="20" t="s">
        <v>332</v>
      </c>
      <c r="F148" s="20" t="s">
        <v>408</v>
      </c>
      <c r="G148" s="20" t="s">
        <v>531</v>
      </c>
      <c r="H148" s="20" t="s">
        <v>583</v>
      </c>
      <c r="I148" s="20" t="s">
        <v>622</v>
      </c>
      <c r="J148" s="20" t="s">
        <v>718</v>
      </c>
      <c r="K148" s="43" t="s">
        <v>622</v>
      </c>
      <c r="L148" s="20">
        <v>3</v>
      </c>
      <c r="M148" s="14">
        <f t="shared" si="33"/>
        <v>75</v>
      </c>
      <c r="N148" s="20">
        <v>76</v>
      </c>
      <c r="O148" s="52" t="s">
        <v>838</v>
      </c>
      <c r="P148" s="21">
        <v>0.98719999999999997</v>
      </c>
      <c r="Q148" s="15">
        <f t="shared" si="32"/>
        <v>75.027199999999993</v>
      </c>
      <c r="R148" s="20"/>
    </row>
    <row r="149" spans="1:18" ht="24">
      <c r="A149" s="1"/>
      <c r="B149" s="16">
        <f>ROW(B149) - ROW($B$7)</f>
        <v>142</v>
      </c>
      <c r="C149" s="22" t="s">
        <v>38</v>
      </c>
      <c r="D149" s="14" t="s">
        <v>181</v>
      </c>
      <c r="E149" s="14" t="s">
        <v>333</v>
      </c>
      <c r="F149" s="14" t="s">
        <v>409</v>
      </c>
      <c r="G149" s="14" t="s">
        <v>532</v>
      </c>
      <c r="H149" s="14" t="s">
        <v>583</v>
      </c>
      <c r="I149" s="20" t="s">
        <v>622</v>
      </c>
      <c r="J149" s="14" t="s">
        <v>719</v>
      </c>
      <c r="K149" s="43" t="s">
        <v>622</v>
      </c>
      <c r="L149" s="14">
        <v>2</v>
      </c>
      <c r="M149" s="14">
        <f t="shared" si="33"/>
        <v>50</v>
      </c>
      <c r="N149" s="14">
        <v>51</v>
      </c>
      <c r="O149" s="52" t="s">
        <v>838</v>
      </c>
      <c r="P149" s="15">
        <v>3.3986000000000001</v>
      </c>
      <c r="Q149" s="15">
        <f t="shared" si="32"/>
        <v>173.32859999999999</v>
      </c>
      <c r="R149" s="14"/>
    </row>
    <row r="150" spans="1:18" ht="24">
      <c r="A150" s="1"/>
      <c r="B150" s="17">
        <f t="shared" si="0"/>
        <v>143</v>
      </c>
      <c r="C150" s="23" t="s">
        <v>38</v>
      </c>
      <c r="D150" s="20" t="s">
        <v>182</v>
      </c>
      <c r="E150" s="20" t="s">
        <v>332</v>
      </c>
      <c r="F150" s="20" t="s">
        <v>408</v>
      </c>
      <c r="G150" s="20" t="s">
        <v>533</v>
      </c>
      <c r="H150" s="20" t="s">
        <v>583</v>
      </c>
      <c r="I150" s="20" t="s">
        <v>622</v>
      </c>
      <c r="J150" s="20" t="s">
        <v>720</v>
      </c>
      <c r="K150" s="43" t="s">
        <v>622</v>
      </c>
      <c r="L150" s="20">
        <v>3</v>
      </c>
      <c r="M150" s="14">
        <f t="shared" si="33"/>
        <v>75</v>
      </c>
      <c r="N150" s="20">
        <v>76</v>
      </c>
      <c r="O150" s="52" t="s">
        <v>838</v>
      </c>
      <c r="P150" s="21">
        <v>4.4337999999999997</v>
      </c>
      <c r="Q150" s="15">
        <f t="shared" si="32"/>
        <v>336.96879999999999</v>
      </c>
      <c r="R150" s="20"/>
    </row>
    <row r="151" spans="1:18" ht="30">
      <c r="A151" s="1"/>
      <c r="B151" s="16">
        <f>ROW(B151) - ROW($B$7)</f>
        <v>144</v>
      </c>
      <c r="C151" s="22" t="s">
        <v>38</v>
      </c>
      <c r="D151" s="14" t="s">
        <v>183</v>
      </c>
      <c r="E151" s="14" t="s">
        <v>334</v>
      </c>
      <c r="F151" s="14" t="s">
        <v>410</v>
      </c>
      <c r="G151" s="14" t="s">
        <v>534</v>
      </c>
      <c r="H151" s="14" t="s">
        <v>584</v>
      </c>
      <c r="I151" s="20" t="s">
        <v>622</v>
      </c>
      <c r="J151" s="14" t="s">
        <v>622</v>
      </c>
      <c r="K151" s="43" t="s">
        <v>622</v>
      </c>
      <c r="L151" s="14">
        <v>1</v>
      </c>
      <c r="M151" s="14">
        <f t="shared" si="33"/>
        <v>25</v>
      </c>
      <c r="N151" s="14">
        <v>26</v>
      </c>
      <c r="O151" s="58" t="s">
        <v>901</v>
      </c>
      <c r="P151" s="15">
        <v>11.925000000000001</v>
      </c>
      <c r="Q151" s="15">
        <f t="shared" si="32"/>
        <v>310.05</v>
      </c>
      <c r="R151" s="14"/>
    </row>
    <row r="152" spans="1:18" ht="24">
      <c r="A152" s="1"/>
      <c r="B152" s="17">
        <f t="shared" si="0"/>
        <v>145</v>
      </c>
      <c r="C152" s="22" t="s">
        <v>38</v>
      </c>
      <c r="D152" s="20" t="s">
        <v>184</v>
      </c>
      <c r="E152" s="20" t="s">
        <v>335</v>
      </c>
      <c r="F152" s="20" t="s">
        <v>804</v>
      </c>
      <c r="G152" s="20" t="s">
        <v>411</v>
      </c>
      <c r="H152" s="20" t="s">
        <v>555</v>
      </c>
      <c r="I152" s="20" t="s">
        <v>622</v>
      </c>
      <c r="J152" s="20" t="s">
        <v>809</v>
      </c>
      <c r="K152" s="43" t="s">
        <v>622</v>
      </c>
      <c r="L152" s="20">
        <v>1</v>
      </c>
      <c r="M152" s="14">
        <f t="shared" si="33"/>
        <v>25</v>
      </c>
      <c r="N152" s="20">
        <v>26</v>
      </c>
      <c r="O152" s="52" t="s">
        <v>838</v>
      </c>
      <c r="P152" s="21">
        <v>0.37819999999999998</v>
      </c>
      <c r="Q152" s="15">
        <f t="shared" si="32"/>
        <v>9.8331999999999997</v>
      </c>
      <c r="R152" s="20"/>
    </row>
    <row r="153" spans="1:18" ht="36">
      <c r="A153" s="1"/>
      <c r="B153" s="16">
        <f>ROW(B153) - ROW($B$7)</f>
        <v>146</v>
      </c>
      <c r="C153" s="22" t="s">
        <v>38</v>
      </c>
      <c r="D153" s="14" t="s">
        <v>185</v>
      </c>
      <c r="E153" s="14" t="s">
        <v>336</v>
      </c>
      <c r="F153" s="20" t="s">
        <v>804</v>
      </c>
      <c r="G153" s="14" t="s">
        <v>412</v>
      </c>
      <c r="H153" s="14" t="s">
        <v>586</v>
      </c>
      <c r="I153" s="20" t="s">
        <v>622</v>
      </c>
      <c r="J153" s="14" t="s">
        <v>721</v>
      </c>
      <c r="K153" s="43" t="s">
        <v>622</v>
      </c>
      <c r="L153" s="14">
        <v>8</v>
      </c>
      <c r="M153" s="14">
        <f t="shared" si="33"/>
        <v>200</v>
      </c>
      <c r="N153" s="14">
        <v>210</v>
      </c>
      <c r="O153" s="52" t="s">
        <v>838</v>
      </c>
      <c r="P153" s="15">
        <v>5.3100000000000001E-2</v>
      </c>
      <c r="Q153" s="15">
        <f t="shared" si="32"/>
        <v>11.151</v>
      </c>
      <c r="R153" s="14"/>
    </row>
    <row r="154" spans="1:18" ht="24">
      <c r="A154" s="1"/>
      <c r="B154" s="17">
        <f t="shared" si="0"/>
        <v>147</v>
      </c>
      <c r="C154" s="23" t="s">
        <v>38</v>
      </c>
      <c r="D154" s="20" t="s">
        <v>186</v>
      </c>
      <c r="E154" s="20" t="s">
        <v>337</v>
      </c>
      <c r="F154" s="20" t="s">
        <v>413</v>
      </c>
      <c r="G154" s="20" t="s">
        <v>535</v>
      </c>
      <c r="H154" s="20" t="s">
        <v>583</v>
      </c>
      <c r="I154" s="20" t="s">
        <v>622</v>
      </c>
      <c r="J154" s="20" t="s">
        <v>722</v>
      </c>
      <c r="K154" s="43" t="s">
        <v>622</v>
      </c>
      <c r="L154" s="20">
        <v>1</v>
      </c>
      <c r="M154" s="14">
        <f t="shared" si="33"/>
        <v>25</v>
      </c>
      <c r="N154" s="20">
        <v>26</v>
      </c>
      <c r="O154" s="52" t="s">
        <v>838</v>
      </c>
      <c r="P154" s="21">
        <v>3.5661999999999998</v>
      </c>
      <c r="Q154" s="15">
        <f t="shared" si="32"/>
        <v>92.721199999999996</v>
      </c>
      <c r="R154" s="20"/>
    </row>
    <row r="155" spans="1:18" ht="24">
      <c r="A155" s="1"/>
      <c r="B155" s="16">
        <f>ROW(B155) - ROW($B$7)</f>
        <v>148</v>
      </c>
      <c r="C155" s="22" t="s">
        <v>38</v>
      </c>
      <c r="D155" s="14" t="s">
        <v>187</v>
      </c>
      <c r="E155" s="14" t="s">
        <v>338</v>
      </c>
      <c r="F155" s="14" t="s">
        <v>414</v>
      </c>
      <c r="G155" s="14" t="s">
        <v>536</v>
      </c>
      <c r="H155" s="14" t="s">
        <v>583</v>
      </c>
      <c r="I155" s="20" t="s">
        <v>622</v>
      </c>
      <c r="J155" s="14" t="s">
        <v>723</v>
      </c>
      <c r="K155" s="43" t="s">
        <v>622</v>
      </c>
      <c r="L155" s="14">
        <v>1</v>
      </c>
      <c r="M155" s="14">
        <f t="shared" si="33"/>
        <v>25</v>
      </c>
      <c r="N155" s="14">
        <v>26</v>
      </c>
      <c r="O155" s="52" t="s">
        <v>838</v>
      </c>
      <c r="P155" s="15">
        <v>0.61539999999999995</v>
      </c>
      <c r="Q155" s="15">
        <f t="shared" si="32"/>
        <v>16.000399999999999</v>
      </c>
      <c r="R155" s="14"/>
    </row>
    <row r="156" spans="1:18" ht="30">
      <c r="A156" s="1"/>
      <c r="B156" s="17">
        <f t="shared" si="0"/>
        <v>149</v>
      </c>
      <c r="C156" s="23" t="s">
        <v>38</v>
      </c>
      <c r="D156" s="20" t="s">
        <v>188</v>
      </c>
      <c r="E156" s="20" t="s">
        <v>339</v>
      </c>
      <c r="F156" s="20" t="s">
        <v>415</v>
      </c>
      <c r="G156" s="20" t="s">
        <v>537</v>
      </c>
      <c r="H156" s="20" t="s">
        <v>583</v>
      </c>
      <c r="I156" s="20" t="s">
        <v>622</v>
      </c>
      <c r="J156" s="20" t="s">
        <v>724</v>
      </c>
      <c r="K156" s="43" t="s">
        <v>622</v>
      </c>
      <c r="L156" s="20">
        <v>1</v>
      </c>
      <c r="M156" s="14">
        <f t="shared" si="33"/>
        <v>25</v>
      </c>
      <c r="N156" s="20">
        <v>26</v>
      </c>
      <c r="O156" s="57" t="s">
        <v>901</v>
      </c>
      <c r="P156" s="21">
        <v>8.5193999999999992</v>
      </c>
      <c r="Q156" s="15">
        <f t="shared" si="32"/>
        <v>221.50439999999998</v>
      </c>
      <c r="R156" s="20"/>
    </row>
    <row r="157" spans="1:18" ht="24">
      <c r="A157" s="1"/>
      <c r="B157" s="16">
        <f>ROW(B157) - ROW($B$7)</f>
        <v>150</v>
      </c>
      <c r="C157" s="22" t="s">
        <v>38</v>
      </c>
      <c r="D157" s="14" t="s">
        <v>189</v>
      </c>
      <c r="E157" s="14" t="s">
        <v>340</v>
      </c>
      <c r="F157" s="14" t="s">
        <v>416</v>
      </c>
      <c r="G157" s="14" t="s">
        <v>538</v>
      </c>
      <c r="H157" s="14" t="s">
        <v>583</v>
      </c>
      <c r="I157" s="20" t="s">
        <v>622</v>
      </c>
      <c r="J157" s="14" t="s">
        <v>725</v>
      </c>
      <c r="K157" s="43" t="s">
        <v>622</v>
      </c>
      <c r="L157" s="14">
        <v>1</v>
      </c>
      <c r="M157" s="14">
        <f t="shared" si="33"/>
        <v>25</v>
      </c>
      <c r="N157" s="14">
        <v>26</v>
      </c>
      <c r="O157" s="52" t="s">
        <v>838</v>
      </c>
      <c r="P157" s="15">
        <v>9.7916000000000007</v>
      </c>
      <c r="Q157" s="15">
        <f t="shared" si="32"/>
        <v>254.58160000000001</v>
      </c>
      <c r="R157" s="14"/>
    </row>
    <row r="158" spans="1:18" ht="30">
      <c r="A158" s="1"/>
      <c r="B158" s="17">
        <f t="shared" si="0"/>
        <v>151</v>
      </c>
      <c r="C158" s="23" t="s">
        <v>38</v>
      </c>
      <c r="D158" s="20" t="s">
        <v>190</v>
      </c>
      <c r="E158" s="20" t="s">
        <v>341</v>
      </c>
      <c r="F158" s="20" t="s">
        <v>417</v>
      </c>
      <c r="G158" s="20" t="s">
        <v>539</v>
      </c>
      <c r="H158" s="20" t="s">
        <v>583</v>
      </c>
      <c r="I158" s="20" t="s">
        <v>622</v>
      </c>
      <c r="J158" s="20" t="s">
        <v>726</v>
      </c>
      <c r="K158" s="43" t="s">
        <v>622</v>
      </c>
      <c r="L158" s="20">
        <v>1</v>
      </c>
      <c r="M158" s="14">
        <f t="shared" si="33"/>
        <v>25</v>
      </c>
      <c r="N158" s="20">
        <v>26</v>
      </c>
      <c r="O158" s="52" t="s">
        <v>901</v>
      </c>
      <c r="P158" s="21">
        <v>35.31</v>
      </c>
      <c r="Q158" s="15">
        <f t="shared" si="32"/>
        <v>918.06000000000006</v>
      </c>
      <c r="R158" s="20"/>
    </row>
    <row r="159" spans="1:18">
      <c r="A159" s="1"/>
      <c r="B159" s="16">
        <f>ROW(B159) - ROW($B$7)</f>
        <v>152</v>
      </c>
      <c r="C159" s="22" t="s">
        <v>39</v>
      </c>
      <c r="D159" s="14" t="s">
        <v>191</v>
      </c>
      <c r="E159" s="14" t="s">
        <v>342</v>
      </c>
      <c r="F159" s="20" t="s">
        <v>804</v>
      </c>
      <c r="G159" s="14" t="s">
        <v>418</v>
      </c>
      <c r="H159" s="14" t="s">
        <v>587</v>
      </c>
      <c r="I159" s="20" t="s">
        <v>622</v>
      </c>
      <c r="J159" s="14" t="s">
        <v>727</v>
      </c>
      <c r="K159" s="43" t="s">
        <v>789</v>
      </c>
      <c r="L159" s="14">
        <v>2</v>
      </c>
      <c r="M159" s="14">
        <f t="shared" si="33"/>
        <v>50</v>
      </c>
      <c r="N159" s="14">
        <v>55</v>
      </c>
      <c r="O159" s="52" t="s">
        <v>838</v>
      </c>
      <c r="P159" s="15">
        <v>0.18740000000000001</v>
      </c>
      <c r="Q159" s="15">
        <f t="shared" si="32"/>
        <v>10.307</v>
      </c>
      <c r="R159" s="14"/>
    </row>
    <row r="160" spans="1:18" ht="24">
      <c r="A160" s="1"/>
      <c r="B160" s="17">
        <f t="shared" si="0"/>
        <v>153</v>
      </c>
      <c r="C160" s="22" t="s">
        <v>39</v>
      </c>
      <c r="D160" s="20" t="s">
        <v>192</v>
      </c>
      <c r="E160" s="20" t="s">
        <v>343</v>
      </c>
      <c r="F160" s="20" t="s">
        <v>804</v>
      </c>
      <c r="G160" s="20" t="s">
        <v>540</v>
      </c>
      <c r="H160" s="20" t="s">
        <v>588</v>
      </c>
      <c r="I160" s="20" t="s">
        <v>622</v>
      </c>
      <c r="J160" s="20" t="s">
        <v>728</v>
      </c>
      <c r="K160" s="44" t="s">
        <v>790</v>
      </c>
      <c r="L160" s="20">
        <v>1</v>
      </c>
      <c r="M160" s="14">
        <f t="shared" si="33"/>
        <v>25</v>
      </c>
      <c r="N160" s="20">
        <v>30</v>
      </c>
      <c r="O160" s="52" t="s">
        <v>838</v>
      </c>
      <c r="P160" s="21">
        <v>0.25580000000000003</v>
      </c>
      <c r="Q160" s="15">
        <f t="shared" si="32"/>
        <v>7.6740000000000013</v>
      </c>
      <c r="R160" s="20"/>
    </row>
    <row r="161" spans="1:18" ht="36.75" thickBot="1">
      <c r="A161" s="1"/>
      <c r="B161" s="16">
        <f>ROW(B161) - ROW($B$7)</f>
        <v>154</v>
      </c>
      <c r="C161" s="22" t="s">
        <v>39</v>
      </c>
      <c r="D161" s="14" t="s">
        <v>193</v>
      </c>
      <c r="E161" s="14" t="s">
        <v>344</v>
      </c>
      <c r="F161" s="14" t="s">
        <v>419</v>
      </c>
      <c r="G161" s="14" t="s">
        <v>541</v>
      </c>
      <c r="H161" s="14" t="s">
        <v>589</v>
      </c>
      <c r="I161" s="20" t="s">
        <v>622</v>
      </c>
      <c r="J161" s="14" t="s">
        <v>622</v>
      </c>
      <c r="K161" s="43" t="s">
        <v>789</v>
      </c>
      <c r="L161" s="14">
        <v>1</v>
      </c>
      <c r="M161" s="14">
        <f t="shared" si="33"/>
        <v>25</v>
      </c>
      <c r="N161" s="14">
        <v>26</v>
      </c>
      <c r="O161" s="52" t="s">
        <v>901</v>
      </c>
      <c r="P161" s="15">
        <v>0.13639999999999999</v>
      </c>
      <c r="Q161" s="15">
        <f t="shared" si="32"/>
        <v>3.5463999999999998</v>
      </c>
      <c r="R161" s="14"/>
    </row>
    <row r="162" spans="1:18" ht="19.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60" t="s">
        <v>3</v>
      </c>
      <c r="O162" s="61"/>
      <c r="P162" s="61"/>
      <c r="Q162" s="18">
        <f>SUM(Q8:Q161)</f>
        <v>3539.8871999999997</v>
      </c>
      <c r="R162" s="1"/>
    </row>
    <row r="163" spans="1:18" ht="19.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60" t="s">
        <v>4</v>
      </c>
      <c r="O163" s="61"/>
      <c r="P163" s="61"/>
      <c r="Q163" s="19">
        <f>Q162/25</f>
        <v>141.59548799999999</v>
      </c>
      <c r="R163" s="1"/>
    </row>
  </sheetData>
  <mergeCells count="3">
    <mergeCell ref="K1:R1"/>
    <mergeCell ref="N162:P162"/>
    <mergeCell ref="N163:P163"/>
  </mergeCells>
  <hyperlinks>
    <hyperlink ref="O8" r:id="rId1"/>
    <hyperlink ref="O9" r:id="rId2"/>
    <hyperlink ref="O10" r:id="rId3"/>
    <hyperlink ref="O11" r:id="rId4"/>
    <hyperlink ref="O12" r:id="rId5"/>
    <hyperlink ref="O13" r:id="rId6"/>
    <hyperlink ref="O14" r:id="rId7"/>
    <hyperlink ref="O16" r:id="rId8"/>
    <hyperlink ref="O17" r:id="rId9"/>
    <hyperlink ref="O18" r:id="rId10"/>
    <hyperlink ref="O20" r:id="rId11"/>
    <hyperlink ref="O21" r:id="rId12"/>
    <hyperlink ref="O22" r:id="rId13"/>
    <hyperlink ref="O23" r:id="rId14"/>
    <hyperlink ref="O24" r:id="rId15"/>
    <hyperlink ref="O25" r:id="rId16"/>
    <hyperlink ref="O26" r:id="rId17"/>
    <hyperlink ref="O27" r:id="rId18"/>
    <hyperlink ref="O28" r:id="rId19"/>
    <hyperlink ref="O29" r:id="rId20"/>
    <hyperlink ref="O30" r:id="rId21"/>
    <hyperlink ref="O31" r:id="rId22"/>
    <hyperlink ref="O32" r:id="rId23"/>
    <hyperlink ref="O33" r:id="rId24"/>
    <hyperlink ref="O35" r:id="rId25"/>
    <hyperlink ref="O36" r:id="rId26"/>
    <hyperlink ref="O37" r:id="rId27"/>
    <hyperlink ref="O38" r:id="rId28"/>
    <hyperlink ref="O39" r:id="rId29"/>
    <hyperlink ref="O40" r:id="rId30"/>
    <hyperlink ref="O41" r:id="rId31"/>
    <hyperlink ref="O43" r:id="rId32"/>
    <hyperlink ref="O34" r:id="rId33"/>
    <hyperlink ref="O47" r:id="rId34"/>
    <hyperlink ref="O48" r:id="rId35"/>
    <hyperlink ref="O49" r:id="rId36"/>
    <hyperlink ref="O50" r:id="rId37"/>
    <hyperlink ref="O51" r:id="rId38"/>
    <hyperlink ref="O52" r:id="rId39"/>
    <hyperlink ref="O53" r:id="rId40"/>
    <hyperlink ref="O54" r:id="rId41"/>
    <hyperlink ref="O55" r:id="rId42"/>
    <hyperlink ref="O56" r:id="rId43"/>
    <hyperlink ref="O57" r:id="rId44"/>
    <hyperlink ref="O58" r:id="rId45"/>
    <hyperlink ref="O59" r:id="rId46"/>
    <hyperlink ref="O60" r:id="rId47"/>
    <hyperlink ref="O61" r:id="rId48"/>
    <hyperlink ref="O62" r:id="rId49"/>
    <hyperlink ref="O63" r:id="rId50"/>
    <hyperlink ref="O64" r:id="rId51"/>
    <hyperlink ref="O65" r:id="rId52"/>
    <hyperlink ref="O67" r:id="rId53"/>
    <hyperlink ref="O68" r:id="rId54"/>
    <hyperlink ref="O69" r:id="rId55"/>
    <hyperlink ref="O70" r:id="rId56"/>
    <hyperlink ref="O71" r:id="rId57"/>
    <hyperlink ref="O72" r:id="rId58"/>
    <hyperlink ref="O73" r:id="rId59"/>
    <hyperlink ref="O74" r:id="rId60"/>
    <hyperlink ref="O75" r:id="rId61"/>
    <hyperlink ref="O76" r:id="rId62"/>
    <hyperlink ref="O77" r:id="rId63"/>
    <hyperlink ref="O78" r:id="rId64"/>
    <hyperlink ref="O79" r:id="rId65"/>
    <hyperlink ref="O80" r:id="rId66"/>
    <hyperlink ref="O81" r:id="rId67"/>
    <hyperlink ref="O82" r:id="rId68"/>
    <hyperlink ref="O83" r:id="rId69"/>
    <hyperlink ref="O84" r:id="rId70"/>
    <hyperlink ref="O85" r:id="rId71"/>
    <hyperlink ref="O86" r:id="rId72"/>
    <hyperlink ref="O87" r:id="rId73"/>
    <hyperlink ref="O88" r:id="rId74"/>
    <hyperlink ref="O89" r:id="rId75"/>
    <hyperlink ref="O90" r:id="rId76"/>
    <hyperlink ref="O91" r:id="rId77"/>
    <hyperlink ref="O92" r:id="rId78"/>
    <hyperlink ref="O93" r:id="rId79"/>
    <hyperlink ref="O94" r:id="rId80"/>
    <hyperlink ref="O95" r:id="rId81"/>
    <hyperlink ref="O96" r:id="rId82"/>
    <hyperlink ref="O97" r:id="rId83"/>
    <hyperlink ref="O98" r:id="rId84"/>
    <hyperlink ref="O99" r:id="rId85"/>
    <hyperlink ref="O100" r:id="rId86"/>
    <hyperlink ref="O101" r:id="rId87"/>
    <hyperlink ref="O102" r:id="rId88"/>
    <hyperlink ref="O103" r:id="rId89"/>
    <hyperlink ref="O104" r:id="rId90"/>
    <hyperlink ref="O105" r:id="rId91"/>
    <hyperlink ref="O106" r:id="rId92"/>
    <hyperlink ref="O107" r:id="rId93"/>
    <hyperlink ref="O108" r:id="rId94"/>
    <hyperlink ref="O109" r:id="rId95"/>
    <hyperlink ref="O111" r:id="rId96"/>
    <hyperlink ref="O112" r:id="rId97"/>
    <hyperlink ref="O113" r:id="rId98"/>
    <hyperlink ref="O114" r:id="rId99"/>
    <hyperlink ref="O115" r:id="rId100"/>
    <hyperlink ref="O116" r:id="rId101"/>
    <hyperlink ref="O117" r:id="rId102"/>
    <hyperlink ref="O118" r:id="rId103"/>
    <hyperlink ref="O119" r:id="rId104"/>
    <hyperlink ref="O120" r:id="rId105"/>
    <hyperlink ref="O121" r:id="rId106"/>
    <hyperlink ref="O122" r:id="rId107"/>
    <hyperlink ref="O123" r:id="rId108"/>
    <hyperlink ref="O124" r:id="rId109"/>
    <hyperlink ref="O125" r:id="rId110"/>
    <hyperlink ref="O126" r:id="rId111"/>
    <hyperlink ref="O110" r:id="rId112"/>
    <hyperlink ref="O128" r:id="rId113"/>
    <hyperlink ref="O129" r:id="rId114"/>
    <hyperlink ref="O130" r:id="rId115"/>
    <hyperlink ref="O131" r:id="rId116"/>
    <hyperlink ref="O132" r:id="rId117"/>
    <hyperlink ref="O133" r:id="rId118"/>
    <hyperlink ref="O134" r:id="rId119"/>
    <hyperlink ref="O135" r:id="rId120"/>
    <hyperlink ref="O136" r:id="rId121"/>
    <hyperlink ref="O137" r:id="rId122"/>
    <hyperlink ref="O138" r:id="rId123"/>
    <hyperlink ref="O139" r:id="rId124"/>
    <hyperlink ref="O140" r:id="rId125"/>
    <hyperlink ref="O141" r:id="rId126"/>
    <hyperlink ref="O142" r:id="rId127"/>
    <hyperlink ref="O143" r:id="rId128"/>
    <hyperlink ref="O144" r:id="rId129"/>
    <hyperlink ref="O145" r:id="rId130"/>
    <hyperlink ref="O146" r:id="rId131"/>
    <hyperlink ref="O147" r:id="rId132"/>
    <hyperlink ref="O148" r:id="rId133"/>
    <hyperlink ref="O149" r:id="rId134"/>
    <hyperlink ref="O150" r:id="rId135"/>
    <hyperlink ref="O151" r:id="rId136"/>
    <hyperlink ref="O152" r:id="rId137"/>
    <hyperlink ref="O153" r:id="rId138"/>
    <hyperlink ref="O154" r:id="rId139"/>
    <hyperlink ref="O155" r:id="rId140"/>
    <hyperlink ref="O156" r:id="rId141"/>
    <hyperlink ref="O157" r:id="rId142"/>
    <hyperlink ref="O158" r:id="rId143"/>
    <hyperlink ref="O159" r:id="rId144"/>
    <hyperlink ref="O160" r:id="rId145"/>
    <hyperlink ref="O161" r:id="rId146"/>
    <hyperlink ref="O66" r:id="rId147"/>
    <hyperlink ref="O42" r:id="rId148"/>
    <hyperlink ref="O44" r:id="rId149"/>
    <hyperlink ref="O45" r:id="rId150"/>
    <hyperlink ref="O46" r:id="rId151"/>
    <hyperlink ref="O15" r:id="rId152"/>
    <hyperlink ref="O19" r:id="rId153"/>
  </hyperlinks>
  <pageMargins left="0.7" right="0.7" top="0.75" bottom="0.75" header="0.3" footer="0.3"/>
  <pageSetup orientation="portrait" r:id="rId1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25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2024-12-24T07:21:28Z</dcterms:modified>
</cp:coreProperties>
</file>