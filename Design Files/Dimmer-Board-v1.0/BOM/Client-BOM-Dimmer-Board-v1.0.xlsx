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Dimmer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<sst xmlns="http://schemas.openxmlformats.org/spreadsheetml/2006/main" count="79" uniqueCount="66">
  <si>
    <t>#</t>
  </si>
  <si>
    <t>Item Type</t>
  </si>
  <si>
    <t>Capacitor</t>
  </si>
  <si>
    <t>Thyristors</t>
  </si>
  <si>
    <t>Connector</t>
  </si>
  <si>
    <t>Terminal Block</t>
  </si>
  <si>
    <t>R/A Male Header</t>
  </si>
  <si>
    <t>Resistor</t>
  </si>
  <si>
    <t>IC</t>
  </si>
  <si>
    <t>Designator</t>
  </si>
  <si>
    <t>C1, C2</t>
  </si>
  <si>
    <t>D1</t>
  </si>
  <si>
    <t>J1</t>
  </si>
  <si>
    <t>J2</t>
  </si>
  <si>
    <t>J3</t>
  </si>
  <si>
    <t>R1</t>
  </si>
  <si>
    <t>R2</t>
  </si>
  <si>
    <t>R3</t>
  </si>
  <si>
    <t>R4</t>
  </si>
  <si>
    <t>U1</t>
  </si>
  <si>
    <t>Description</t>
  </si>
  <si>
    <t>10nF -40℃~+100℃ ±5% 400V Plugin,P=5mm Polypropylene Film Capacitors (CBB) ROHS</t>
  </si>
  <si>
    <t>80mA 50mA 600V TOP-3 Thyristors (SCR)/Modules ROHS</t>
  </si>
  <si>
    <t>CONN HEADER R/A 4POS 3MM</t>
  </si>
  <si>
    <t>1x2P Corner With Cover Plate 2 1 7.62mm -40℃~+105℃ 20A 300V Black 12~22 Straight Needle Plugin,P=7.62mm Barrier Terminal Blocks ROHS</t>
  </si>
  <si>
    <t>Right-Angle Square Pins 2.5mm 2P 6mm -40℃~+105℃ 2.54mm Plugin Black Brass 1x2P Push-Pull,P=2.54mm Pin Headers ROHS</t>
  </si>
  <si>
    <t>RES SMD 270 OHM 0.1% 1/10W 0603</t>
  </si>
  <si>
    <t>RES 1K OHM 5% 3W AXIAL</t>
  </si>
  <si>
    <t>Wirewound Resistors 560Ω 6W ±250ppm/℃ ±5% Plugin,D8xL23.5mm Through Hole Resistors ROHS</t>
  </si>
  <si>
    <t>Metal Film Resistors 39Ω 2W ±5% Plugin,D4.5xL11.5mm Through Hole Resistors ROHS</t>
  </si>
  <si>
    <t>OPTOISOLATOR 4.17KV TRIAC 6DIP</t>
  </si>
  <si>
    <t>Footprint</t>
  </si>
  <si>
    <t>KP103J2G0501</t>
  </si>
  <si>
    <t>TOP3</t>
  </si>
  <si>
    <t>DBT50G-7.62-2P-BK-P</t>
  </si>
  <si>
    <t>HDR1X2 (R/A Male)</t>
  </si>
  <si>
    <t>Res-0603</t>
  </si>
  <si>
    <t>MFR3WSJT-73-1K</t>
  </si>
  <si>
    <t>MFR2WSJT-73-39R</t>
  </si>
  <si>
    <t>6 Pin Dip</t>
  </si>
  <si>
    <t>Manufacturer Part Number</t>
  </si>
  <si>
    <t>BTA41-600BRG</t>
  </si>
  <si>
    <t>PZ254R-11-02P</t>
  </si>
  <si>
    <t>RT0603BRE07270RL</t>
  </si>
  <si>
    <t>EWWR0006J560RT9</t>
  </si>
  <si>
    <t>MOC3023M</t>
  </si>
  <si>
    <t>Manufacturer</t>
  </si>
  <si>
    <t>KYET</t>
  </si>
  <si>
    <t>STMicroelectronics</t>
  </si>
  <si>
    <t>Molex</t>
  </si>
  <si>
    <t>DORABO</t>
  </si>
  <si>
    <t>XFCN</t>
  </si>
  <si>
    <t>Yageo</t>
  </si>
  <si>
    <t>RESI</t>
  </si>
  <si>
    <t>YAGEO</t>
  </si>
  <si>
    <t>ON Semiconductor / Fairchild</t>
  </si>
  <si>
    <t>10nF</t>
  </si>
  <si>
    <t>270R</t>
  </si>
  <si>
    <t>1K</t>
  </si>
  <si>
    <t>560R</t>
  </si>
  <si>
    <t>39R</t>
  </si>
  <si>
    <t>Quantity</t>
  </si>
  <si>
    <t>Value</t>
  </si>
  <si>
    <t>Remarks</t>
  </si>
  <si>
    <t>Custom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</si>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</sst>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2"/>
  <sheetViews>
    <sheetView tabSelected="1" workbookViewId="0">
      <selection activeCell="M10" sqref="M10"/>
    </sheetView>
  </sheetViews>
  <sheetFormatPr defaultRowHeight="15" x14ac:dyDescent="0.25"/>
  <cols>
    <col min="2" max="2" width="3.140625" style="4" customWidth="1"/>
    <col min="3" max="3" width="14.5703125" style="4" bestFit="1" customWidth="1"/>
    <col min="4" max="4" width="10.5703125" bestFit="1" customWidth="1"/>
    <col min="5" max="5" width="30" customWidth="1"/>
    <col min="6" max="6" width="15.710937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9</v>
      </c>
      <c r="E2" s="6" t="s">
        <v>20</v>
      </c>
      <c r="F2" s="5" t="s">
        <v>31</v>
      </c>
      <c r="G2" s="6" t="s">
        <v>40</v>
      </c>
      <c r="H2" s="5" t="s">
        <v>46</v>
      </c>
      <c r="I2" s="6" t="s">
        <v>62</v>
      </c>
      <c r="J2" s="5" t="s">
        <v>61</v>
      </c>
      <c r="K2" s="5" t="s">
        <v>63</v>
      </c>
    </row>
    <row r="3" spans="1:11" ht="36.75" thickBot="1" x14ac:dyDescent="0.3">
      <c r="A3" s="1"/>
      <c r="B3" s="11">
        <f>ROW(B3) - ROW($B$2)</f>
        <v>1</v>
      </c>
      <c r="C3" s="12" t="s">
        <v>2</v>
      </c>
      <c r="D3" s="7" t="s">
        <v>10</v>
      </c>
      <c r="E3" s="8" t="s">
        <v>21</v>
      </c>
      <c r="F3" s="7" t="s">
        <v>64</v>
      </c>
      <c r="G3" s="8" t="s">
        <v>32</v>
      </c>
      <c r="H3" s="7" t="s">
        <v>47</v>
      </c>
      <c r="I3" s="8" t="s">
        <v>56</v>
      </c>
      <c r="J3" s="7">
        <v>2</v>
      </c>
      <c r="K3" s="7"/>
    </row>
    <row r="4" spans="1:11" ht="24.75" thickBot="1" x14ac:dyDescent="0.3">
      <c r="A4" s="1"/>
      <c r="B4" s="11">
        <f t="shared" ref="B4:B12" si="0">ROW(B4) - ROW($B$2)</f>
        <v>2</v>
      </c>
      <c r="C4" s="13" t="s">
        <v>3</v>
      </c>
      <c r="D4" s="9" t="s">
        <v>11</v>
      </c>
      <c r="E4" s="10" t="s">
        <v>22</v>
      </c>
      <c r="F4" s="9" t="s">
        <v>33</v>
      </c>
      <c r="G4" s="10" t="s">
        <v>41</v>
      </c>
      <c r="H4" s="9" t="s">
        <v>48</v>
      </c>
      <c r="I4" s="7" t="s">
        <v>65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4</v>
      </c>
      <c r="D5" s="7" t="s">
        <v>12</v>
      </c>
      <c r="E5" s="8" t="s">
        <v>23</v>
      </c>
      <c r="F5" s="7" t="s">
        <v>64</v>
      </c>
      <c r="G5" s="8">
        <v>444280401</v>
      </c>
      <c r="H5" s="7" t="s">
        <v>49</v>
      </c>
      <c r="I5" s="7" t="s">
        <v>65</v>
      </c>
      <c r="J5" s="7">
        <v>1</v>
      </c>
      <c r="K5" s="7"/>
    </row>
    <row r="6" spans="1:11" ht="60.75" thickBot="1" x14ac:dyDescent="0.3">
      <c r="A6" s="1"/>
      <c r="B6" s="11">
        <f t="shared" si="0"/>
        <v>4</v>
      </c>
      <c r="C6" s="13" t="s">
        <v>5</v>
      </c>
      <c r="D6" s="9" t="s">
        <v>13</v>
      </c>
      <c r="E6" s="10" t="s">
        <v>24</v>
      </c>
      <c r="F6" s="7" t="s">
        <v>64</v>
      </c>
      <c r="G6" s="10" t="s">
        <v>34</v>
      </c>
      <c r="H6" s="9" t="s">
        <v>50</v>
      </c>
      <c r="I6" s="7" t="s">
        <v>65</v>
      </c>
      <c r="J6" s="9">
        <v>1</v>
      </c>
      <c r="K6" s="9"/>
    </row>
    <row r="7" spans="1:11" ht="48.75" thickBot="1" x14ac:dyDescent="0.3">
      <c r="A7" s="1"/>
      <c r="B7" s="11">
        <f>ROW(B7) - ROW($B$2)</f>
        <v>5</v>
      </c>
      <c r="C7" s="12" t="s">
        <v>6</v>
      </c>
      <c r="D7" s="7" t="s">
        <v>14</v>
      </c>
      <c r="E7" s="8" t="s">
        <v>25</v>
      </c>
      <c r="F7" s="7" t="s">
        <v>35</v>
      </c>
      <c r="G7" s="8" t="s">
        <v>42</v>
      </c>
      <c r="H7" s="7" t="s">
        <v>51</v>
      </c>
      <c r="I7" s="7" t="s">
        <v>65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7</v>
      </c>
      <c r="D8" s="9" t="s">
        <v>15</v>
      </c>
      <c r="E8" s="10" t="s">
        <v>26</v>
      </c>
      <c r="F8" s="9" t="s">
        <v>36</v>
      </c>
      <c r="G8" s="10" t="s">
        <v>43</v>
      </c>
      <c r="H8" s="9" t="s">
        <v>52</v>
      </c>
      <c r="I8" s="10" t="s">
        <v>57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7</v>
      </c>
      <c r="D9" s="7" t="s">
        <v>16</v>
      </c>
      <c r="E9" s="8" t="s">
        <v>27</v>
      </c>
      <c r="F9" s="7" t="s">
        <v>64</v>
      </c>
      <c r="G9" s="8" t="s">
        <v>37</v>
      </c>
      <c r="H9" s="7" t="s">
        <v>52</v>
      </c>
      <c r="I9" s="8" t="s">
        <v>58</v>
      </c>
      <c r="J9" s="7">
        <v>1</v>
      </c>
      <c r="K9" s="7"/>
    </row>
    <row r="10" spans="1:11" ht="36.75" thickBot="1" x14ac:dyDescent="0.3">
      <c r="A10" s="1"/>
      <c r="B10" s="11">
        <f t="shared" si="0"/>
        <v>8</v>
      </c>
      <c r="C10" s="13" t="s">
        <v>7</v>
      </c>
      <c r="D10" s="9" t="s">
        <v>17</v>
      </c>
      <c r="E10" s="10" t="s">
        <v>28</v>
      </c>
      <c r="F10" s="7" t="s">
        <v>64</v>
      </c>
      <c r="G10" s="10" t="s">
        <v>44</v>
      </c>
      <c r="H10" s="9" t="s">
        <v>53</v>
      </c>
      <c r="I10" s="10" t="s">
        <v>59</v>
      </c>
      <c r="J10" s="9">
        <v>1</v>
      </c>
      <c r="K10" s="9"/>
    </row>
    <row r="11" spans="1:11" ht="36.75" thickBot="1" x14ac:dyDescent="0.3">
      <c r="A11" s="1"/>
      <c r="B11" s="11">
        <f>ROW(B11) - ROW($B$2)</f>
        <v>9</v>
      </c>
      <c r="C11" s="12" t="s">
        <v>7</v>
      </c>
      <c r="D11" s="7" t="s">
        <v>18</v>
      </c>
      <c r="E11" s="8" t="s">
        <v>29</v>
      </c>
      <c r="F11" s="7" t="s">
        <v>64</v>
      </c>
      <c r="G11" s="8" t="s">
        <v>38</v>
      </c>
      <c r="H11" s="7" t="s">
        <v>54</v>
      </c>
      <c r="I11" s="8" t="s">
        <v>60</v>
      </c>
      <c r="J11" s="7">
        <v>1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8</v>
      </c>
      <c r="D12" s="9" t="s">
        <v>19</v>
      </c>
      <c r="E12" s="10" t="s">
        <v>30</v>
      </c>
      <c r="F12" s="9" t="s">
        <v>39</v>
      </c>
      <c r="G12" s="10" t="s">
        <v>45</v>
      </c>
      <c r="H12" s="9" t="s">
        <v>55</v>
      </c>
      <c r="I12" s="10" t="s">
        <v>65</v>
      </c>
      <c r="J12" s="9">
        <v>1</v>
      </c>
      <c r="K1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2024-09-05T08:16:01Z</dcterms:modified>
</cp:coreProperties>
</file>