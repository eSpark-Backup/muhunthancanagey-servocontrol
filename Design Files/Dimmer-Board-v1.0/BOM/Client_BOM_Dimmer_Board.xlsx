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uhunthancanagey-servocontrol\Design Files\Dimmer_Board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0" i="1" l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<sst xmlns="http://schemas.openxmlformats.org/spreadsheetml/2006/main" count="65" uniqueCount="58">
  <si>
    <t>#</t>
  </si>
  <si>
    <t>Item Type</t>
  </si>
  <si>
    <t>Thyristors</t>
  </si>
  <si>
    <t>R/A Male Header</t>
  </si>
  <si>
    <t>Terminal Block</t>
  </si>
  <si>
    <t>Connector</t>
  </si>
  <si>
    <t>Resistors</t>
  </si>
  <si>
    <t>Resistor</t>
  </si>
  <si>
    <t>IC</t>
  </si>
  <si>
    <t>Designator</t>
  </si>
  <si>
    <t>D1</t>
  </si>
  <si>
    <t>J1</t>
  </si>
  <si>
    <t>J2</t>
  </si>
  <si>
    <t>J3</t>
  </si>
  <si>
    <t>R1</t>
  </si>
  <si>
    <t>R2</t>
  </si>
  <si>
    <t>R3</t>
  </si>
  <si>
    <t>U1</t>
  </si>
  <si>
    <t>Description</t>
  </si>
  <si>
    <t>80mA 50mA 600V TOP-3 Thyristors (SCR)/Modules ROHS</t>
  </si>
  <si>
    <t>Right-Angle Square Pins 2.5mm 2P 6mm -40℃~+105℃ 2.54mm Plugin Black Brass 1x2P Push-Pull,P=2.54mm Pin Headers ROHS</t>
  </si>
  <si>
    <t>1x2P Corner With Cover Plate 2 1 7.62mm -40℃~+105℃ 20A 300V Black 12~22 Straight Needle Plugin,P=7.62mm Barrier Terminal Blocks ROHS</t>
  </si>
  <si>
    <t>CONN HEADER R/A 4POS 3MM</t>
  </si>
  <si>
    <t>RES 120 OHM 1% 1/16W 0402</t>
  </si>
  <si>
    <t>Wirewound Resistors 500Ω 6W ±250ppm/℃ ±5% Plugin,D8xL23.5mm Through Hole Resistors ROHS</t>
  </si>
  <si>
    <t>500mW Thick Film Resistors 200V ±100ppm/℃ ±5% 330Ω 1206 Chip Resistor - Surface Mount ROHS</t>
  </si>
  <si>
    <t>OPTOISOLATOR 4.17KV TRIAC 6SMD</t>
  </si>
  <si>
    <t>Footprint</t>
  </si>
  <si>
    <t>TOP3</t>
  </si>
  <si>
    <t>HDR1X2 (R/A Male)</t>
  </si>
  <si>
    <t>DBT50G-7.62-2P-BK-P</t>
  </si>
  <si>
    <t>Res-0402</t>
  </si>
  <si>
    <t>EWWR0006J500RT9</t>
  </si>
  <si>
    <t>Res-1206</t>
  </si>
  <si>
    <t>SMD-6P</t>
  </si>
  <si>
    <t>Manufacturer Part Number</t>
  </si>
  <si>
    <t>BTA41-600BRG</t>
  </si>
  <si>
    <t>PZ254R-11-02P</t>
  </si>
  <si>
    <t>RC0402FR-07120RL</t>
  </si>
  <si>
    <t>HP06W2J0331T5E</t>
  </si>
  <si>
    <t>MOC3083SR2M</t>
  </si>
  <si>
    <t>Manufacturer</t>
  </si>
  <si>
    <t>STMicroelectronics</t>
  </si>
  <si>
    <t>XFCN</t>
  </si>
  <si>
    <t>DORABO</t>
  </si>
  <si>
    <t>Molex</t>
  </si>
  <si>
    <t>Yageo</t>
  </si>
  <si>
    <t>RESI</t>
  </si>
  <si>
    <t>Royal Electronic Factory</t>
  </si>
  <si>
    <t>ON Semiconductor / Fairchild</t>
  </si>
  <si>
    <t>120R</t>
  </si>
  <si>
    <t>500R</t>
  </si>
  <si>
    <t>330R</t>
  </si>
  <si>
    <t>Quantity</t>
  </si>
  <si>
    <t>Value</t>
  </si>
  <si>
    <t>Remarks</t>
  </si>
  <si>
    <t>-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</si>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</sst>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"/>
  <sheetViews>
    <sheetView tabSelected="1" workbookViewId="0">
      <selection activeCell="M19" sqref="M19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10.5703125" bestFit="1" customWidth="1"/>
    <col min="5" max="5" width="30" customWidth="1"/>
    <col min="6" max="6" width="15.7109375" bestFit="1" customWidth="1"/>
    <col min="7" max="7" width="25.28515625" bestFit="1" customWidth="1"/>
    <col min="8" max="8" width="19.42578125" bestFit="1" customWidth="1"/>
    <col min="9" max="9" width="6.140625" bestFit="1" customWidth="1"/>
    <col min="10" max="10" width="8.7109375" bestFit="1" customWidth="1"/>
    <col min="11" max="11" width="8.57031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4"/>
      <c r="J1" s="14"/>
      <c r="K1" s="14"/>
    </row>
    <row r="2" spans="1:11" ht="15.75" thickBot="1" x14ac:dyDescent="0.3">
      <c r="A2" s="1"/>
      <c r="B2" s="5" t="s">
        <v>0</v>
      </c>
      <c r="C2" s="5" t="s">
        <v>1</v>
      </c>
      <c r="D2" s="5" t="s">
        <v>9</v>
      </c>
      <c r="E2" s="6" t="s">
        <v>18</v>
      </c>
      <c r="F2" s="5" t="s">
        <v>27</v>
      </c>
      <c r="G2" s="6" t="s">
        <v>35</v>
      </c>
      <c r="H2" s="5" t="s">
        <v>41</v>
      </c>
      <c r="I2" s="6" t="s">
        <v>54</v>
      </c>
      <c r="J2" s="5" t="s">
        <v>53</v>
      </c>
      <c r="K2" s="5" t="s">
        <v>55</v>
      </c>
    </row>
    <row r="3" spans="1:11" ht="24.75" thickBot="1" x14ac:dyDescent="0.3">
      <c r="A3" s="1"/>
      <c r="B3" s="11">
        <f>ROW(B3) - ROW($B$2)</f>
        <v>1</v>
      </c>
      <c r="C3" s="12" t="s">
        <v>2</v>
      </c>
      <c r="D3" s="7" t="s">
        <v>10</v>
      </c>
      <c r="E3" s="8" t="s">
        <v>19</v>
      </c>
      <c r="F3" s="7" t="s">
        <v>28</v>
      </c>
      <c r="G3" s="8" t="s">
        <v>36</v>
      </c>
      <c r="H3" s="7" t="s">
        <v>42</v>
      </c>
      <c r="I3" s="8" t="s">
        <v>56</v>
      </c>
      <c r="J3" s="7">
        <v>1</v>
      </c>
      <c r="K3" s="7"/>
    </row>
    <row r="4" spans="1:11" ht="48.75" thickBot="1" x14ac:dyDescent="0.3">
      <c r="A4" s="1"/>
      <c r="B4" s="11">
        <f t="shared" ref="B4:B10" si="0">ROW(B4) - ROW($B$2)</f>
        <v>2</v>
      </c>
      <c r="C4" s="13" t="s">
        <v>3</v>
      </c>
      <c r="D4" s="9" t="s">
        <v>11</v>
      </c>
      <c r="E4" s="10" t="s">
        <v>20</v>
      </c>
      <c r="F4" s="9" t="s">
        <v>29</v>
      </c>
      <c r="G4" s="10" t="s">
        <v>37</v>
      </c>
      <c r="H4" s="9" t="s">
        <v>43</v>
      </c>
      <c r="I4" s="10" t="s">
        <v>56</v>
      </c>
      <c r="J4" s="9">
        <v>1</v>
      </c>
      <c r="K4" s="9"/>
    </row>
    <row r="5" spans="1:11" ht="60.75" thickBot="1" x14ac:dyDescent="0.3">
      <c r="A5" s="1"/>
      <c r="B5" s="11">
        <f>ROW(B5) - ROW($B$2)</f>
        <v>3</v>
      </c>
      <c r="C5" s="12" t="s">
        <v>4</v>
      </c>
      <c r="D5" s="7" t="s">
        <v>12</v>
      </c>
      <c r="E5" s="8" t="s">
        <v>21</v>
      </c>
      <c r="F5" s="7" t="s">
        <v>57</v>
      </c>
      <c r="G5" s="8" t="s">
        <v>30</v>
      </c>
      <c r="H5" s="7" t="s">
        <v>44</v>
      </c>
      <c r="I5" s="8" t="s">
        <v>56</v>
      </c>
      <c r="J5" s="7">
        <v>1</v>
      </c>
      <c r="K5" s="7"/>
    </row>
    <row r="6" spans="1:11" ht="15.75" thickBot="1" x14ac:dyDescent="0.3">
      <c r="A6" s="1"/>
      <c r="B6" s="11">
        <f t="shared" si="0"/>
        <v>4</v>
      </c>
      <c r="C6" s="13" t="s">
        <v>5</v>
      </c>
      <c r="D6" s="9" t="s">
        <v>13</v>
      </c>
      <c r="E6" s="10" t="s">
        <v>22</v>
      </c>
      <c r="F6" s="7" t="s">
        <v>57</v>
      </c>
      <c r="G6" s="10">
        <v>444280401</v>
      </c>
      <c r="H6" s="9" t="s">
        <v>45</v>
      </c>
      <c r="I6" s="10" t="s">
        <v>56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6</v>
      </c>
      <c r="D7" s="7" t="s">
        <v>14</v>
      </c>
      <c r="E7" s="8" t="s">
        <v>23</v>
      </c>
      <c r="F7" s="7" t="s">
        <v>31</v>
      </c>
      <c r="G7" s="8" t="s">
        <v>38</v>
      </c>
      <c r="H7" s="7" t="s">
        <v>46</v>
      </c>
      <c r="I7" s="8" t="s">
        <v>50</v>
      </c>
      <c r="J7" s="7">
        <v>1</v>
      </c>
      <c r="K7" s="7"/>
    </row>
    <row r="8" spans="1:11" ht="36.75" thickBot="1" x14ac:dyDescent="0.3">
      <c r="A8" s="1"/>
      <c r="B8" s="11">
        <f t="shared" si="0"/>
        <v>6</v>
      </c>
      <c r="C8" s="13" t="s">
        <v>7</v>
      </c>
      <c r="D8" s="9" t="s">
        <v>15</v>
      </c>
      <c r="E8" s="10" t="s">
        <v>24</v>
      </c>
      <c r="F8" s="7" t="s">
        <v>57</v>
      </c>
      <c r="G8" s="10" t="s">
        <v>32</v>
      </c>
      <c r="H8" s="9" t="s">
        <v>47</v>
      </c>
      <c r="I8" s="10" t="s">
        <v>51</v>
      </c>
      <c r="J8" s="9">
        <v>1</v>
      </c>
      <c r="K8" s="9"/>
    </row>
    <row r="9" spans="1:11" ht="36.75" thickBot="1" x14ac:dyDescent="0.3">
      <c r="A9" s="1"/>
      <c r="B9" s="11">
        <f>ROW(B9) - ROW($B$2)</f>
        <v>7</v>
      </c>
      <c r="C9" s="12" t="s">
        <v>7</v>
      </c>
      <c r="D9" s="7" t="s">
        <v>16</v>
      </c>
      <c r="E9" s="8" t="s">
        <v>25</v>
      </c>
      <c r="F9" s="7" t="s">
        <v>33</v>
      </c>
      <c r="G9" s="8" t="s">
        <v>39</v>
      </c>
      <c r="H9" s="7" t="s">
        <v>48</v>
      </c>
      <c r="I9" s="8" t="s">
        <v>52</v>
      </c>
      <c r="J9" s="7">
        <v>1</v>
      </c>
      <c r="K9" s="7"/>
    </row>
    <row r="10" spans="1:11" ht="24.75" thickBot="1" x14ac:dyDescent="0.3">
      <c r="A10" s="1"/>
      <c r="B10" s="11">
        <f t="shared" si="0"/>
        <v>8</v>
      </c>
      <c r="C10" s="13" t="s">
        <v>8</v>
      </c>
      <c r="D10" s="9" t="s">
        <v>17</v>
      </c>
      <c r="E10" s="10" t="s">
        <v>26</v>
      </c>
      <c r="F10" s="9" t="s">
        <v>34</v>
      </c>
      <c r="G10" s="10" t="s">
        <v>40</v>
      </c>
      <c r="H10" s="9" t="s">
        <v>49</v>
      </c>
      <c r="I10" s="10" t="s">
        <v>56</v>
      </c>
      <c r="J10" s="9">
        <v>1</v>
      </c>
      <c r="K10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2024-08-23T11:44:51Z</dcterms:modified>
</cp:coreProperties>
</file>