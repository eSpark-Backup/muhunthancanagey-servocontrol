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Dimm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8" i="1" l="1"/>
  <c r="Q17" i="1" l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9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<sst xmlns="http://schemas.openxmlformats.org/spreadsheetml/2006/main" count="121" uniqueCount="92">
  <si>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</si>
  <si>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</si>
  <si>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</si>
  <si>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</si>
  <si>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</si>
  <si>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</si>
  <si>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</si>
  <si>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Thyristors</t>
  </si>
  <si>
    <t>Connector</t>
  </si>
  <si>
    <t>Terminal Block</t>
  </si>
  <si>
    <t>R/A Male Header</t>
  </si>
  <si>
    <t>Resistor</t>
  </si>
  <si>
    <t>IC</t>
  </si>
  <si>
    <t>Designator</t>
  </si>
  <si>
    <t>C1, C2</t>
  </si>
  <si>
    <t>D1</t>
  </si>
  <si>
    <t>J1</t>
  </si>
  <si>
    <t>J2</t>
  </si>
  <si>
    <t>J3</t>
  </si>
  <si>
    <t>R1</t>
  </si>
  <si>
    <t>R2</t>
  </si>
  <si>
    <t>R3</t>
  </si>
  <si>
    <t>R4</t>
  </si>
  <si>
    <t>U1</t>
  </si>
  <si>
    <t>Description</t>
  </si>
  <si>
    <t>10nF -40℃~+100℃ ±5% 400V Plugin,P=5mm Polypropylene Film Capacitors (CBB) ROHS</t>
  </si>
  <si>
    <t>80mA 50mA 600V TOP-3 Thyristors (SCR)/Modules ROHS</t>
  </si>
  <si>
    <t>CONN HEADER R/A 4POS 3MM</t>
  </si>
  <si>
    <t>1x2P Corner With Cover Plate 2 1 7.62mm -40℃~+105℃ 20A 300V Black 12~22 Straight Needle Plugin,P=7.62mm Barrier Terminal Blocks ROHS</t>
  </si>
  <si>
    <t>Right-Angle Square Pins 2.5mm 2P 6mm -40℃~+105℃ 2.54mm Plugin Black Brass 1x2P Push-Pull,P=2.54mm Pin Headers ROHS</t>
  </si>
  <si>
    <t>RES SMD 270 OHM 0.1% 1/10W 0603</t>
  </si>
  <si>
    <t>RES 1K OHM 5% 3W AXIAL</t>
  </si>
  <si>
    <t>Wirewound Resistors 560Ω 6W ±250ppm/℃ ±5% Plugin,D8xL23.5mm Through Hole Resistors ROHS</t>
  </si>
  <si>
    <t>Metal Film Resistors 39Ω 2W ±5% Plugin,D4.5xL11.5mm Through Hole Resistors ROHS</t>
  </si>
  <si>
    <t>OPTOISOLATOR 4.17KV TRIAC 6DIP</t>
  </si>
  <si>
    <t>Footprint</t>
  </si>
  <si>
    <t>KP103J2G0501</t>
  </si>
  <si>
    <t>TOP3</t>
  </si>
  <si>
    <t>0444280401-</t>
  </si>
  <si>
    <t>DBT50G-7.62-2P-BK-P</t>
  </si>
  <si>
    <t>HDR1X2 (R/A Male)</t>
  </si>
  <si>
    <t>Res-0603</t>
  </si>
  <si>
    <t>MFR3WSJT-73-1K</t>
  </si>
  <si>
    <t>EWWR0006J500RT9</t>
  </si>
  <si>
    <t>MFR2WSJT-73-39R</t>
  </si>
  <si>
    <t>6 Pin Dip</t>
  </si>
  <si>
    <t>Manufacturer Part Number</t>
  </si>
  <si>
    <t>BTA41-600BRG</t>
  </si>
  <si>
    <t>PZ254R-11-02P</t>
  </si>
  <si>
    <t>RT0603BRE07270RL</t>
  </si>
  <si>
    <t>EWWR0006J560RT9</t>
  </si>
  <si>
    <t>MOC3023M</t>
  </si>
  <si>
    <t>Manufacturer</t>
  </si>
  <si>
    <t>KYET</t>
  </si>
  <si>
    <t>STMicroelectronics</t>
  </si>
  <si>
    <t>Molex</t>
  </si>
  <si>
    <t>DORABO</t>
  </si>
  <si>
    <t>XFCN</t>
  </si>
  <si>
    <t>Yageo</t>
  </si>
  <si>
    <t>RESI</t>
  </si>
  <si>
    <t>YAGEO</t>
  </si>
  <si>
    <t>ON Semiconductor / Fairchild</t>
  </si>
  <si>
    <t>LCSC Part Number</t>
  </si>
  <si>
    <t>C3019055</t>
  </si>
  <si>
    <t>C9103</t>
  </si>
  <si>
    <t>C17645517</t>
  </si>
  <si>
    <t>C496127</t>
  </si>
  <si>
    <t>C492410</t>
  </si>
  <si>
    <t>C705836</t>
  </si>
  <si>
    <t>C176599</t>
  </si>
  <si>
    <t>C348992</t>
  </si>
  <si>
    <t>C176578</t>
  </si>
  <si>
    <t>C5240</t>
  </si>
  <si>
    <t>10nF</t>
  </si>
  <si>
    <t>270R</t>
  </si>
  <si>
    <t>1K</t>
  </si>
  <si>
    <t>560R</t>
  </si>
  <si>
    <t>39R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</si>
  <si>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</si>
  <si>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</si>
  <si>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</si>
  <si>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</si>
  <si>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</si>
  <si>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</si>
  <si>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</si>
  <si>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</si>
  <si>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</si>
  <si>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Bill of Materials for Project [Dimmer-Board-v1.0]</t>
  </si>
  <si>
    <t>Dimmer-Board-v1.0</t>
  </si>
  <si>
    <t>LCSC</t>
  </si>
  <si>
    <t>-</t>
  </si>
  <si>
    <t>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</si>
</sst>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9" fillId="2" borderId="7" xfId="1" applyFill="1" applyBorder="1" applyAlignment="1">
      <alignment horizontal="center" vertical="center" wrapText="1"/>
    </xf>
    <xf numFmtId="0" fontId="19" fillId="2" borderId="8" xfId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hrough-Hole-Resistors_RESI-EWWR0006J560RT9_C348992.html" TargetMode="External"/><Relationship Id="rId3" Type="http://schemas.openxmlformats.org/officeDocument/2006/relationships/hyperlink" Target="https://www.chipsmall.com/Products/0444280401_30619066.html" TargetMode="External"/><Relationship Id="rId7" Type="http://schemas.openxmlformats.org/officeDocument/2006/relationships/hyperlink" Target="https://www.lcsc.com/product-detail/Through-Hole-Resistors_YAGEO-MFR3WSJT-73-1K_C176599.html" TargetMode="External"/><Relationship Id="rId2" Type="http://schemas.openxmlformats.org/officeDocument/2006/relationships/hyperlink" Target="https://www.lcsc.com/product-detail/Pin-Headers_XFCN-PZ254R-11-02P_C492410.html" TargetMode="External"/><Relationship Id="rId1" Type="http://schemas.openxmlformats.org/officeDocument/2006/relationships/hyperlink" Target="https://www.lcsc.com/product-detail/Thyristors-SCR-Modules_STMicroelectronics-BTA41-600BRG_C9103.html" TargetMode="External"/><Relationship Id="rId6" Type="http://schemas.openxmlformats.org/officeDocument/2006/relationships/hyperlink" Target="https://www.lcsc.com/product-detail/Chip-Resistor-Surface-Mount_YAGEO-RT0603BRE07270RL_C705836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Polypropylene-Film-Capacitors-CBB_KYET-KP103J2G0501_C3019055.html" TargetMode="External"/><Relationship Id="rId10" Type="http://schemas.openxmlformats.org/officeDocument/2006/relationships/hyperlink" Target="https://www.lcsc.com/product-detail/Triac-SCR-Output-Optoisolators_onsemi-MOC3023M_C5240.html" TargetMode="External"/><Relationship Id="rId4" Type="http://schemas.openxmlformats.org/officeDocument/2006/relationships/hyperlink" Target="https://www.lcsc.com/product-detail/Barrier-Terminal-Blocks_DORABO-DBT50G-7-62-2P-BK-P_C496127.html" TargetMode="External"/><Relationship Id="rId9" Type="http://schemas.openxmlformats.org/officeDocument/2006/relationships/hyperlink" Target="https://www.lcsc.com/product-detail/Through-Hole-Resistors_YAGEO-MFR2WSJT-73-39R_C1765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31"/>
  <sheetViews>
    <sheetView tabSelected="1" topLeftCell="D1" workbookViewId="0">
      <selection activeCell="I21" sqref="I21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6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87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88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13</v>
      </c>
      <c r="E7" s="12" t="s">
        <v>24</v>
      </c>
      <c r="F7" s="12" t="s">
        <v>35</v>
      </c>
      <c r="G7" s="12" t="s">
        <v>46</v>
      </c>
      <c r="H7" s="12" t="s">
        <v>52</v>
      </c>
      <c r="I7" s="12" t="s">
        <v>79</v>
      </c>
      <c r="J7" s="12" t="s">
        <v>62</v>
      </c>
      <c r="K7" s="12" t="s">
        <v>80</v>
      </c>
      <c r="L7" s="12" t="s">
        <v>78</v>
      </c>
      <c r="M7" s="12" t="s">
        <v>81</v>
      </c>
      <c r="N7" s="12" t="s">
        <v>82</v>
      </c>
      <c r="O7" s="12" t="s">
        <v>83</v>
      </c>
      <c r="P7" s="12" t="s">
        <v>84</v>
      </c>
      <c r="Q7" s="12" t="s">
        <v>85</v>
      </c>
      <c r="R7" s="12" t="s">
        <v>86</v>
      </c>
    </row>
    <row r="8" spans="1:18" ht="36" x14ac:dyDescent="0.25">
      <c r="A8" s="1"/>
      <c r="B8" s="16">
        <f>ROW(B8) - ROW($B$7)</f>
        <v>1</v>
      </c>
      <c r="C8" s="22" t="s">
        <v>6</v>
      </c>
      <c r="D8" s="14" t="s">
        <v>14</v>
      </c>
      <c r="E8" s="14" t="s">
        <v>25</v>
      </c>
      <c r="F8" s="14" t="s">
        <v>36</v>
      </c>
      <c r="G8" s="14" t="s">
        <v>36</v>
      </c>
      <c r="H8" s="14" t="s">
        <v>53</v>
      </c>
      <c r="I8" s="47" t="s">
        <v>91</v>
      </c>
      <c r="J8" s="14" t="s">
        <v>63</v>
      </c>
      <c r="K8" s="14" t="s">
        <v>73</v>
      </c>
      <c r="L8" s="14">
        <v>2</v>
      </c>
      <c r="M8" s="14">
        <f>L8*5</f>
        <v>10</v>
      </c>
      <c r="N8" s="14">
        <v>20</v>
      </c>
      <c r="O8" s="45" t="s">
        <v>89</v>
      </c>
      <c r="P8" s="15">
        <v>4.4900000000000002E-2</v>
      </c>
      <c r="Q8" s="15">
        <f>P8*N8</f>
        <v>0.89800000000000002</v>
      </c>
      <c r="R8" s="14"/>
    </row>
    <row r="9" spans="1:18" ht="24" x14ac:dyDescent="0.25">
      <c r="A9" s="1"/>
      <c r="B9" s="17">
        <f t="shared" ref="B9:B17" si="0">ROW(B9) - ROW($B$7)</f>
        <v>2</v>
      </c>
      <c r="C9" s="23" t="s">
        <v>7</v>
      </c>
      <c r="D9" s="20" t="s">
        <v>15</v>
      </c>
      <c r="E9" s="20" t="s">
        <v>26</v>
      </c>
      <c r="F9" s="20" t="s">
        <v>37</v>
      </c>
      <c r="G9" s="20" t="s">
        <v>47</v>
      </c>
      <c r="H9" s="20" t="s">
        <v>54</v>
      </c>
      <c r="I9" s="47" t="s">
        <v>91</v>
      </c>
      <c r="J9" s="20" t="s">
        <v>64</v>
      </c>
      <c r="K9" s="20" t="s">
        <v>90</v>
      </c>
      <c r="L9" s="20">
        <v>1</v>
      </c>
      <c r="M9" s="20">
        <f t="shared" ref="M9" si="1">L9*5</f>
        <v>5</v>
      </c>
      <c r="N9" s="14">
        <v>6</v>
      </c>
      <c r="O9" s="45" t="s">
        <v>89</v>
      </c>
      <c r="P9" s="15">
        <v>1.4753000000000001</v>
      </c>
      <c r="Q9" s="21">
        <f t="shared" ref="Q9" si="2">P9*N9</f>
        <v>8.8518000000000008</v>
      </c>
      <c r="R9" s="20"/>
    </row>
    <row r="10" spans="1:18" x14ac:dyDescent="0.25">
      <c r="A10" s="1"/>
      <c r="B10" s="16">
        <f>ROW(B10) - ROW($B$7)</f>
        <v>3</v>
      </c>
      <c r="C10" s="22" t="s">
        <v>8</v>
      </c>
      <c r="D10" s="14" t="s">
        <v>16</v>
      </c>
      <c r="E10" s="14" t="s">
        <v>27</v>
      </c>
      <c r="F10" s="14" t="s">
        <v>38</v>
      </c>
      <c r="G10" s="14">
        <v>444280401</v>
      </c>
      <c r="H10" s="14" t="s">
        <v>55</v>
      </c>
      <c r="I10" s="47" t="s">
        <v>91</v>
      </c>
      <c r="J10" s="14" t="s">
        <v>65</v>
      </c>
      <c r="K10" s="20" t="s">
        <v>90</v>
      </c>
      <c r="L10" s="14">
        <v>1</v>
      </c>
      <c r="M10" s="14">
        <f>L10*5</f>
        <v>5</v>
      </c>
      <c r="N10" s="20">
        <v>6</v>
      </c>
      <c r="O10" s="46" t="s">
        <v>89</v>
      </c>
      <c r="P10" s="21">
        <v>2.44</v>
      </c>
      <c r="Q10" s="15">
        <f>P10*N10</f>
        <v>14.64</v>
      </c>
      <c r="R10" s="14"/>
    </row>
    <row r="11" spans="1:18" ht="60" x14ac:dyDescent="0.25">
      <c r="A11" s="1"/>
      <c r="B11" s="17">
        <f t="shared" si="0"/>
        <v>4</v>
      </c>
      <c r="C11" s="23" t="s">
        <v>9</v>
      </c>
      <c r="D11" s="20" t="s">
        <v>17</v>
      </c>
      <c r="E11" s="20" t="s">
        <v>28</v>
      </c>
      <c r="F11" s="20" t="s">
        <v>39</v>
      </c>
      <c r="G11" s="20" t="s">
        <v>39</v>
      </c>
      <c r="H11" s="20" t="s">
        <v>56</v>
      </c>
      <c r="I11" s="47" t="s">
        <v>91</v>
      </c>
      <c r="J11" s="20" t="s">
        <v>66</v>
      </c>
      <c r="K11" s="20" t="s">
        <v>90</v>
      </c>
      <c r="L11" s="20">
        <v>1</v>
      </c>
      <c r="M11" s="20">
        <f t="shared" ref="M11" si="3">L11*5</f>
        <v>5</v>
      </c>
      <c r="N11" s="14">
        <v>10</v>
      </c>
      <c r="O11" s="45" t="s">
        <v>89</v>
      </c>
      <c r="P11" s="15">
        <v>0.22620000000000001</v>
      </c>
      <c r="Q11" s="21">
        <f t="shared" ref="Q11" si="4">P11*N11</f>
        <v>2.262</v>
      </c>
      <c r="R11" s="20"/>
    </row>
    <row r="12" spans="1:18" ht="48" x14ac:dyDescent="0.25">
      <c r="A12" s="1"/>
      <c r="B12" s="16">
        <f>ROW(B12) - ROW($B$7)</f>
        <v>5</v>
      </c>
      <c r="C12" s="22" t="s">
        <v>10</v>
      </c>
      <c r="D12" s="14" t="s">
        <v>18</v>
      </c>
      <c r="E12" s="14" t="s">
        <v>29</v>
      </c>
      <c r="F12" s="14" t="s">
        <v>40</v>
      </c>
      <c r="G12" s="14" t="s">
        <v>48</v>
      </c>
      <c r="H12" s="14" t="s">
        <v>57</v>
      </c>
      <c r="I12" s="47" t="s">
        <v>91</v>
      </c>
      <c r="J12" s="14" t="s">
        <v>67</v>
      </c>
      <c r="K12" s="20" t="s">
        <v>90</v>
      </c>
      <c r="L12" s="14">
        <v>1</v>
      </c>
      <c r="M12" s="14">
        <f>L12*5</f>
        <v>5</v>
      </c>
      <c r="N12" s="20">
        <v>50</v>
      </c>
      <c r="O12" s="46" t="s">
        <v>89</v>
      </c>
      <c r="P12" s="21">
        <v>1.3599999999999999E-2</v>
      </c>
      <c r="Q12" s="15">
        <f>P12*N12</f>
        <v>0.67999999999999994</v>
      </c>
      <c r="R12" s="14"/>
    </row>
    <row r="13" spans="1:18" x14ac:dyDescent="0.25">
      <c r="A13" s="1"/>
      <c r="B13" s="17">
        <f t="shared" si="0"/>
        <v>6</v>
      </c>
      <c r="C13" s="23" t="s">
        <v>11</v>
      </c>
      <c r="D13" s="20" t="s">
        <v>19</v>
      </c>
      <c r="E13" s="20" t="s">
        <v>30</v>
      </c>
      <c r="F13" s="20" t="s">
        <v>41</v>
      </c>
      <c r="G13" s="20" t="s">
        <v>49</v>
      </c>
      <c r="H13" s="20" t="s">
        <v>58</v>
      </c>
      <c r="I13" s="47" t="s">
        <v>91</v>
      </c>
      <c r="J13" s="20" t="s">
        <v>68</v>
      </c>
      <c r="K13" s="20" t="s">
        <v>74</v>
      </c>
      <c r="L13" s="20">
        <v>1</v>
      </c>
      <c r="M13" s="20">
        <f t="shared" ref="M13" si="5">L13*5</f>
        <v>5</v>
      </c>
      <c r="N13" s="20">
        <v>20</v>
      </c>
      <c r="O13" s="46" t="s">
        <v>89</v>
      </c>
      <c r="P13" s="21">
        <v>2.52E-2</v>
      </c>
      <c r="Q13" s="21">
        <f t="shared" ref="Q13" si="6">P13*N13</f>
        <v>0.504</v>
      </c>
      <c r="R13" s="20"/>
    </row>
    <row r="14" spans="1:18" x14ac:dyDescent="0.25">
      <c r="A14" s="1"/>
      <c r="B14" s="16">
        <f>ROW(B14) - ROW($B$7)</f>
        <v>7</v>
      </c>
      <c r="C14" s="22" t="s">
        <v>11</v>
      </c>
      <c r="D14" s="14" t="s">
        <v>20</v>
      </c>
      <c r="E14" s="14" t="s">
        <v>31</v>
      </c>
      <c r="F14" s="14" t="s">
        <v>42</v>
      </c>
      <c r="G14" s="14" t="s">
        <v>42</v>
      </c>
      <c r="H14" s="14" t="s">
        <v>58</v>
      </c>
      <c r="I14" s="47" t="s">
        <v>91</v>
      </c>
      <c r="J14" s="14" t="s">
        <v>69</v>
      </c>
      <c r="K14" s="14" t="s">
        <v>75</v>
      </c>
      <c r="L14" s="14">
        <v>1</v>
      </c>
      <c r="M14" s="14">
        <f>L14*5</f>
        <v>5</v>
      </c>
      <c r="N14" s="14">
        <v>10</v>
      </c>
      <c r="O14" s="45" t="s">
        <v>89</v>
      </c>
      <c r="P14" s="15">
        <v>5.0500000000000003E-2</v>
      </c>
      <c r="Q14" s="15">
        <f>P14*N14</f>
        <v>0.505</v>
      </c>
      <c r="R14" s="14"/>
    </row>
    <row r="15" spans="1:18" ht="36" x14ac:dyDescent="0.25">
      <c r="A15" s="1"/>
      <c r="B15" s="17">
        <f t="shared" si="0"/>
        <v>8</v>
      </c>
      <c r="C15" s="23" t="s">
        <v>11</v>
      </c>
      <c r="D15" s="20" t="s">
        <v>21</v>
      </c>
      <c r="E15" s="20" t="s">
        <v>32</v>
      </c>
      <c r="F15" s="20" t="s">
        <v>43</v>
      </c>
      <c r="G15" s="20" t="s">
        <v>50</v>
      </c>
      <c r="H15" s="20" t="s">
        <v>59</v>
      </c>
      <c r="I15" s="47" t="s">
        <v>91</v>
      </c>
      <c r="J15" s="20" t="s">
        <v>70</v>
      </c>
      <c r="K15" s="20" t="s">
        <v>76</v>
      </c>
      <c r="L15" s="20">
        <v>1</v>
      </c>
      <c r="M15" s="20">
        <f t="shared" ref="M15" si="7">L15*5</f>
        <v>5</v>
      </c>
      <c r="N15" s="20">
        <v>10</v>
      </c>
      <c r="O15" s="46" t="s">
        <v>89</v>
      </c>
      <c r="P15" s="21">
        <v>0.35460000000000003</v>
      </c>
      <c r="Q15" s="21">
        <f t="shared" ref="Q15" si="8">P15*N15</f>
        <v>3.5460000000000003</v>
      </c>
      <c r="R15" s="20"/>
    </row>
    <row r="16" spans="1:18" ht="36" x14ac:dyDescent="0.25">
      <c r="A16" s="1"/>
      <c r="B16" s="16">
        <f>ROW(B16) - ROW($B$7)</f>
        <v>9</v>
      </c>
      <c r="C16" s="22" t="s">
        <v>11</v>
      </c>
      <c r="D16" s="14" t="s">
        <v>22</v>
      </c>
      <c r="E16" s="14" t="s">
        <v>33</v>
      </c>
      <c r="F16" s="14" t="s">
        <v>44</v>
      </c>
      <c r="G16" s="14" t="s">
        <v>44</v>
      </c>
      <c r="H16" s="14" t="s">
        <v>60</v>
      </c>
      <c r="I16" s="47" t="s">
        <v>91</v>
      </c>
      <c r="J16" s="14" t="s">
        <v>71</v>
      </c>
      <c r="K16" s="14" t="s">
        <v>77</v>
      </c>
      <c r="L16" s="14">
        <v>1</v>
      </c>
      <c r="M16" s="14">
        <f>L16*5</f>
        <v>5</v>
      </c>
      <c r="N16" s="14">
        <v>10</v>
      </c>
      <c r="O16" s="45" t="s">
        <v>89</v>
      </c>
      <c r="P16" s="15">
        <v>5.04E-2</v>
      </c>
      <c r="Q16" s="15">
        <f>P16*N16</f>
        <v>0.504</v>
      </c>
      <c r="R16" s="14"/>
    </row>
    <row r="17" spans="1:18" ht="24.75" thickBot="1" x14ac:dyDescent="0.3">
      <c r="A17" s="1"/>
      <c r="B17" s="17">
        <f t="shared" si="0"/>
        <v>10</v>
      </c>
      <c r="C17" s="23" t="s">
        <v>12</v>
      </c>
      <c r="D17" s="20" t="s">
        <v>23</v>
      </c>
      <c r="E17" s="20" t="s">
        <v>34</v>
      </c>
      <c r="F17" s="20" t="s">
        <v>45</v>
      </c>
      <c r="G17" s="20" t="s">
        <v>51</v>
      </c>
      <c r="H17" s="20" t="s">
        <v>61</v>
      </c>
      <c r="I17" s="47" t="s">
        <v>91</v>
      </c>
      <c r="J17" s="20" t="s">
        <v>72</v>
      </c>
      <c r="K17" s="20"/>
      <c r="L17" s="20">
        <v>1</v>
      </c>
      <c r="M17" s="20">
        <f t="shared" ref="M17" si="9">L17*5</f>
        <v>5</v>
      </c>
      <c r="N17" s="20">
        <v>6</v>
      </c>
      <c r="O17" s="46" t="s">
        <v>89</v>
      </c>
      <c r="P17" s="21">
        <v>0.41149999999999998</v>
      </c>
      <c r="Q17" s="21">
        <f t="shared" ref="Q17" si="10">P17*N17</f>
        <v>2.4689999999999999</v>
      </c>
      <c r="R17" s="20"/>
    </row>
    <row r="18" spans="1:18" ht="19.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43" t="s">
        <v>3</v>
      </c>
      <c r="O18" s="44"/>
      <c r="P18" s="44"/>
      <c r="Q18" s="18">
        <f>SUM(Q8:Q17)</f>
        <v>34.8598</v>
      </c>
      <c r="R18" s="1"/>
    </row>
    <row r="19" spans="1:18" ht="19.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3" t="s">
        <v>4</v>
      </c>
      <c r="O19" s="44"/>
      <c r="P19" s="44"/>
      <c r="Q19" s="19">
        <f>Q18/5</f>
        <v>6.9719600000000002</v>
      </c>
      <c r="R19" s="1"/>
    </row>
    <row r="31" spans="1:18" x14ac:dyDescent="0.25">
      <c r="M31" s="38"/>
    </row>
  </sheetData>
  <mergeCells count="3">
    <mergeCell ref="K1:R1"/>
    <mergeCell ref="N18:P18"/>
    <mergeCell ref="N19:P19"/>
  </mergeCells>
  <hyperlinks>
    <hyperlink ref="O9" r:id="rId1"/>
    <hyperlink ref="O12" r:id="rId2"/>
    <hyperlink ref="O10" r:id="rId3"/>
    <hyperlink ref="O11" r:id="rId4"/>
    <hyperlink ref="O8" r:id="rId5"/>
    <hyperlink ref="O13" r:id="rId6"/>
    <hyperlink ref="O14" r:id="rId7"/>
    <hyperlink ref="O15" r:id="rId8"/>
    <hyperlink ref="O16" r:id="rId9"/>
    <hyperlink ref="O17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2024-09-05T08:23:26Z</dcterms:modified>
</cp:coreProperties>
</file>