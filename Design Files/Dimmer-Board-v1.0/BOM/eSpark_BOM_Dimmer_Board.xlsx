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Dimmer_Board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16" i="1" l="1"/>
  <c r="Q15" i="1" l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17" i="1" l="1"/>
  <c r="Q9" i="1"/>
  <c r="Q8" i="1"/>
  <c r="M9" i="1"/>
  <c r="M8" i="1"/>
  <c r="B9" i="1"/>
  <c r="B8" i="1"/>
</calcChain>
</file>

<file path=xl/sharedStrings.xml><?xml version="1.0" encoding="utf-8"?>
<sst xmlns="http://schemas.openxmlformats.org/spreadsheetml/2006/main" count="102" uniqueCount="81">
  <si>
    <t>Component list</t>
  </si>
  <si>
    <t>Project:</t>
  </si>
  <si>
    <t>#</t>
  </si>
  <si>
    <t xml:space="preserve">Total Component Cost </t>
  </si>
  <si>
    <t>Single Board Cost</t>
  </si>
  <si>
    <t>Item Type</t>
  </si>
  <si>
    <t>Thyristors</t>
  </si>
  <si>
    <t>R/A Male Header</t>
  </si>
  <si>
    <t>Terminal Block</t>
  </si>
  <si>
    <t>Connector</t>
  </si>
  <si>
    <t>Resistors</t>
  </si>
  <si>
    <t>Resistor</t>
  </si>
  <si>
    <t>IC</t>
  </si>
  <si>
    <t>Designator</t>
  </si>
  <si>
    <t>D1</t>
  </si>
  <si>
    <t>J1</t>
  </si>
  <si>
    <t>J2</t>
  </si>
  <si>
    <t>J3</t>
  </si>
  <si>
    <t>R1</t>
  </si>
  <si>
    <t>R2</t>
  </si>
  <si>
    <t>R3</t>
  </si>
  <si>
    <t>U1</t>
  </si>
  <si>
    <t>Description</t>
  </si>
  <si>
    <t>80mA 50mA 600V TOP-3 Thyristors (SCR)/Modules ROHS</t>
  </si>
  <si>
    <t>Right-Angle Square Pins 2.5mm 2P 6mm -40℃~+105℃ 2.54mm Plugin Black Brass 1x2P Push-Pull,P=2.54mm Pin Headers ROHS</t>
  </si>
  <si>
    <t>1x2P Corner With Cover Plate 2 1 7.62mm -40℃~+105℃ 20A 300V Black 12~22 Straight Needle Plugin,P=7.62mm Barrier Terminal Blocks ROHS</t>
  </si>
  <si>
    <t>CONN HEADER R/A 4POS 3MM</t>
  </si>
  <si>
    <t>RES 120 OHM 1% 1/16W 0402</t>
  </si>
  <si>
    <t>Wirewound Resistors 500Ω 6W ±250ppm/℃ ±5% Plugin,D8xL23.5mm Through Hole Resistors ROHS</t>
  </si>
  <si>
    <t>500mW Thick Film Resistors 200V ±100ppm/℃ ±5% 330Ω 1206 Chip Resistor - Surface Mount ROHS</t>
  </si>
  <si>
    <t>OPTOISOLATOR 4.17KV TRIAC 6SMD</t>
  </si>
  <si>
    <t>Footprint</t>
  </si>
  <si>
    <t>TOP3</t>
  </si>
  <si>
    <t>HDR1X2 (R/A Male)</t>
  </si>
  <si>
    <t>DBT50G-7.62-2P-BK-P</t>
  </si>
  <si>
    <t>0444280401-</t>
  </si>
  <si>
    <t>Res-0402</t>
  </si>
  <si>
    <t>EWWR0006J500RT9</t>
  </si>
  <si>
    <t>Res-1206</t>
  </si>
  <si>
    <t>SMD-6P</t>
  </si>
  <si>
    <t>Manufacturer Part Number</t>
  </si>
  <si>
    <t>BTA41-600BRG</t>
  </si>
  <si>
    <t>PZ254R-11-02P</t>
  </si>
  <si>
    <t>RC0402FR-07120RL</t>
  </si>
  <si>
    <t>HP06W2J0331T5E</t>
  </si>
  <si>
    <t>MOC3083SR2M</t>
  </si>
  <si>
    <t>Manufacturer</t>
  </si>
  <si>
    <t>STMicroelectronics</t>
  </si>
  <si>
    <t>XFCN</t>
  </si>
  <si>
    <t>DORABO</t>
  </si>
  <si>
    <t>Molex</t>
  </si>
  <si>
    <t>Yageo</t>
  </si>
  <si>
    <t>RESI</t>
  </si>
  <si>
    <t>Royal Electronic Factory</t>
  </si>
  <si>
    <t>ON Semiconductor / Fairchild</t>
  </si>
  <si>
    <t>LCSC Part Number</t>
  </si>
  <si>
    <t>C9103</t>
  </si>
  <si>
    <t>C492410</t>
  </si>
  <si>
    <t>C496127</t>
  </si>
  <si>
    <t>C17645517</t>
  </si>
  <si>
    <t>C114758</t>
  </si>
  <si>
    <t>C348990</t>
  </si>
  <si>
    <t>C414913</t>
  </si>
  <si>
    <t>C111561</t>
  </si>
  <si>
    <t>120R</t>
  </si>
  <si>
    <t>500R</t>
  </si>
  <si>
    <t>330R</t>
  </si>
  <si>
    <t>Quantity</t>
  </si>
  <si>
    <t>Quantity (5 Boards)</t>
  </si>
  <si>
    <t>MOQ (5 Boards)</t>
  </si>
  <si>
    <t>Links</t>
  </si>
  <si>
    <t>Unit Cost (5 Boards)</t>
  </si>
  <si>
    <t>Total Cost (5 Boards)</t>
  </si>
  <si>
    <t>Remarks</t>
  </si>
  <si>
    <t>Value</t>
  </si>
  <si>
    <t>-</t>
  </si>
  <si>
    <t>Alternate Part Number</t>
  </si>
  <si>
    <t>LCSC</t>
  </si>
  <si>
    <t>Bill of Materials for Project [Dimmer_Board]</t>
  </si>
  <si>
    <t>Dimmer_Board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</si>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</sst>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4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  <xf numFmtId="0" fontId="19" fillId="2" borderId="7" xfId="1" applyFill="1" applyBorder="1" applyAlignment="1">
      <alignment horizontal="center" vertical="center" wrapText="1"/>
    </xf>
    <xf numFmtId="0" fontId="19" fillId="2" borderId="8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Triac-SCR-Output-Optoisolators_onsemi-MOC3083SR2M_C111561.html" TargetMode="External"/><Relationship Id="rId3" Type="http://schemas.openxmlformats.org/officeDocument/2006/relationships/hyperlink" Target="https://www.lcsc.com/product-detail/Barrier-Terminal-Blocks_DORABO-DBT50G-7-62-2P-BK-P_C496127.html" TargetMode="External"/><Relationship Id="rId7" Type="http://schemas.openxmlformats.org/officeDocument/2006/relationships/hyperlink" Target="https://www.lcsc.com/product-detail/Chip-Resistor-Surface-Mount_UNI-ROYAL-Uniroyal-Elec-HP06W2J0331T5E_C414913.html" TargetMode="External"/><Relationship Id="rId2" Type="http://schemas.openxmlformats.org/officeDocument/2006/relationships/hyperlink" Target="https://www.lcsc.com/product-detail/Pin-Headers_XFCN-PZ254R-11-02P_C492410.html" TargetMode="External"/><Relationship Id="rId1" Type="http://schemas.openxmlformats.org/officeDocument/2006/relationships/hyperlink" Target="https://www.lcsc.com/product-detail/Thyristors-SCR-Modules_STMicroelectronics-BTA41-600BRG_C9103.html" TargetMode="External"/><Relationship Id="rId6" Type="http://schemas.openxmlformats.org/officeDocument/2006/relationships/hyperlink" Target="https://www.lcsc.com/product-detail/Through-Hole-Resistors_RESI-EWWR0006J500RT9_C348990.html" TargetMode="External"/><Relationship Id="rId5" Type="http://schemas.openxmlformats.org/officeDocument/2006/relationships/hyperlink" Target="https://www.lcsc.com/product-detail/Chip-Resistor-Surface-Mount_YAGEO-RC0402FR-07120RL_C114758.html" TargetMode="External"/><Relationship Id="rId4" Type="http://schemas.openxmlformats.org/officeDocument/2006/relationships/hyperlink" Target="https://www.chipsmall.com/Products/0444280401_30619066.html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29"/>
  <sheetViews>
    <sheetView tabSelected="1" workbookViewId="0">
      <selection activeCell="H23" sqref="H23"/>
    </sheetView>
  </sheetViews>
  <sheetFormatPr defaultRowHeight="15" x14ac:dyDescent="0.25"/>
  <cols>
    <col min="2" max="2" width="3.140625" style="10" customWidth="1"/>
    <col min="3" max="3" width="18" style="10" bestFit="1" customWidth="1"/>
    <col min="4" max="4" width="31.140625" bestFit="1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25.7109375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</cols>
  <sheetData>
    <row r="1" spans="1:18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42"/>
      <c r="L1" s="42"/>
      <c r="M1" s="42"/>
      <c r="N1" s="42"/>
      <c r="O1" s="42"/>
      <c r="P1" s="42"/>
      <c r="Q1" s="42"/>
      <c r="R1" s="42"/>
    </row>
    <row r="2" spans="1:18" ht="32.25" thickBot="1" x14ac:dyDescent="0.3">
      <c r="A2" s="1"/>
      <c r="B2" s="7"/>
      <c r="C2" s="13"/>
      <c r="D2" s="4" t="s">
        <v>0</v>
      </c>
      <c r="E2" s="4"/>
      <c r="F2" s="40" t="s">
        <v>78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 x14ac:dyDescent="0.3">
      <c r="A3" s="1"/>
      <c r="B3" s="8"/>
      <c r="C3" s="26"/>
      <c r="D3" s="39" t="s">
        <v>1</v>
      </c>
      <c r="E3" s="27"/>
      <c r="F3" s="41" t="s">
        <v>79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 x14ac:dyDescent="0.25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 x14ac:dyDescent="0.25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 x14ac:dyDescent="0.3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 x14ac:dyDescent="0.3">
      <c r="A7" s="1"/>
      <c r="B7" s="12" t="s">
        <v>2</v>
      </c>
      <c r="C7" s="12" t="s">
        <v>5</v>
      </c>
      <c r="D7" s="12" t="s">
        <v>13</v>
      </c>
      <c r="E7" s="12" t="s">
        <v>22</v>
      </c>
      <c r="F7" s="12" t="s">
        <v>31</v>
      </c>
      <c r="G7" s="12" t="s">
        <v>40</v>
      </c>
      <c r="H7" s="12" t="s">
        <v>46</v>
      </c>
      <c r="I7" s="12" t="s">
        <v>76</v>
      </c>
      <c r="J7" s="12" t="s">
        <v>55</v>
      </c>
      <c r="K7" s="12" t="s">
        <v>74</v>
      </c>
      <c r="L7" s="12" t="s">
        <v>67</v>
      </c>
      <c r="M7" s="12" t="s">
        <v>68</v>
      </c>
      <c r="N7" s="12" t="s">
        <v>69</v>
      </c>
      <c r="O7" s="12" t="s">
        <v>70</v>
      </c>
      <c r="P7" s="12" t="s">
        <v>71</v>
      </c>
      <c r="Q7" s="12" t="s">
        <v>72</v>
      </c>
      <c r="R7" s="12" t="s">
        <v>73</v>
      </c>
    </row>
    <row r="8" spans="1:18" ht="24" x14ac:dyDescent="0.25">
      <c r="A8" s="1"/>
      <c r="B8" s="16">
        <f>ROW(B8) - ROW($B$7)</f>
        <v>1</v>
      </c>
      <c r="C8" s="22" t="s">
        <v>6</v>
      </c>
      <c r="D8" s="14" t="s">
        <v>14</v>
      </c>
      <c r="E8" s="14" t="s">
        <v>23</v>
      </c>
      <c r="F8" s="14" t="s">
        <v>32</v>
      </c>
      <c r="G8" s="14" t="s">
        <v>41</v>
      </c>
      <c r="H8" s="14" t="s">
        <v>47</v>
      </c>
      <c r="I8" s="14" t="s">
        <v>75</v>
      </c>
      <c r="J8" s="14" t="s">
        <v>56</v>
      </c>
      <c r="K8" s="14" t="s">
        <v>75</v>
      </c>
      <c r="L8" s="14">
        <v>1</v>
      </c>
      <c r="M8" s="14">
        <f>L8*5</f>
        <v>5</v>
      </c>
      <c r="N8" s="14">
        <v>6</v>
      </c>
      <c r="O8" s="45" t="s">
        <v>77</v>
      </c>
      <c r="P8" s="15">
        <v>1.4753000000000001</v>
      </c>
      <c r="Q8" s="15">
        <f>P8*N8</f>
        <v>8.8518000000000008</v>
      </c>
      <c r="R8" s="14"/>
    </row>
    <row r="9" spans="1:18" ht="48" x14ac:dyDescent="0.25">
      <c r="A9" s="1"/>
      <c r="B9" s="17">
        <f t="shared" ref="B9:B15" si="0">ROW(B9) - ROW($B$7)</f>
        <v>2</v>
      </c>
      <c r="C9" s="23" t="s">
        <v>7</v>
      </c>
      <c r="D9" s="20" t="s">
        <v>15</v>
      </c>
      <c r="E9" s="20" t="s">
        <v>24</v>
      </c>
      <c r="F9" s="20" t="s">
        <v>33</v>
      </c>
      <c r="G9" s="20" t="s">
        <v>42</v>
      </c>
      <c r="H9" s="20" t="s">
        <v>48</v>
      </c>
      <c r="I9" s="20" t="s">
        <v>75</v>
      </c>
      <c r="J9" s="20" t="s">
        <v>57</v>
      </c>
      <c r="K9" s="14" t="s">
        <v>75</v>
      </c>
      <c r="L9" s="20">
        <v>1</v>
      </c>
      <c r="M9" s="20">
        <f t="shared" ref="M9" si="1">L9*5</f>
        <v>5</v>
      </c>
      <c r="N9" s="20">
        <v>50</v>
      </c>
      <c r="O9" s="46" t="s">
        <v>77</v>
      </c>
      <c r="P9" s="21">
        <v>1.3599999999999999E-2</v>
      </c>
      <c r="Q9" s="21">
        <f t="shared" ref="Q9" si="2">P9*N9</f>
        <v>0.67999999999999994</v>
      </c>
      <c r="R9" s="20"/>
    </row>
    <row r="10" spans="1:18" ht="60" x14ac:dyDescent="0.25">
      <c r="A10" s="1"/>
      <c r="B10" s="16">
        <f>ROW(B10) - ROW($B$7)</f>
        <v>3</v>
      </c>
      <c r="C10" s="22" t="s">
        <v>8</v>
      </c>
      <c r="D10" s="14" t="s">
        <v>16</v>
      </c>
      <c r="E10" s="14" t="s">
        <v>25</v>
      </c>
      <c r="F10" s="14" t="s">
        <v>80</v>
      </c>
      <c r="G10" s="14" t="s">
        <v>34</v>
      </c>
      <c r="H10" s="14" t="s">
        <v>49</v>
      </c>
      <c r="I10" s="20" t="s">
        <v>75</v>
      </c>
      <c r="J10" s="14" t="s">
        <v>58</v>
      </c>
      <c r="K10" s="14" t="s">
        <v>75</v>
      </c>
      <c r="L10" s="14">
        <v>1</v>
      </c>
      <c r="M10" s="14">
        <f>L10*5</f>
        <v>5</v>
      </c>
      <c r="N10" s="14">
        <v>10</v>
      </c>
      <c r="O10" s="45" t="s">
        <v>77</v>
      </c>
      <c r="P10" s="15">
        <v>0.22620000000000001</v>
      </c>
      <c r="Q10" s="15">
        <f>P10*N10</f>
        <v>2.262</v>
      </c>
      <c r="R10" s="14"/>
    </row>
    <row r="11" spans="1:18" x14ac:dyDescent="0.25">
      <c r="A11" s="1"/>
      <c r="B11" s="17">
        <f t="shared" si="0"/>
        <v>4</v>
      </c>
      <c r="C11" s="23" t="s">
        <v>9</v>
      </c>
      <c r="D11" s="20" t="s">
        <v>17</v>
      </c>
      <c r="E11" s="20" t="s">
        <v>26</v>
      </c>
      <c r="F11" s="20" t="s">
        <v>35</v>
      </c>
      <c r="G11" s="20">
        <v>444280401</v>
      </c>
      <c r="H11" s="20" t="s">
        <v>50</v>
      </c>
      <c r="I11" s="20" t="s">
        <v>75</v>
      </c>
      <c r="J11" s="20" t="s">
        <v>59</v>
      </c>
      <c r="K11" s="14" t="s">
        <v>75</v>
      </c>
      <c r="L11" s="20">
        <v>1</v>
      </c>
      <c r="M11" s="20">
        <f t="shared" ref="M11" si="3">L11*5</f>
        <v>5</v>
      </c>
      <c r="N11" s="20">
        <v>6</v>
      </c>
      <c r="O11" s="46" t="s">
        <v>77</v>
      </c>
      <c r="P11" s="21">
        <v>2.44</v>
      </c>
      <c r="Q11" s="21">
        <f t="shared" ref="Q11" si="4">P11*N11</f>
        <v>14.64</v>
      </c>
      <c r="R11" s="20"/>
    </row>
    <row r="12" spans="1:18" x14ac:dyDescent="0.25">
      <c r="A12" s="1"/>
      <c r="B12" s="16">
        <f>ROW(B12) - ROW($B$7)</f>
        <v>5</v>
      </c>
      <c r="C12" s="22" t="s">
        <v>10</v>
      </c>
      <c r="D12" s="14" t="s">
        <v>18</v>
      </c>
      <c r="E12" s="14" t="s">
        <v>27</v>
      </c>
      <c r="F12" s="14" t="s">
        <v>36</v>
      </c>
      <c r="G12" s="14" t="s">
        <v>43</v>
      </c>
      <c r="H12" s="14" t="s">
        <v>51</v>
      </c>
      <c r="I12" s="20" t="s">
        <v>75</v>
      </c>
      <c r="J12" s="14" t="s">
        <v>60</v>
      </c>
      <c r="K12" s="14" t="s">
        <v>64</v>
      </c>
      <c r="L12" s="14">
        <v>1</v>
      </c>
      <c r="M12" s="14">
        <f>L12*5</f>
        <v>5</v>
      </c>
      <c r="N12" s="14">
        <v>100</v>
      </c>
      <c r="O12" s="45" t="s">
        <v>77</v>
      </c>
      <c r="P12" s="15">
        <v>6.9999999999999999E-4</v>
      </c>
      <c r="Q12" s="15">
        <f>P12*N12</f>
        <v>6.9999999999999993E-2</v>
      </c>
      <c r="R12" s="14"/>
    </row>
    <row r="13" spans="1:18" ht="36" x14ac:dyDescent="0.25">
      <c r="A13" s="1"/>
      <c r="B13" s="17">
        <f t="shared" si="0"/>
        <v>6</v>
      </c>
      <c r="C13" s="23" t="s">
        <v>11</v>
      </c>
      <c r="D13" s="20" t="s">
        <v>19</v>
      </c>
      <c r="E13" s="20" t="s">
        <v>28</v>
      </c>
      <c r="F13" s="20" t="s">
        <v>80</v>
      </c>
      <c r="G13" s="20" t="s">
        <v>37</v>
      </c>
      <c r="H13" s="20" t="s">
        <v>52</v>
      </c>
      <c r="I13" s="20" t="s">
        <v>75</v>
      </c>
      <c r="J13" s="20" t="s">
        <v>61</v>
      </c>
      <c r="K13" s="20" t="s">
        <v>65</v>
      </c>
      <c r="L13" s="20">
        <v>1</v>
      </c>
      <c r="M13" s="20">
        <f t="shared" ref="M13" si="5">L13*5</f>
        <v>5</v>
      </c>
      <c r="N13" s="20">
        <v>10</v>
      </c>
      <c r="O13" s="46" t="s">
        <v>77</v>
      </c>
      <c r="P13" s="21">
        <v>0.33019999999999999</v>
      </c>
      <c r="Q13" s="21">
        <f t="shared" ref="Q13" si="6">P13*N13</f>
        <v>3.302</v>
      </c>
      <c r="R13" s="20"/>
    </row>
    <row r="14" spans="1:18" ht="36" x14ac:dyDescent="0.25">
      <c r="A14" s="1"/>
      <c r="B14" s="16">
        <f>ROW(B14) - ROW($B$7)</f>
        <v>7</v>
      </c>
      <c r="C14" s="22" t="s">
        <v>11</v>
      </c>
      <c r="D14" s="14" t="s">
        <v>20</v>
      </c>
      <c r="E14" s="14" t="s">
        <v>29</v>
      </c>
      <c r="F14" s="14" t="s">
        <v>38</v>
      </c>
      <c r="G14" s="14" t="s">
        <v>44</v>
      </c>
      <c r="H14" s="14" t="s">
        <v>53</v>
      </c>
      <c r="I14" s="20" t="s">
        <v>75</v>
      </c>
      <c r="J14" s="14" t="s">
        <v>62</v>
      </c>
      <c r="K14" s="14" t="s">
        <v>66</v>
      </c>
      <c r="L14" s="14">
        <v>1</v>
      </c>
      <c r="M14" s="14">
        <f>L14*5</f>
        <v>5</v>
      </c>
      <c r="N14" s="14">
        <v>100</v>
      </c>
      <c r="O14" s="45" t="s">
        <v>77</v>
      </c>
      <c r="P14" s="15">
        <v>4.4999999999999997E-3</v>
      </c>
      <c r="Q14" s="15">
        <f>P14*N14</f>
        <v>0.44999999999999996</v>
      </c>
      <c r="R14" s="14"/>
    </row>
    <row r="15" spans="1:18" ht="24.75" thickBot="1" x14ac:dyDescent="0.3">
      <c r="A15" s="1"/>
      <c r="B15" s="17">
        <f t="shared" si="0"/>
        <v>8</v>
      </c>
      <c r="C15" s="23" t="s">
        <v>12</v>
      </c>
      <c r="D15" s="20" t="s">
        <v>21</v>
      </c>
      <c r="E15" s="20" t="s">
        <v>30</v>
      </c>
      <c r="F15" s="20" t="s">
        <v>39</v>
      </c>
      <c r="G15" s="20" t="s">
        <v>45</v>
      </c>
      <c r="H15" s="20" t="s">
        <v>54</v>
      </c>
      <c r="I15" s="20" t="s">
        <v>75</v>
      </c>
      <c r="J15" s="20" t="s">
        <v>63</v>
      </c>
      <c r="K15" s="20" t="s">
        <v>75</v>
      </c>
      <c r="L15" s="20">
        <v>1</v>
      </c>
      <c r="M15" s="20">
        <f t="shared" ref="M15" si="7">L15*5</f>
        <v>5</v>
      </c>
      <c r="N15" s="20">
        <v>6</v>
      </c>
      <c r="O15" s="46" t="s">
        <v>77</v>
      </c>
      <c r="P15" s="21">
        <v>0.51300000000000001</v>
      </c>
      <c r="Q15" s="21">
        <f t="shared" ref="Q15" si="8">P15*N15</f>
        <v>3.0780000000000003</v>
      </c>
      <c r="R15" s="20"/>
    </row>
    <row r="16" spans="1:18" ht="19.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43" t="s">
        <v>3</v>
      </c>
      <c r="O16" s="44"/>
      <c r="P16" s="44"/>
      <c r="Q16" s="18">
        <f>SUM(Q8:Q15)</f>
        <v>33.333800000000004</v>
      </c>
      <c r="R16" s="1"/>
    </row>
    <row r="17" spans="1:18" ht="19.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43" t="s">
        <v>4</v>
      </c>
      <c r="O17" s="44"/>
      <c r="P17" s="44"/>
      <c r="Q17" s="19">
        <f>Q16/5</f>
        <v>6.6667600000000009</v>
      </c>
      <c r="R17" s="1"/>
    </row>
    <row r="29" spans="1:18" x14ac:dyDescent="0.25">
      <c r="M29" s="38"/>
    </row>
  </sheetData>
  <mergeCells count="3">
    <mergeCell ref="K1:R1"/>
    <mergeCell ref="N16:P16"/>
    <mergeCell ref="N17:P17"/>
  </mergeCells>
  <hyperlinks>
    <hyperlink ref="O8" r:id="rId1"/>
    <hyperlink ref="O9" r:id="rId2"/>
    <hyperlink ref="O10" r:id="rId3"/>
    <hyperlink ref="O11" r:id="rId4"/>
    <hyperlink ref="O12" r:id="rId5"/>
    <hyperlink ref="O13" r:id="rId6"/>
    <hyperlink ref="O14" r:id="rId7"/>
    <hyperlink ref="O15" r:id="rId8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2024-08-23T11:51:11Z</dcterms:modified>
</cp:coreProperties>
</file>