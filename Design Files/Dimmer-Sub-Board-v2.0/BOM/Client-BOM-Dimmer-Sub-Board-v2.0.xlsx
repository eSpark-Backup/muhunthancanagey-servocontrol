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5" i="1" l="1"/>
  <c r="B14" i="1"/>
  <c r="B13" i="1" l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<sst xmlns="http://schemas.openxmlformats.org/spreadsheetml/2006/main" count="102" uniqueCount="76">
  <si>
    <t>#</t>
  </si>
  <si>
    <t>Item Type</t>
  </si>
  <si>
    <t>Capacitor</t>
  </si>
  <si>
    <t>Thyristors</t>
  </si>
  <si>
    <t>Terminal Block</t>
  </si>
  <si>
    <t>(RJ45 RJ11)</t>
  </si>
  <si>
    <t>Heatsink</t>
  </si>
  <si>
    <t>Resistor</t>
  </si>
  <si>
    <t>IC</t>
  </si>
  <si>
    <t>Designator</t>
  </si>
  <si>
    <t>C1</t>
  </si>
  <si>
    <t>C2</t>
  </si>
  <si>
    <t>D1</t>
  </si>
  <si>
    <t>J1, J3</t>
  </si>
  <si>
    <t>J2</t>
  </si>
  <si>
    <t>J4</t>
  </si>
  <si>
    <t>R1</t>
  </si>
  <si>
    <t>R2</t>
  </si>
  <si>
    <t>R3</t>
  </si>
  <si>
    <t>R4</t>
  </si>
  <si>
    <t>U1</t>
  </si>
  <si>
    <t>Description</t>
  </si>
  <si>
    <t>10nF -40℃~+100℃ ±5% 400V Plugin,P=5mm Polypropylene Film Capacitors (CBB) ROHS</t>
  </si>
  <si>
    <t>47nF -40℃~+105℃ ±5% 630V Plugin,P=10mm Polypropylene Film Capacitors (CBB) ROHS</t>
  </si>
  <si>
    <t>80mA 50mA 600V TOP-3 Thyristors (SCR)/Modules ROHS</t>
  </si>
  <si>
    <t>1x2P Corner With Cover Plate 2 1 7.62mm -40℃~+105℃ 20A 300V Black 12~22 Straight Needle Plugin,P=7.62mm Barrier Terminal Blocks ROHS</t>
  </si>
  <si>
    <t>RJ11Receptacle 1 Plugin Ethernet Connectors / Modular Connectors (RJ45 RJ11) ROHS</t>
  </si>
  <si>
    <t>42*25*25MM Heat sink/heatsink</t>
  </si>
  <si>
    <t>Wirewound Resistors 450Ω 6W ±250ppm/℃ ±5% Plugin,D8xL23.5mm Through Hole Resistors ROHS</t>
  </si>
  <si>
    <t>RES 470 OHM 1% 1/10W 0603</t>
  </si>
  <si>
    <t>Wirewound Resistors 390Ω 6W ±250ppm/℃ ±5% Plugin,D8xL23.5mm Through Hole Resistors ROHS</t>
  </si>
  <si>
    <t>Metal Film Resistors 39Ω 2W ±5% Plugin,D4.5xL11.5mm Through Hole Resistors ROHS</t>
  </si>
  <si>
    <t>OPTOISOLATOR 4.17KV TRIAC 6DIP</t>
  </si>
  <si>
    <t>Footprint</t>
  </si>
  <si>
    <t>KP103J2G0501</t>
  </si>
  <si>
    <t>MMKP473J2J1001</t>
  </si>
  <si>
    <t>TOP3</t>
  </si>
  <si>
    <t>DBT50G-7.62-2P-BK-P</t>
  </si>
  <si>
    <t>R-RJ11R04P-A802</t>
  </si>
  <si>
    <t>XSD366-094</t>
  </si>
  <si>
    <t>EWWR0006J450RT9</t>
  </si>
  <si>
    <t>Res-0603</t>
  </si>
  <si>
    <t>EWWR0006J390RT9</t>
  </si>
  <si>
    <t>MFR2WSJT-73-39R</t>
  </si>
  <si>
    <t>6 Pin Dip</t>
  </si>
  <si>
    <t>Manufacturer Part Number</t>
  </si>
  <si>
    <t>BTA41-600BRG</t>
  </si>
  <si>
    <t>RC0603FR-07470RL</t>
  </si>
  <si>
    <t>MOC3023M</t>
  </si>
  <si>
    <t>Manufacturer</t>
  </si>
  <si>
    <t>KYET</t>
  </si>
  <si>
    <t>STMicroelectronics</t>
  </si>
  <si>
    <t>DORABO</t>
  </si>
  <si>
    <t>Ckmtw(Shenzhen Cankemeng)</t>
  </si>
  <si>
    <t>XSD</t>
  </si>
  <si>
    <t>RESI</t>
  </si>
  <si>
    <t>Yageo</t>
  </si>
  <si>
    <t>YAGEO</t>
  </si>
  <si>
    <t>ON Semiconductor / Fairchild</t>
  </si>
  <si>
    <t>10nF</t>
  </si>
  <si>
    <t>47nF</t>
  </si>
  <si>
    <t>450R</t>
  </si>
  <si>
    <t>470R</t>
  </si>
  <si>
    <t>390R</t>
  </si>
  <si>
    <t>39R</t>
  </si>
  <si>
    <t>Quantity</t>
  </si>
  <si>
    <t>Value</t>
  </si>
  <si>
    <t>Remarks</t>
  </si>
  <si>
    <t>-</t>
  </si>
  <si>
    <t>Custom</t>
  </si>
  <si>
    <t>Peripheral</t>
  </si>
  <si>
    <t>Heat Sink</t>
  </si>
  <si>
    <t xml:space="preserve">42*25*25MM Heat sink/heatsink </t>
  </si>
  <si>
    <t>Aliexpress</t>
  </si>
  <si>
    <t>Vention RJ11 Telephone Cable RJ11 Male to Male 6P4C Phone Line Cord for DSL Modem Answernig Machine Caller ID Fax Telephone Cord</t>
  </si>
  <si>
    <t>RJ11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</si>
</sst>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i.aliexpress.com/item/100500394168984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5"/>
  <sheetViews>
    <sheetView tabSelected="1" workbookViewId="0">
      <selection activeCell="F20" sqref="F20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9</v>
      </c>
      <c r="E2" s="6" t="s">
        <v>21</v>
      </c>
      <c r="F2" s="5" t="s">
        <v>33</v>
      </c>
      <c r="G2" s="6" t="s">
        <v>45</v>
      </c>
      <c r="H2" s="5" t="s">
        <v>49</v>
      </c>
      <c r="I2" s="6" t="s">
        <v>66</v>
      </c>
      <c r="J2" s="5" t="s">
        <v>65</v>
      </c>
      <c r="K2" s="5" t="s">
        <v>67</v>
      </c>
    </row>
    <row r="3" spans="1:11" ht="36.75" thickBot="1" x14ac:dyDescent="0.3">
      <c r="A3" s="1"/>
      <c r="B3" s="11">
        <f>ROW(B3) - ROW($B$2)</f>
        <v>1</v>
      </c>
      <c r="C3" s="12" t="s">
        <v>2</v>
      </c>
      <c r="D3" s="7" t="s">
        <v>10</v>
      </c>
      <c r="E3" s="8" t="s">
        <v>22</v>
      </c>
      <c r="F3" s="7" t="s">
        <v>69</v>
      </c>
      <c r="G3" s="8" t="s">
        <v>34</v>
      </c>
      <c r="H3" s="7" t="s">
        <v>50</v>
      </c>
      <c r="I3" s="8" t="s">
        <v>59</v>
      </c>
      <c r="J3" s="7">
        <v>1</v>
      </c>
      <c r="K3" s="7"/>
    </row>
    <row r="4" spans="1:11" ht="36.75" thickBot="1" x14ac:dyDescent="0.3">
      <c r="A4" s="1"/>
      <c r="B4" s="11">
        <f t="shared" ref="B4:B12" si="0">ROW(B4) - ROW($B$2)</f>
        <v>2</v>
      </c>
      <c r="C4" s="13" t="s">
        <v>2</v>
      </c>
      <c r="D4" s="9" t="s">
        <v>11</v>
      </c>
      <c r="E4" s="10" t="s">
        <v>23</v>
      </c>
      <c r="F4" s="7" t="s">
        <v>69</v>
      </c>
      <c r="G4" s="10" t="s">
        <v>35</v>
      </c>
      <c r="H4" s="9" t="s">
        <v>50</v>
      </c>
      <c r="I4" s="10" t="s">
        <v>60</v>
      </c>
      <c r="J4" s="9">
        <v>1</v>
      </c>
      <c r="K4" s="9"/>
    </row>
    <row r="5" spans="1:11" ht="24.75" thickBot="1" x14ac:dyDescent="0.3">
      <c r="A5" s="1"/>
      <c r="B5" s="11">
        <f>ROW(B5) - ROW($B$2)</f>
        <v>3</v>
      </c>
      <c r="C5" s="12" t="s">
        <v>3</v>
      </c>
      <c r="D5" s="7" t="s">
        <v>12</v>
      </c>
      <c r="E5" s="8" t="s">
        <v>24</v>
      </c>
      <c r="F5" s="7" t="s">
        <v>36</v>
      </c>
      <c r="G5" s="8" t="s">
        <v>46</v>
      </c>
      <c r="H5" s="7" t="s">
        <v>51</v>
      </c>
      <c r="I5" s="8" t="s">
        <v>68</v>
      </c>
      <c r="J5" s="7">
        <v>1</v>
      </c>
      <c r="K5" s="7"/>
    </row>
    <row r="6" spans="1:11" ht="60.75" thickBot="1" x14ac:dyDescent="0.3">
      <c r="A6" s="1"/>
      <c r="B6" s="11">
        <f t="shared" si="0"/>
        <v>4</v>
      </c>
      <c r="C6" s="13" t="s">
        <v>4</v>
      </c>
      <c r="D6" s="9" t="s">
        <v>13</v>
      </c>
      <c r="E6" s="10" t="s">
        <v>25</v>
      </c>
      <c r="F6" s="7" t="s">
        <v>69</v>
      </c>
      <c r="G6" s="10" t="s">
        <v>37</v>
      </c>
      <c r="H6" s="9" t="s">
        <v>52</v>
      </c>
      <c r="I6" s="8" t="s">
        <v>68</v>
      </c>
      <c r="J6" s="9">
        <v>2</v>
      </c>
      <c r="K6" s="9"/>
    </row>
    <row r="7" spans="1:11" ht="36.75" thickBot="1" x14ac:dyDescent="0.3">
      <c r="A7" s="1"/>
      <c r="B7" s="11">
        <f>ROW(B7) - ROW($B$2)</f>
        <v>5</v>
      </c>
      <c r="C7" s="12" t="s">
        <v>5</v>
      </c>
      <c r="D7" s="7" t="s">
        <v>14</v>
      </c>
      <c r="E7" s="8" t="s">
        <v>26</v>
      </c>
      <c r="F7" s="7" t="s">
        <v>69</v>
      </c>
      <c r="G7" s="8" t="s">
        <v>38</v>
      </c>
      <c r="H7" s="7" t="s">
        <v>53</v>
      </c>
      <c r="I7" s="8" t="s">
        <v>68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6</v>
      </c>
      <c r="D8" s="9" t="s">
        <v>15</v>
      </c>
      <c r="E8" s="10" t="s">
        <v>27</v>
      </c>
      <c r="F8" s="7" t="s">
        <v>69</v>
      </c>
      <c r="G8" s="10" t="s">
        <v>39</v>
      </c>
      <c r="H8" s="9" t="s">
        <v>54</v>
      </c>
      <c r="I8" s="8" t="s">
        <v>68</v>
      </c>
      <c r="J8" s="9">
        <v>1</v>
      </c>
      <c r="K8" s="9"/>
    </row>
    <row r="9" spans="1:11" ht="36.75" thickBot="1" x14ac:dyDescent="0.3">
      <c r="A9" s="1"/>
      <c r="B9" s="11">
        <f>ROW(B9) - ROW($B$2)</f>
        <v>7</v>
      </c>
      <c r="C9" s="12" t="s">
        <v>7</v>
      </c>
      <c r="D9" s="7" t="s">
        <v>16</v>
      </c>
      <c r="E9" s="8" t="s">
        <v>28</v>
      </c>
      <c r="F9" s="7" t="s">
        <v>69</v>
      </c>
      <c r="G9" s="8" t="s">
        <v>40</v>
      </c>
      <c r="H9" s="7" t="s">
        <v>55</v>
      </c>
      <c r="I9" s="8" t="s">
        <v>61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2" t="s">
        <v>7</v>
      </c>
      <c r="D10" s="9" t="s">
        <v>17</v>
      </c>
      <c r="E10" s="10" t="s">
        <v>29</v>
      </c>
      <c r="F10" s="9" t="s">
        <v>41</v>
      </c>
      <c r="G10" s="10" t="s">
        <v>47</v>
      </c>
      <c r="H10" s="9" t="s">
        <v>56</v>
      </c>
      <c r="I10" s="10" t="s">
        <v>62</v>
      </c>
      <c r="J10" s="9">
        <v>1</v>
      </c>
      <c r="K10" s="9"/>
    </row>
    <row r="11" spans="1:11" ht="36.75" thickBot="1" x14ac:dyDescent="0.3">
      <c r="A11" s="1"/>
      <c r="B11" s="11">
        <f>ROW(B11) - ROW($B$2)</f>
        <v>9</v>
      </c>
      <c r="C11" s="12" t="s">
        <v>7</v>
      </c>
      <c r="D11" s="7" t="s">
        <v>18</v>
      </c>
      <c r="E11" s="8" t="s">
        <v>30</v>
      </c>
      <c r="F11" s="7" t="s">
        <v>69</v>
      </c>
      <c r="G11" s="8" t="s">
        <v>42</v>
      </c>
      <c r="H11" s="7" t="s">
        <v>55</v>
      </c>
      <c r="I11" s="8" t="s">
        <v>63</v>
      </c>
      <c r="J11" s="7">
        <v>1</v>
      </c>
      <c r="K11" s="7"/>
    </row>
    <row r="12" spans="1:11" ht="36.75" thickBot="1" x14ac:dyDescent="0.3">
      <c r="A12" s="1"/>
      <c r="B12" s="11">
        <f t="shared" si="0"/>
        <v>10</v>
      </c>
      <c r="C12" s="13" t="s">
        <v>7</v>
      </c>
      <c r="D12" s="9" t="s">
        <v>19</v>
      </c>
      <c r="E12" s="10" t="s">
        <v>31</v>
      </c>
      <c r="F12" s="7" t="s">
        <v>69</v>
      </c>
      <c r="G12" s="10" t="s">
        <v>43</v>
      </c>
      <c r="H12" s="9" t="s">
        <v>57</v>
      </c>
      <c r="I12" s="10" t="s">
        <v>64</v>
      </c>
      <c r="J12" s="9">
        <v>1</v>
      </c>
      <c r="K12" s="9"/>
    </row>
    <row r="13" spans="1:11" ht="24.75" thickBot="1" x14ac:dyDescent="0.3">
      <c r="A13" s="1"/>
      <c r="B13" s="11">
        <f>ROW(B13) - ROW($B$2)</f>
        <v>11</v>
      </c>
      <c r="C13" s="12" t="s">
        <v>8</v>
      </c>
      <c r="D13" s="7" t="s">
        <v>20</v>
      </c>
      <c r="E13" s="8" t="s">
        <v>32</v>
      </c>
      <c r="F13" s="7" t="s">
        <v>44</v>
      </c>
      <c r="G13" s="8" t="s">
        <v>48</v>
      </c>
      <c r="H13" s="7" t="s">
        <v>58</v>
      </c>
      <c r="I13" s="8" t="s">
        <v>68</v>
      </c>
      <c r="J13" s="7">
        <v>1</v>
      </c>
      <c r="K13" s="7"/>
    </row>
    <row r="14" spans="1:11" ht="15.75" thickBot="1" x14ac:dyDescent="0.3">
      <c r="B14" s="11">
        <f>ROW(B14) - ROW($B$2)</f>
        <v>12</v>
      </c>
      <c r="C14" s="13" t="s">
        <v>70</v>
      </c>
      <c r="D14" s="7" t="s">
        <v>71</v>
      </c>
      <c r="E14" s="8" t="s">
        <v>72</v>
      </c>
      <c r="F14" s="9" t="s">
        <v>69</v>
      </c>
      <c r="G14" s="8" t="s">
        <v>39</v>
      </c>
      <c r="H14" s="7" t="s">
        <v>54</v>
      </c>
      <c r="I14" s="10" t="s">
        <v>68</v>
      </c>
      <c r="J14" s="7">
        <v>1</v>
      </c>
      <c r="K14" s="7"/>
    </row>
    <row r="15" spans="1:11" ht="48.75" thickBot="1" x14ac:dyDescent="0.3">
      <c r="B15" s="11">
        <f t="shared" ref="B15" si="1">ROW(B15) - ROW($B$2)</f>
        <v>13</v>
      </c>
      <c r="C15" s="13" t="s">
        <v>70</v>
      </c>
      <c r="D15" s="7" t="s">
        <v>75</v>
      </c>
      <c r="E15" s="8" t="s">
        <v>74</v>
      </c>
      <c r="F15" s="9" t="s">
        <v>69</v>
      </c>
      <c r="G15" s="8" t="s">
        <v>68</v>
      </c>
      <c r="H15" s="7" t="s">
        <v>68</v>
      </c>
      <c r="I15" s="8" t="s">
        <v>68</v>
      </c>
      <c r="J15" s="7">
        <v>4</v>
      </c>
      <c r="K15" s="15" t="s">
        <v>73</v>
      </c>
    </row>
  </sheetData>
  <mergeCells count="1">
    <mergeCell ref="I1:K1"/>
  </mergeCells>
  <hyperlinks>
    <hyperlink ref="K15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2025-01-27T13:59:32Z</dcterms:modified>
</cp:coreProperties>
</file>