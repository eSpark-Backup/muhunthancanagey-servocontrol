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Driver-Main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7" i="1" l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<sst xmlns="http://schemas.openxmlformats.org/spreadsheetml/2006/main" count="606" uniqueCount="394">
  <si>
    <t>#</t>
  </si>
  <si>
    <t>Item Type</t>
  </si>
  <si>
    <t>Capacitor</t>
  </si>
  <si>
    <t>Diode</t>
  </si>
  <si>
    <t>(TVS/ESD)</t>
  </si>
  <si>
    <t>TVS Diodes</t>
  </si>
  <si>
    <t>Fuse</t>
  </si>
  <si>
    <t>Ferrite Bead</t>
  </si>
  <si>
    <t>Terminal Blocks</t>
  </si>
  <si>
    <t>Fuse Holder</t>
  </si>
  <si>
    <t>Male Header</t>
  </si>
  <si>
    <t>USB Connector</t>
  </si>
  <si>
    <t>JST Connector</t>
  </si>
  <si>
    <t>Connectors (RJ45 RJ11)</t>
  </si>
  <si>
    <t>RJ45 Connector</t>
  </si>
  <si>
    <t>Terminal Block</t>
  </si>
  <si>
    <t>Inductor</t>
  </si>
  <si>
    <t>LED</t>
  </si>
  <si>
    <t>Resistor</t>
  </si>
  <si>
    <t>Switch</t>
  </si>
  <si>
    <t>DIP Switches</t>
  </si>
  <si>
    <t>IC</t>
  </si>
  <si>
    <t>Microcontrollers</t>
  </si>
  <si>
    <t>Crystal</t>
  </si>
  <si>
    <t>Designator</t>
  </si>
  <si>
    <t>C1, C2, C3</t>
  </si>
  <si>
    <t>C4</t>
  </si>
  <si>
    <t>C5, C16, C17, C18, C19, C21, C39, C40, C42, C43, C44, C45, C46, C48, C50, C51, C52, C53, C54, C55, C56</t>
  </si>
  <si>
    <t>C6</t>
  </si>
  <si>
    <t>C7</t>
  </si>
  <si>
    <t>C8, C9</t>
  </si>
  <si>
    <t>C10, C11</t>
  </si>
  <si>
    <t>C12, C13, C38, C41</t>
  </si>
  <si>
    <t>C14, C15</t>
  </si>
  <si>
    <t>C20</t>
  </si>
  <si>
    <t>C22, C24, C25, C26, C27, C28</t>
  </si>
  <si>
    <t>C23</t>
  </si>
  <si>
    <t>C29, C30</t>
  </si>
  <si>
    <t>C31, C32, C33, C34, C35, C36, C37</t>
  </si>
  <si>
    <t>C47</t>
  </si>
  <si>
    <t>C49</t>
  </si>
  <si>
    <t>C57, C58, C59, C60, C61, C62, C63, C64</t>
  </si>
  <si>
    <t>C65, C66</t>
  </si>
  <si>
    <t>D1</t>
  </si>
  <si>
    <t>D2, D3</t>
  </si>
  <si>
    <t>D4, D5, D6, D7, D8, D9, D10, D12</t>
  </si>
  <si>
    <t>D11, D13</t>
  </si>
  <si>
    <t>D14, D15</t>
  </si>
  <si>
    <t>D16, D17</t>
  </si>
  <si>
    <t>D18, D19</t>
  </si>
  <si>
    <t>D20, D21</t>
  </si>
  <si>
    <t>F1, F2, F3, F4, F5, F6</t>
  </si>
  <si>
    <t>FB1, FB2, FB3, FB4</t>
  </si>
  <si>
    <t>J1</t>
  </si>
  <si>
    <t>J2</t>
  </si>
  <si>
    <t>J3, J5</t>
  </si>
  <si>
    <t>J4</t>
  </si>
  <si>
    <t>J6</t>
  </si>
  <si>
    <t>J7</t>
  </si>
  <si>
    <t>J8</t>
  </si>
  <si>
    <t>J9, J10, J11, J12, J15, J16</t>
  </si>
  <si>
    <t>J13, J14</t>
  </si>
  <si>
    <t>J17</t>
  </si>
  <si>
    <t>J18, J19</t>
  </si>
  <si>
    <t>J20, J21, J26, J27, J30, J31, J33, J34</t>
  </si>
  <si>
    <t>J22, J23, J25, J28</t>
  </si>
  <si>
    <t>J24, J29, J32</t>
  </si>
  <si>
    <t>L1</t>
  </si>
  <si>
    <t>L2</t>
  </si>
  <si>
    <t>LED1, LED2, LED3, LED9</t>
  </si>
  <si>
    <t>LED4, LED5, LED6, LED7, LED8</t>
  </si>
  <si>
    <t>R1</t>
  </si>
  <si>
    <t>R2</t>
  </si>
  <si>
    <t>R3</t>
  </si>
  <si>
    <t>R4</t>
  </si>
  <si>
    <t>R5</t>
  </si>
  <si>
    <t>R6, R11, R12, R13, R14, R15, R16, R17, R18, R19, R20, R21, R22, R32, R41, R42, R43, R91, R92, R106, R108, R109, R110</t>
  </si>
  <si>
    <t>R7, R8</t>
  </si>
  <si>
    <t>R9, R10</t>
  </si>
  <si>
    <t>R23, R24, R25, R26, R93, R94, R95, R96, R98, R99, R100, R101</t>
  </si>
  <si>
    <t>R27</t>
  </si>
  <si>
    <t>R28, R29, R64, R65, R66, R67, R68, R69, R70, R71, R72, R73, R74, R75, R86, R87, R89</t>
  </si>
  <si>
    <t>R30, R31</t>
  </si>
  <si>
    <t>R33, R34, R35, R36, R37, R38, R39, R40</t>
  </si>
  <si>
    <t>R44, R45</t>
  </si>
  <si>
    <t>R46, R47</t>
  </si>
  <si>
    <t>R48, R49, R50, R51, R56, R57, R58, R59, R60, R61, R62, R63, R84, R85</t>
  </si>
  <si>
    <t>R52, R53, R54, R55</t>
  </si>
  <si>
    <t>R76, R77</t>
  </si>
  <si>
    <t>R78, R79, R80, R81, R82, R83</t>
  </si>
  <si>
    <t>R88</t>
  </si>
  <si>
    <t>R90</t>
  </si>
  <si>
    <t>R97</t>
  </si>
  <si>
    <t>R102, R103</t>
  </si>
  <si>
    <t>R104, R105, R107, R111</t>
  </si>
  <si>
    <t>SW1, SW3</t>
  </si>
  <si>
    <t>SW2</t>
  </si>
  <si>
    <t>U1</t>
  </si>
  <si>
    <t>U2</t>
  </si>
  <si>
    <t>U3, U5, U7</t>
  </si>
  <si>
    <t>U4</t>
  </si>
  <si>
    <t>U6</t>
  </si>
  <si>
    <t>U8, U9</t>
  </si>
  <si>
    <t>U10, U11</t>
  </si>
  <si>
    <t>U12</t>
  </si>
  <si>
    <t>U13</t>
  </si>
  <si>
    <t>U14</t>
  </si>
  <si>
    <t>X1</t>
  </si>
  <si>
    <t>X2</t>
  </si>
  <si>
    <t>X3</t>
  </si>
  <si>
    <t>Description</t>
  </si>
  <si>
    <t>CAP ALUM 220UF 20% 50V SMD</t>
  </si>
  <si>
    <t>CAP CER 10UF 50V X5R 1206</t>
  </si>
  <si>
    <t>CAP CER 0.1UF 50V X7R 0402</t>
  </si>
  <si>
    <t>CAP CER 0.1UF 50V X5R 0402</t>
  </si>
  <si>
    <t>CAP CER 47PF 50V C0G/NP0 0402</t>
  </si>
  <si>
    <t>CAP CER 22UF 25V X5R 0805</t>
  </si>
  <si>
    <t>CAP CER 4.7UF 16V X5R 0603</t>
  </si>
  <si>
    <t>CAP CER 30PF 50V C0G/NPO 0402</t>
  </si>
  <si>
    <t>CAP CER 6.8PF 50V C0G/NPO 0402</t>
  </si>
  <si>
    <t>CAP CER 4.7UF 10V X5R 0402</t>
  </si>
  <si>
    <t>CAP CER 0.1UF 16V X7R 0402</t>
  </si>
  <si>
    <t>CAP CER 4700PF 50V C0G/NPO 0603</t>
  </si>
  <si>
    <t>CAP CER 4700PF 50V X7R 0402</t>
  </si>
  <si>
    <t>CAP CER 0.1UF 100V X5R 0402</t>
  </si>
  <si>
    <t>CAP CER 1UF 16V X5R 0402</t>
  </si>
  <si>
    <t>50V 470pF ±10% 0402 Multilayer Ceramic Capacitors MLCC - SMD/SMT ROHS</t>
  </si>
  <si>
    <t>CAP CER 10PF 50V C0G/NP0 0402</t>
  </si>
  <si>
    <t>CAP CER 0.022UF 16V X7R 0402</t>
  </si>
  <si>
    <t>TVS DIODE 28VWM 45.4VC SMB</t>
  </si>
  <si>
    <t>20A 350W 16V 4V 3.3V SOD-323 ESD and Surge Protection (TVS/ESD) ROHS</t>
  </si>
  <si>
    <t>±5% Single 3.1V~3.5V 300mW 3.3V SOD-323 Zener Diodes ROHS</t>
  </si>
  <si>
    <t>TVS DIODE 5V 9.8V SOD923</t>
  </si>
  <si>
    <t>TVS DIODE 5VWM 6.3VC DSN0603-2</t>
  </si>
  <si>
    <t>TVS DIODE 24VWM 40VC SOT23-3</t>
  </si>
  <si>
    <t>SOT-23 TVS ROHS</t>
  </si>
  <si>
    <t>TVS DIODE 8VWM 13.6VC DO214AA</t>
  </si>
  <si>
    <t>60V 100mA 40A 300mA 1812 Resettable Fuses ROHS</t>
  </si>
  <si>
    <t>FERRITE BEAD 220 OHM 0603 1LN</t>
  </si>
  <si>
    <t>TERM BLK 2P SIDE ENT 5.08MM PCB</t>
  </si>
  <si>
    <t>FUSE HOLDER BLADE 80V PCB</t>
  </si>
  <si>
    <t>Gold 250V 3A Straight Square Pins 2.5mm 4P 260℃ 6mm -40℃~+105℃ 3mm 2.54mm Plugin Black Brass 1x4P Plugin,P=2.54mm Pin Headers ROHS</t>
  </si>
  <si>
    <t>CONN HEADER VERT 3POS 2.54MM</t>
  </si>
  <si>
    <t>5A 1 16P Female Type-C SMD USB Connectors ROHS</t>
  </si>
  <si>
    <t>CONN HEADER VERT 3POS 2.5MM</t>
  </si>
  <si>
    <t>Gold 250V 3A Square Pins 2.5mm 8P 260℃ 6mm -40℃~+105℃ 3mm 2.54mm Plugin Black Brass 2.54mm 1x8P Plugin,P=2.54mm Pin Headers ROHS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</si>
  <si>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</si>
  <si>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</si>
  <si>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M4 Plugin PCB Welding Terminal ROHS</t>
  </si>
  <si>
    <t>RJ45 RJReceptacle 1 WithLED Plugin Ethernet Connectors/Modular Connectors (RJ45 RJ11) ROHS</t>
  </si>
  <si>
    <t>Conn Shrouded Header HDR 5 POS 2.5mm Solder ST Thru-Hole Box</t>
  </si>
  <si>
    <t>Conn Shrouded Header (4 Sides) HDR 2 POS 2.5mm Solder ST Thru-Hole Box</t>
  </si>
  <si>
    <t>1x3P 18A -40℃~+105℃ 250V Black 12~30 Straight pin 5.08mm 2.5 1 3 Plugin,P=5.08mm Screw terminal ROHS</t>
  </si>
  <si>
    <t>FIXED IND 6.8UH 5A 48 MOHM SMD</t>
  </si>
  <si>
    <t>FERRITE BEAD 600 OHM 0402 1LN</t>
  </si>
  <si>
    <t>RED LED 0603 Light Emitting Diodes</t>
  </si>
  <si>
    <t>Emerald 0603 Light Emitting Diodes (LED) ROHS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</si>
  <si>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</si>
  <si>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</si>
  <si>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</si>
  <si>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</si>
  <si>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</si>
  <si>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10K OHM 1% 1/16W 0402</t>
  </si>
  <si>
    <t>RES 0 OHM JUMPER 1/10W 0603</t>
  </si>
  <si>
    <t>RES 49.9 OHM 1% 1/10W 0603</t>
  </si>
  <si>
    <t>RES SMD 1M OHM 5% 1/16W 0402</t>
  </si>
  <si>
    <t>RES 4.7K OHM 1% 1/16W 0402</t>
  </si>
  <si>
    <t>RES 5.1K OHM 1% 1/16W 0402</t>
  </si>
  <si>
    <t>RES 33 OHM 1% 1/16W 0402</t>
  </si>
  <si>
    <t>RES 100K OHM 1% 1/16W 0402</t>
  </si>
  <si>
    <t>RES 33K OHM 1% 1/16W 0402</t>
  </si>
  <si>
    <t>RES 0 OHM JUMPER 1/16W 0402</t>
  </si>
  <si>
    <t>100mW Thick Film Resistors ±100ppm/℃ ±1% 60.4Ω 0603 Chip Resistor - Surface Mount ROHS</t>
  </si>
  <si>
    <t>RES 120 OHM 5% 1/10W 0603</t>
  </si>
  <si>
    <t>RES 22 OHM 1% 1/20W 0201</t>
  </si>
  <si>
    <t>RES SMD 12.1KOHM 0.1% 1/16W 0402</t>
  </si>
  <si>
    <t>RES SMD 10K OHM 1% 1/20W 0201</t>
  </si>
  <si>
    <t>RESISTOR 0402 JUMPER ZERO OHM</t>
  </si>
  <si>
    <t>RES  SMD 330R 100 mW 0603</t>
  </si>
  <si>
    <t>SWITCH TACTILE SPST-NO 0.05A 12V</t>
  </si>
  <si>
    <t>3 positions SPST Black Flat Toggle, Raised Style SMD-6P,6x7.6mm DIP Switches ROHS</t>
  </si>
  <si>
    <t>IC REG BUCK ADJ 3A TSOT26</t>
  </si>
  <si>
    <t>70dB@(100Hz) 1.5A Fixed 3.3V~3.3V Positive 6V SOT-223 Linear Voltage Regulators (LDO) ROHS</t>
  </si>
  <si>
    <t>IC XPNDR 100KHZ I2C 20TSSOP</t>
  </si>
  <si>
    <t>IC MCU 32BIT 512KB FLASH 64LQFP</t>
  </si>
  <si>
    <t>400kHz SO-8 I/O Expanders ROHS</t>
  </si>
  <si>
    <t>IC TRANSCEIVER HALF 1/1 14VSON</t>
  </si>
  <si>
    <t>IC TRANSCEIVER HALF 1/1 8SON</t>
  </si>
  <si>
    <t>250Kbps transceiver 2/2 SOP-16 RS232 ICs ROHS</t>
  </si>
  <si>
    <t>2/3-PORT ETHERCAT SLAVE CTLR</t>
  </si>
  <si>
    <t>IC EEPROM 256KBIT I2C 1MHZ 8SOIC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</si>
  <si>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</si>
  <si>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</si>
  <si>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</si>
  <si>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</si>
  <si>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UCD-220uF-10mmDia</t>
  </si>
  <si>
    <t>Cap-1206</t>
  </si>
  <si>
    <t>cap-0402</t>
  </si>
  <si>
    <t>Cap-0402</t>
  </si>
  <si>
    <t>Cap-0805</t>
  </si>
  <si>
    <t>Cap-0603</t>
  </si>
  <si>
    <t>SMB_</t>
  </si>
  <si>
    <t>SOD-323</t>
  </si>
  <si>
    <t>SOD-923.</t>
  </si>
  <si>
    <t>DSN0603-2</t>
  </si>
  <si>
    <t>SOT-23</t>
  </si>
  <si>
    <t>SMB Bi Directional</t>
  </si>
  <si>
    <t>Fuse-1812_</t>
  </si>
  <si>
    <t>IND-0603 (1608 Metric)</t>
  </si>
  <si>
    <t>178.6165.0002</t>
  </si>
  <si>
    <t>HDR1X4_</t>
  </si>
  <si>
    <t>HDR1X3_</t>
  </si>
  <si>
    <t>HDR 1x8 TH male</t>
  </si>
  <si>
    <t>HDR1X2_</t>
  </si>
  <si>
    <t>X12ADIWA3DY1027</t>
  </si>
  <si>
    <t>T44001</t>
  </si>
  <si>
    <t>HR911105A</t>
  </si>
  <si>
    <t>DB128L-5.08-3P-BK-S</t>
  </si>
  <si>
    <t>IND-0402</t>
  </si>
  <si>
    <t>LED-0603</t>
  </si>
  <si>
    <t>Res-0402</t>
  </si>
  <si>
    <t>Res-0603</t>
  </si>
  <si>
    <t>Res-0201</t>
  </si>
  <si>
    <t>B3U-1000P</t>
  </si>
  <si>
    <t>DSIC03LSGET</t>
  </si>
  <si>
    <t>SOT-23-6</t>
  </si>
  <si>
    <t>SOT- 223</t>
  </si>
  <si>
    <t>TSSOP-20</t>
  </si>
  <si>
    <t>LQFP-64(10x10)</t>
  </si>
  <si>
    <t>SOP-8</t>
  </si>
  <si>
    <t>VSON-14(3x4.5)</t>
  </si>
  <si>
    <t>SON-8-EP(3x3)</t>
  </si>
  <si>
    <t>SO-Narrow-16</t>
  </si>
  <si>
    <t>QFN-64-EP(9x9)</t>
  </si>
  <si>
    <t>CAT24C256WI-GT3</t>
  </si>
  <si>
    <t>MC-306</t>
  </si>
  <si>
    <t>SMD3225-4P</t>
  </si>
  <si>
    <t>Manufacturer Part Number</t>
  </si>
  <si>
    <t>UCD1H221MNL1GS</t>
  </si>
  <si>
    <t>CC1206KKX5R9BB106</t>
  </si>
  <si>
    <t>C1005X7R1H104KT000F</t>
  </si>
  <si>
    <t>C1005X5R1H104K050BB</t>
  </si>
  <si>
    <t>GCM1555C1H470FA16D</t>
  </si>
  <si>
    <t>CC0805MKX5R8BB226</t>
  </si>
  <si>
    <t>CC0603KRX5R7BB475</t>
  </si>
  <si>
    <t>CC0402GRNPO9BN300</t>
  </si>
  <si>
    <t>CC0402CRNPO9BN6R8</t>
  </si>
  <si>
    <t>CC0402KRX5R6BB475</t>
  </si>
  <si>
    <t>CC0402JRX7R7BB104</t>
  </si>
  <si>
    <t>CC0603JRNPO9BN472</t>
  </si>
  <si>
    <t>CC0402KRX7R9BB472</t>
  </si>
  <si>
    <t>GRM155R62A104KE14D</t>
  </si>
  <si>
    <t>CC0402KRX5R7BB105</t>
  </si>
  <si>
    <t>GRM155R11H471KA01D</t>
  </si>
  <si>
    <t>GRM1555C1H100JA01D</t>
  </si>
  <si>
    <t>CC0402JRX7R7BB223</t>
  </si>
  <si>
    <t>SMBJ28A-13-F</t>
  </si>
  <si>
    <t>SD03</t>
  </si>
  <si>
    <t>MM3Z3V3</t>
  </si>
  <si>
    <t>ESD9L5.0ST5G</t>
  </si>
  <si>
    <t>PESD5V0H1BSFYL</t>
  </si>
  <si>
    <t>CDSOT23-T24CAN-Q</t>
  </si>
  <si>
    <t>SM712</t>
  </si>
  <si>
    <t>SMBJ8.0CA</t>
  </si>
  <si>
    <t>MF-MSMF010-2</t>
  </si>
  <si>
    <t>BLM18PG221SN1D</t>
  </si>
  <si>
    <t>X6511WV-04H-C60D30</t>
  </si>
  <si>
    <t>TYPE-C-31-M-12</t>
  </si>
  <si>
    <t>B3B-XH-A(LF)(SN)</t>
  </si>
  <si>
    <t>X6511WV-08H-C60D30</t>
  </si>
  <si>
    <t>X6511WV-02H-C60D30</t>
  </si>
  <si>
    <t>B5B-XH-A(LF)(SN)</t>
  </si>
  <si>
    <t>B2B-XH-A(LF)(SN)</t>
  </si>
  <si>
    <t>0630CDMCCDS-6R8MC</t>
  </si>
  <si>
    <t>BLM15AG601SN1D</t>
  </si>
  <si>
    <t>NCD0603R3</t>
  </si>
  <si>
    <t>NCD0603G2</t>
  </si>
  <si>
    <t>RT0402BRE07158KL</t>
  </si>
  <si>
    <t>RT0402BRD0730K1L</t>
  </si>
  <si>
    <t>RC0402FR-073K9L</t>
  </si>
  <si>
    <t>RC0402FR-07470RL</t>
  </si>
  <si>
    <t>RC0402FR-07200RL</t>
  </si>
  <si>
    <t>RC0402FR-0710KL</t>
  </si>
  <si>
    <t>RC0603JR-070RL</t>
  </si>
  <si>
    <t>RC0603FR-0749R9L</t>
  </si>
  <si>
    <t>AF0402JR-071ML</t>
  </si>
  <si>
    <t>RC0402FR-074K7L</t>
  </si>
  <si>
    <t>RC0402FR-075K1L</t>
  </si>
  <si>
    <t>RC0402FR-0733RL</t>
  </si>
  <si>
    <t>RC0402FR-07100KL</t>
  </si>
  <si>
    <t>RC0402FR-0733KL</t>
  </si>
  <si>
    <t>RC0402FR-070RL</t>
  </si>
  <si>
    <t>RTT0360R4FTP</t>
  </si>
  <si>
    <t>RC0603JR-07120RL</t>
  </si>
  <si>
    <t>RC0201FR-0722RL</t>
  </si>
  <si>
    <t>RT0402BRD0712K1L</t>
  </si>
  <si>
    <t>RC0201FR-0710KL</t>
  </si>
  <si>
    <t>AC0402FR-070RL</t>
  </si>
  <si>
    <t>RC0603JR-07330RL</t>
  </si>
  <si>
    <t>AP63300WU-7</t>
  </si>
  <si>
    <t>BL8071CLATR33</t>
  </si>
  <si>
    <t>PCF8574APWR</t>
  </si>
  <si>
    <t>STM32G0B1RET6</t>
  </si>
  <si>
    <t>PCA9536D,118</t>
  </si>
  <si>
    <t>TCAN1463DMTRQ1</t>
  </si>
  <si>
    <t>THVD2450DRBR</t>
  </si>
  <si>
    <t>MAX3232ESE</t>
  </si>
  <si>
    <t>LAN9253-I/R4X</t>
  </si>
  <si>
    <t>MC-306 32.7680K-A0:ROHS</t>
  </si>
  <si>
    <t>5TJ480000XYLBC</t>
  </si>
  <si>
    <t>X322525MRB4SI</t>
  </si>
  <si>
    <t>Manufacturer</t>
  </si>
  <si>
    <t>Nichicon</t>
  </si>
  <si>
    <t>Yageo</t>
  </si>
  <si>
    <t>TDK</t>
  </si>
  <si>
    <t>Murata</t>
  </si>
  <si>
    <t>Murata Electronics</t>
  </si>
  <si>
    <t>Diodes</t>
  </si>
  <si>
    <t>MDD</t>
  </si>
  <si>
    <t>JSMSEMI</t>
  </si>
  <si>
    <t>ON Semiconductor</t>
  </si>
  <si>
    <t>Nexperia</t>
  </si>
  <si>
    <t>Bourns</t>
  </si>
  <si>
    <t>TECH PUBLIC</t>
  </si>
  <si>
    <t>Littelfuse</t>
  </si>
  <si>
    <t>Phoenix Contact</t>
  </si>
  <si>
    <t>Littelfuse Wickmann</t>
  </si>
  <si>
    <t>XKB</t>
  </si>
  <si>
    <t>Korean Hroparts Elec</t>
  </si>
  <si>
    <t>JST</t>
  </si>
  <si>
    <t>XKB Connection</t>
  </si>
  <si>
    <t>XFCN</t>
  </si>
  <si>
    <t>HANRUN</t>
  </si>
  <si>
    <t>DIBO</t>
  </si>
  <si>
    <t>Sumida</t>
  </si>
  <si>
    <t>Foshan NationStar Optoelectronics</t>
  </si>
  <si>
    <t>YAGEO</t>
  </si>
  <si>
    <t>Omron</t>
  </si>
  <si>
    <t>DongGuan KINGTEK Industrial Co.,LTD</t>
  </si>
  <si>
    <t>BL(Shanghai Belling)</t>
  </si>
  <si>
    <t>Texas Instruments</t>
  </si>
  <si>
    <t>STMicroelectronics</t>
  </si>
  <si>
    <t>NXP Semiconductors</t>
  </si>
  <si>
    <t>UMW</t>
  </si>
  <si>
    <t>Microchip</t>
  </si>
  <si>
    <t>Seiko Epson</t>
  </si>
  <si>
    <t>JYJE</t>
  </si>
  <si>
    <t>YXC</t>
  </si>
  <si>
    <t>220uF</t>
  </si>
  <si>
    <t>10uF</t>
  </si>
  <si>
    <t>100nF</t>
  </si>
  <si>
    <t>0.1uF</t>
  </si>
  <si>
    <t>47pF</t>
  </si>
  <si>
    <t>22uF</t>
  </si>
  <si>
    <t>4.7uF</t>
  </si>
  <si>
    <t>30pF</t>
  </si>
  <si>
    <t>DNP</t>
  </si>
  <si>
    <t>4.7nF</t>
  </si>
  <si>
    <t>0.1uf</t>
  </si>
  <si>
    <t>1uF</t>
  </si>
  <si>
    <t>470pF</t>
  </si>
  <si>
    <t>10pF</t>
  </si>
  <si>
    <t>22nF</t>
  </si>
  <si>
    <t>6.8uH</t>
  </si>
  <si>
    <t>158K</t>
  </si>
  <si>
    <t>30.1K</t>
  </si>
  <si>
    <t>3.9K</t>
  </si>
  <si>
    <t>470R</t>
  </si>
  <si>
    <t>200R</t>
  </si>
  <si>
    <t>10K</t>
  </si>
  <si>
    <t>0R</t>
  </si>
  <si>
    <t>49.9R</t>
  </si>
  <si>
    <t>1M</t>
  </si>
  <si>
    <t>4.7K</t>
  </si>
  <si>
    <t>5.1K</t>
  </si>
  <si>
    <t>33R</t>
  </si>
  <si>
    <t>100K</t>
  </si>
  <si>
    <t>33K</t>
  </si>
  <si>
    <t>60.4R</t>
  </si>
  <si>
    <t>120R</t>
  </si>
  <si>
    <t>22R</t>
  </si>
  <si>
    <t>12.1k</t>
  </si>
  <si>
    <t>330R</t>
  </si>
  <si>
    <t>8MHz</t>
  </si>
  <si>
    <t>25MHz</t>
  </si>
  <si>
    <t>Quantity</t>
  </si>
  <si>
    <t>Value</t>
  </si>
  <si>
    <t>Remarks</t>
  </si>
  <si>
    <t>-</t>
  </si>
  <si>
    <t>Custom</t>
  </si>
  <si>
    <t>SOIC-8</t>
  </si>
  <si>
    <t>Terminal</t>
  </si>
  <si>
    <t>DO NOT PLACE</t>
  </si>
  <si>
    <t>Ralec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</si>
</sst>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7"/>
  <sheetViews>
    <sheetView tabSelected="1" topLeftCell="A60" workbookViewId="0">
      <selection activeCell="C3" sqref="C3:C8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5.7109375" bestFit="1" customWidth="1"/>
    <col min="5" max="5" width="30" customWidth="1"/>
    <col min="6" max="6" width="18.42578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2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24</v>
      </c>
      <c r="E2" s="6" t="s">
        <v>110</v>
      </c>
      <c r="F2" s="5" t="s">
        <v>194</v>
      </c>
      <c r="G2" s="6" t="s">
        <v>237</v>
      </c>
      <c r="H2" s="5" t="s">
        <v>311</v>
      </c>
      <c r="I2" s="6" t="s">
        <v>386</v>
      </c>
      <c r="J2" s="5" t="s">
        <v>385</v>
      </c>
      <c r="K2" s="5" t="s">
        <v>387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25</v>
      </c>
      <c r="E3" s="8" t="s">
        <v>111</v>
      </c>
      <c r="F3" s="7" t="s">
        <v>195</v>
      </c>
      <c r="G3" s="8" t="s">
        <v>238</v>
      </c>
      <c r="H3" s="7" t="s">
        <v>312</v>
      </c>
      <c r="I3" s="8" t="s">
        <v>348</v>
      </c>
      <c r="J3" s="7">
        <v>3</v>
      </c>
      <c r="K3" s="7"/>
    </row>
    <row r="4" spans="1:11" ht="15.75" thickBot="1" x14ac:dyDescent="0.3">
      <c r="A4" s="1"/>
      <c r="B4" s="11">
        <f t="shared" ref="B4:B86" si="0">ROW(B4) - ROW($B$2)</f>
        <v>2</v>
      </c>
      <c r="C4" s="12" t="s">
        <v>2</v>
      </c>
      <c r="D4" s="9" t="s">
        <v>26</v>
      </c>
      <c r="E4" s="10" t="s">
        <v>112</v>
      </c>
      <c r="F4" s="9" t="s">
        <v>196</v>
      </c>
      <c r="G4" s="10" t="s">
        <v>239</v>
      </c>
      <c r="H4" s="9" t="s">
        <v>313</v>
      </c>
      <c r="I4" s="10" t="s">
        <v>349</v>
      </c>
      <c r="J4" s="9">
        <v>1</v>
      </c>
      <c r="K4" s="9"/>
    </row>
    <row r="5" spans="1:11" ht="36.75" thickBot="1" x14ac:dyDescent="0.3">
      <c r="A5" s="1"/>
      <c r="B5" s="11">
        <f>ROW(B5) - ROW($B$2)</f>
        <v>3</v>
      </c>
      <c r="C5" s="12" t="s">
        <v>2</v>
      </c>
      <c r="D5" s="7" t="s">
        <v>27</v>
      </c>
      <c r="E5" s="8" t="s">
        <v>113</v>
      </c>
      <c r="F5" s="7" t="s">
        <v>197</v>
      </c>
      <c r="G5" s="8" t="s">
        <v>240</v>
      </c>
      <c r="H5" s="7" t="s">
        <v>314</v>
      </c>
      <c r="I5" s="8" t="s">
        <v>350</v>
      </c>
      <c r="J5" s="7">
        <v>21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28</v>
      </c>
      <c r="E6" s="10" t="s">
        <v>114</v>
      </c>
      <c r="F6" s="9" t="s">
        <v>198</v>
      </c>
      <c r="G6" s="10" t="s">
        <v>241</v>
      </c>
      <c r="H6" s="9" t="s">
        <v>314</v>
      </c>
      <c r="I6" s="10" t="s">
        <v>351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29</v>
      </c>
      <c r="E7" s="8" t="s">
        <v>115</v>
      </c>
      <c r="F7" s="7" t="s">
        <v>198</v>
      </c>
      <c r="G7" s="8" t="s">
        <v>242</v>
      </c>
      <c r="H7" s="7" t="s">
        <v>315</v>
      </c>
      <c r="I7" s="8" t="s">
        <v>352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30</v>
      </c>
      <c r="E8" s="10" t="s">
        <v>116</v>
      </c>
      <c r="F8" s="9" t="s">
        <v>199</v>
      </c>
      <c r="G8" s="10" t="s">
        <v>243</v>
      </c>
      <c r="H8" s="9" t="s">
        <v>313</v>
      </c>
      <c r="I8" s="10" t="s">
        <v>353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31</v>
      </c>
      <c r="E9" s="8" t="s">
        <v>117</v>
      </c>
      <c r="F9" s="7" t="s">
        <v>200</v>
      </c>
      <c r="G9" s="8" t="s">
        <v>244</v>
      </c>
      <c r="H9" s="7" t="s">
        <v>313</v>
      </c>
      <c r="I9" s="8" t="s">
        <v>354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32</v>
      </c>
      <c r="E10" s="10" t="s">
        <v>118</v>
      </c>
      <c r="F10" s="9" t="s">
        <v>198</v>
      </c>
      <c r="G10" s="10" t="s">
        <v>245</v>
      </c>
      <c r="H10" s="9" t="s">
        <v>313</v>
      </c>
      <c r="I10" s="10" t="s">
        <v>355</v>
      </c>
      <c r="J10" s="9">
        <v>4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15" t="s">
        <v>33</v>
      </c>
      <c r="E11" s="16" t="s">
        <v>119</v>
      </c>
      <c r="F11" s="15" t="s">
        <v>198</v>
      </c>
      <c r="G11" s="16" t="s">
        <v>246</v>
      </c>
      <c r="H11" s="15" t="s">
        <v>313</v>
      </c>
      <c r="I11" s="16" t="s">
        <v>356</v>
      </c>
      <c r="J11" s="15">
        <v>2</v>
      </c>
      <c r="K11" s="17" t="s">
        <v>392</v>
      </c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34</v>
      </c>
      <c r="E12" s="10" t="s">
        <v>120</v>
      </c>
      <c r="F12" s="9" t="s">
        <v>198</v>
      </c>
      <c r="G12" s="10" t="s">
        <v>247</v>
      </c>
      <c r="H12" s="9" t="s">
        <v>313</v>
      </c>
      <c r="I12" s="10" t="s">
        <v>354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35</v>
      </c>
      <c r="E13" s="8" t="s">
        <v>121</v>
      </c>
      <c r="F13" s="7" t="s">
        <v>198</v>
      </c>
      <c r="G13" s="8" t="s">
        <v>248</v>
      </c>
      <c r="H13" s="7" t="s">
        <v>313</v>
      </c>
      <c r="I13" s="8" t="s">
        <v>351</v>
      </c>
      <c r="J13" s="7">
        <v>6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36</v>
      </c>
      <c r="E14" s="10" t="s">
        <v>122</v>
      </c>
      <c r="F14" s="9" t="s">
        <v>200</v>
      </c>
      <c r="G14" s="10" t="s">
        <v>249</v>
      </c>
      <c r="H14" s="9" t="s">
        <v>313</v>
      </c>
      <c r="I14" s="10" t="s">
        <v>357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37</v>
      </c>
      <c r="E15" s="8" t="s">
        <v>123</v>
      </c>
      <c r="F15" s="7" t="s">
        <v>198</v>
      </c>
      <c r="G15" s="8" t="s">
        <v>250</v>
      </c>
      <c r="H15" s="7" t="s">
        <v>313</v>
      </c>
      <c r="I15" s="8" t="s">
        <v>357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2</v>
      </c>
      <c r="D16" s="9" t="s">
        <v>38</v>
      </c>
      <c r="E16" s="10" t="s">
        <v>124</v>
      </c>
      <c r="F16" s="9" t="s">
        <v>198</v>
      </c>
      <c r="G16" s="10" t="s">
        <v>251</v>
      </c>
      <c r="H16" s="9" t="s">
        <v>315</v>
      </c>
      <c r="I16" s="10" t="s">
        <v>358</v>
      </c>
      <c r="J16" s="9">
        <v>7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39</v>
      </c>
      <c r="E17" s="8" t="s">
        <v>125</v>
      </c>
      <c r="F17" s="7" t="s">
        <v>198</v>
      </c>
      <c r="G17" s="8" t="s">
        <v>252</v>
      </c>
      <c r="H17" s="7" t="s">
        <v>313</v>
      </c>
      <c r="I17" s="8" t="s">
        <v>359</v>
      </c>
      <c r="J17" s="7">
        <v>1</v>
      </c>
      <c r="K17" s="7"/>
    </row>
    <row r="18" spans="1:11" ht="36.75" thickBot="1" x14ac:dyDescent="0.3">
      <c r="A18" s="1"/>
      <c r="B18" s="11">
        <f t="shared" si="0"/>
        <v>16</v>
      </c>
      <c r="C18" s="12" t="s">
        <v>2</v>
      </c>
      <c r="D18" s="9" t="s">
        <v>40</v>
      </c>
      <c r="E18" s="10" t="s">
        <v>126</v>
      </c>
      <c r="F18" s="9" t="s">
        <v>198</v>
      </c>
      <c r="G18" s="10" t="s">
        <v>253</v>
      </c>
      <c r="H18" s="9" t="s">
        <v>316</v>
      </c>
      <c r="I18" s="10" t="s">
        <v>360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41</v>
      </c>
      <c r="E19" s="8" t="s">
        <v>127</v>
      </c>
      <c r="F19" s="7" t="s">
        <v>198</v>
      </c>
      <c r="G19" s="8" t="s">
        <v>254</v>
      </c>
      <c r="H19" s="7" t="s">
        <v>315</v>
      </c>
      <c r="I19" s="8" t="s">
        <v>361</v>
      </c>
      <c r="J19" s="7">
        <v>8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42</v>
      </c>
      <c r="E20" s="10" t="s">
        <v>128</v>
      </c>
      <c r="F20" s="9" t="s">
        <v>198</v>
      </c>
      <c r="G20" s="10" t="s">
        <v>255</v>
      </c>
      <c r="H20" s="9" t="s">
        <v>313</v>
      </c>
      <c r="I20" s="10" t="s">
        <v>362</v>
      </c>
      <c r="J20" s="9">
        <v>2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3</v>
      </c>
      <c r="D21" s="7" t="s">
        <v>43</v>
      </c>
      <c r="E21" s="8" t="s">
        <v>129</v>
      </c>
      <c r="F21" s="7" t="s">
        <v>201</v>
      </c>
      <c r="G21" s="8" t="s">
        <v>256</v>
      </c>
      <c r="H21" s="7" t="s">
        <v>317</v>
      </c>
      <c r="I21" s="8" t="s">
        <v>388</v>
      </c>
      <c r="J21" s="7">
        <v>1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4</v>
      </c>
      <c r="D22" s="9" t="s">
        <v>44</v>
      </c>
      <c r="E22" s="10" t="s">
        <v>130</v>
      </c>
      <c r="F22" s="9" t="s">
        <v>202</v>
      </c>
      <c r="G22" s="10" t="s">
        <v>257</v>
      </c>
      <c r="H22" s="9" t="s">
        <v>318</v>
      </c>
      <c r="I22" s="8" t="s">
        <v>388</v>
      </c>
      <c r="J22" s="9">
        <v>2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3</v>
      </c>
      <c r="D23" s="7" t="s">
        <v>45</v>
      </c>
      <c r="E23" s="8" t="s">
        <v>131</v>
      </c>
      <c r="F23" s="7" t="s">
        <v>202</v>
      </c>
      <c r="G23" s="8" t="s">
        <v>258</v>
      </c>
      <c r="H23" s="7" t="s">
        <v>319</v>
      </c>
      <c r="I23" s="8" t="s">
        <v>388</v>
      </c>
      <c r="J23" s="7">
        <v>8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3</v>
      </c>
      <c r="D24" s="9" t="s">
        <v>46</v>
      </c>
      <c r="E24" s="10" t="s">
        <v>132</v>
      </c>
      <c r="F24" s="9" t="s">
        <v>203</v>
      </c>
      <c r="G24" s="10" t="s">
        <v>259</v>
      </c>
      <c r="H24" s="9" t="s">
        <v>320</v>
      </c>
      <c r="I24" s="8" t="s">
        <v>388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3</v>
      </c>
      <c r="D25" s="7" t="s">
        <v>47</v>
      </c>
      <c r="E25" s="8" t="s">
        <v>133</v>
      </c>
      <c r="F25" s="7" t="s">
        <v>204</v>
      </c>
      <c r="G25" s="8" t="s">
        <v>260</v>
      </c>
      <c r="H25" s="7" t="s">
        <v>321</v>
      </c>
      <c r="I25" s="8" t="s">
        <v>388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48</v>
      </c>
      <c r="E26" s="10" t="s">
        <v>134</v>
      </c>
      <c r="F26" s="9" t="s">
        <v>205</v>
      </c>
      <c r="G26" s="10" t="s">
        <v>261</v>
      </c>
      <c r="H26" s="9" t="s">
        <v>322</v>
      </c>
      <c r="I26" s="8" t="s">
        <v>388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3</v>
      </c>
      <c r="D27" s="7" t="s">
        <v>49</v>
      </c>
      <c r="E27" s="8" t="s">
        <v>135</v>
      </c>
      <c r="F27" s="7" t="s">
        <v>205</v>
      </c>
      <c r="G27" s="8" t="s">
        <v>262</v>
      </c>
      <c r="H27" s="7" t="s">
        <v>323</v>
      </c>
      <c r="I27" s="8" t="s">
        <v>388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5</v>
      </c>
      <c r="D28" s="9" t="s">
        <v>50</v>
      </c>
      <c r="E28" s="10" t="s">
        <v>136</v>
      </c>
      <c r="F28" s="9" t="s">
        <v>206</v>
      </c>
      <c r="G28" s="10" t="s">
        <v>263</v>
      </c>
      <c r="H28" s="9" t="s">
        <v>324</v>
      </c>
      <c r="I28" s="8" t="s">
        <v>388</v>
      </c>
      <c r="J28" s="9">
        <v>2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6</v>
      </c>
      <c r="D29" s="7" t="s">
        <v>51</v>
      </c>
      <c r="E29" s="8" t="s">
        <v>137</v>
      </c>
      <c r="F29" s="7" t="s">
        <v>207</v>
      </c>
      <c r="G29" s="8" t="s">
        <v>264</v>
      </c>
      <c r="H29" s="7" t="s">
        <v>322</v>
      </c>
      <c r="I29" s="8" t="s">
        <v>388</v>
      </c>
      <c r="J29" s="7">
        <v>6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7</v>
      </c>
      <c r="D30" s="9" t="s">
        <v>52</v>
      </c>
      <c r="E30" s="10" t="s">
        <v>138</v>
      </c>
      <c r="F30" s="9" t="s">
        <v>208</v>
      </c>
      <c r="G30" s="10" t="s">
        <v>265</v>
      </c>
      <c r="H30" s="9" t="s">
        <v>315</v>
      </c>
      <c r="I30" s="8" t="s">
        <v>388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8</v>
      </c>
      <c r="D31" s="7" t="s">
        <v>53</v>
      </c>
      <c r="E31" s="8" t="s">
        <v>139</v>
      </c>
      <c r="F31" s="7" t="s">
        <v>389</v>
      </c>
      <c r="G31" s="8">
        <v>1715721</v>
      </c>
      <c r="H31" s="7" t="s">
        <v>325</v>
      </c>
      <c r="I31" s="8" t="s">
        <v>388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9</v>
      </c>
      <c r="D32" s="9" t="s">
        <v>54</v>
      </c>
      <c r="E32" s="10" t="s">
        <v>140</v>
      </c>
      <c r="F32" s="7" t="s">
        <v>389</v>
      </c>
      <c r="G32" s="10" t="s">
        <v>209</v>
      </c>
      <c r="H32" s="9" t="s">
        <v>326</v>
      </c>
      <c r="I32" s="8" t="s">
        <v>388</v>
      </c>
      <c r="J32" s="9">
        <v>1</v>
      </c>
      <c r="K32" s="9"/>
    </row>
    <row r="33" spans="1:11" ht="48.75" thickBot="1" x14ac:dyDescent="0.3">
      <c r="A33" s="1"/>
      <c r="B33" s="11">
        <f>ROW(B33) - ROW($B$2)</f>
        <v>31</v>
      </c>
      <c r="C33" s="12" t="s">
        <v>10</v>
      </c>
      <c r="D33" s="7" t="s">
        <v>55</v>
      </c>
      <c r="E33" s="8" t="s">
        <v>141</v>
      </c>
      <c r="F33" s="7" t="s">
        <v>210</v>
      </c>
      <c r="G33" s="8" t="s">
        <v>266</v>
      </c>
      <c r="H33" s="7" t="s">
        <v>327</v>
      </c>
      <c r="I33" s="8" t="s">
        <v>388</v>
      </c>
      <c r="J33" s="7">
        <v>2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10</v>
      </c>
      <c r="D34" s="9" t="s">
        <v>56</v>
      </c>
      <c r="E34" s="10" t="s">
        <v>142</v>
      </c>
      <c r="F34" s="9" t="s">
        <v>211</v>
      </c>
      <c r="G34" s="10"/>
      <c r="H34" s="9"/>
      <c r="I34" s="8" t="s">
        <v>388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11</v>
      </c>
      <c r="D35" s="7" t="s">
        <v>57</v>
      </c>
      <c r="E35" s="8" t="s">
        <v>143</v>
      </c>
      <c r="F35" s="7" t="s">
        <v>389</v>
      </c>
      <c r="G35" s="8" t="s">
        <v>267</v>
      </c>
      <c r="H35" s="7" t="s">
        <v>328</v>
      </c>
      <c r="I35" s="8" t="s">
        <v>388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12</v>
      </c>
      <c r="D36" s="9" t="s">
        <v>58</v>
      </c>
      <c r="E36" s="10" t="s">
        <v>144</v>
      </c>
      <c r="F36" s="7" t="s">
        <v>389</v>
      </c>
      <c r="G36" s="10" t="s">
        <v>268</v>
      </c>
      <c r="H36" s="9" t="s">
        <v>329</v>
      </c>
      <c r="I36" s="8" t="s">
        <v>388</v>
      </c>
      <c r="J36" s="9">
        <v>1</v>
      </c>
      <c r="K36" s="9"/>
    </row>
    <row r="37" spans="1:11" ht="60.75" thickBot="1" x14ac:dyDescent="0.3">
      <c r="A37" s="1"/>
      <c r="B37" s="11">
        <f>ROW(B37) - ROW($B$2)</f>
        <v>35</v>
      </c>
      <c r="C37" s="12" t="s">
        <v>10</v>
      </c>
      <c r="D37" s="7" t="s">
        <v>59</v>
      </c>
      <c r="E37" s="8" t="s">
        <v>145</v>
      </c>
      <c r="F37" s="7" t="s">
        <v>212</v>
      </c>
      <c r="G37" s="8" t="s">
        <v>269</v>
      </c>
      <c r="H37" s="7" t="s">
        <v>327</v>
      </c>
      <c r="I37" s="8" t="s">
        <v>388</v>
      </c>
      <c r="J37" s="7">
        <v>1</v>
      </c>
      <c r="K37" s="7"/>
    </row>
    <row r="38" spans="1:11" ht="48.75" thickBot="1" x14ac:dyDescent="0.3">
      <c r="A38" s="1"/>
      <c r="B38" s="11">
        <f t="shared" si="0"/>
        <v>36</v>
      </c>
      <c r="C38" s="13" t="s">
        <v>10</v>
      </c>
      <c r="D38" s="9" t="s">
        <v>60</v>
      </c>
      <c r="E38" s="10" t="s">
        <v>146</v>
      </c>
      <c r="F38" s="9" t="s">
        <v>213</v>
      </c>
      <c r="G38" s="10" t="s">
        <v>270</v>
      </c>
      <c r="H38" s="9" t="s">
        <v>327</v>
      </c>
      <c r="I38" s="8" t="s">
        <v>388</v>
      </c>
      <c r="J38" s="9">
        <v>6</v>
      </c>
      <c r="K38" s="9"/>
    </row>
    <row r="39" spans="1:11" ht="60.75" thickBot="1" x14ac:dyDescent="0.3">
      <c r="A39" s="1"/>
      <c r="B39" s="11">
        <f>ROW(B39) - ROW($B$2)</f>
        <v>37</v>
      </c>
      <c r="C39" s="12" t="s">
        <v>13</v>
      </c>
      <c r="D39" s="7" t="s">
        <v>61</v>
      </c>
      <c r="E39" s="8" t="s">
        <v>147</v>
      </c>
      <c r="F39" s="7" t="s">
        <v>389</v>
      </c>
      <c r="G39" s="8" t="s">
        <v>214</v>
      </c>
      <c r="H39" s="7" t="s">
        <v>330</v>
      </c>
      <c r="I39" s="8" t="s">
        <v>388</v>
      </c>
      <c r="J39" s="7">
        <v>2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391</v>
      </c>
      <c r="D40" s="9" t="s">
        <v>62</v>
      </c>
      <c r="E40" s="10" t="s">
        <v>148</v>
      </c>
      <c r="F40" s="7" t="s">
        <v>389</v>
      </c>
      <c r="G40" s="10" t="s">
        <v>215</v>
      </c>
      <c r="H40" s="9" t="s">
        <v>331</v>
      </c>
      <c r="I40" s="8" t="s">
        <v>388</v>
      </c>
      <c r="J40" s="9">
        <v>1</v>
      </c>
      <c r="K40" s="9"/>
    </row>
    <row r="41" spans="1:11" ht="36.75" thickBot="1" x14ac:dyDescent="0.3">
      <c r="A41" s="1"/>
      <c r="B41" s="11">
        <f>ROW(B41) - ROW($B$2)</f>
        <v>39</v>
      </c>
      <c r="C41" s="12" t="s">
        <v>14</v>
      </c>
      <c r="D41" s="7" t="s">
        <v>63</v>
      </c>
      <c r="E41" s="8" t="s">
        <v>149</v>
      </c>
      <c r="F41" s="7" t="s">
        <v>389</v>
      </c>
      <c r="G41" s="8" t="s">
        <v>216</v>
      </c>
      <c r="H41" s="7" t="s">
        <v>332</v>
      </c>
      <c r="I41" s="8" t="s">
        <v>388</v>
      </c>
      <c r="J41" s="7">
        <v>2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12</v>
      </c>
      <c r="D42" s="9" t="s">
        <v>64</v>
      </c>
      <c r="E42" s="10" t="s">
        <v>150</v>
      </c>
      <c r="F42" s="7" t="s">
        <v>389</v>
      </c>
      <c r="G42" s="10" t="s">
        <v>271</v>
      </c>
      <c r="H42" s="9" t="s">
        <v>329</v>
      </c>
      <c r="I42" s="8" t="s">
        <v>388</v>
      </c>
      <c r="J42" s="9">
        <v>8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12</v>
      </c>
      <c r="D43" s="7" t="s">
        <v>65</v>
      </c>
      <c r="E43" s="8" t="s">
        <v>151</v>
      </c>
      <c r="F43" s="7" t="s">
        <v>389</v>
      </c>
      <c r="G43" s="8" t="s">
        <v>272</v>
      </c>
      <c r="H43" s="7" t="s">
        <v>329</v>
      </c>
      <c r="I43" s="8" t="s">
        <v>388</v>
      </c>
      <c r="J43" s="7">
        <v>4</v>
      </c>
      <c r="K43" s="7"/>
    </row>
    <row r="44" spans="1:11" ht="48.75" thickBot="1" x14ac:dyDescent="0.3">
      <c r="A44" s="1"/>
      <c r="B44" s="11">
        <f t="shared" si="0"/>
        <v>42</v>
      </c>
      <c r="C44" s="13" t="s">
        <v>15</v>
      </c>
      <c r="D44" s="9" t="s">
        <v>66</v>
      </c>
      <c r="E44" s="10" t="s">
        <v>152</v>
      </c>
      <c r="F44" s="7" t="s">
        <v>389</v>
      </c>
      <c r="G44" s="10" t="s">
        <v>217</v>
      </c>
      <c r="H44" s="9" t="s">
        <v>333</v>
      </c>
      <c r="I44" s="8" t="s">
        <v>388</v>
      </c>
      <c r="J44" s="9">
        <v>3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16</v>
      </c>
      <c r="D45" s="7" t="s">
        <v>67</v>
      </c>
      <c r="E45" s="8" t="s">
        <v>153</v>
      </c>
      <c r="F45" s="7" t="s">
        <v>389</v>
      </c>
      <c r="G45" s="8" t="s">
        <v>273</v>
      </c>
      <c r="H45" s="7" t="s">
        <v>334</v>
      </c>
      <c r="I45" s="8" t="s">
        <v>363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7</v>
      </c>
      <c r="D46" s="9" t="s">
        <v>68</v>
      </c>
      <c r="E46" s="10" t="s">
        <v>154</v>
      </c>
      <c r="F46" s="9" t="s">
        <v>218</v>
      </c>
      <c r="G46" s="10" t="s">
        <v>274</v>
      </c>
      <c r="H46" s="9" t="s">
        <v>315</v>
      </c>
      <c r="I46" s="10" t="s">
        <v>388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17</v>
      </c>
      <c r="D47" s="7" t="s">
        <v>69</v>
      </c>
      <c r="E47" s="8" t="s">
        <v>155</v>
      </c>
      <c r="F47" s="7" t="s">
        <v>219</v>
      </c>
      <c r="G47" s="8" t="s">
        <v>275</v>
      </c>
      <c r="H47" s="7" t="s">
        <v>335</v>
      </c>
      <c r="I47" s="10" t="s">
        <v>388</v>
      </c>
      <c r="J47" s="7">
        <v>4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17</v>
      </c>
      <c r="D48" s="9" t="s">
        <v>70</v>
      </c>
      <c r="E48" s="10" t="s">
        <v>156</v>
      </c>
      <c r="F48" s="9" t="s">
        <v>219</v>
      </c>
      <c r="G48" s="10" t="s">
        <v>276</v>
      </c>
      <c r="H48" s="9" t="s">
        <v>335</v>
      </c>
      <c r="I48" s="10" t="s">
        <v>388</v>
      </c>
      <c r="J48" s="9">
        <v>5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18</v>
      </c>
      <c r="D49" s="7" t="s">
        <v>71</v>
      </c>
      <c r="E49" s="8" t="s">
        <v>157</v>
      </c>
      <c r="F49" s="7" t="s">
        <v>220</v>
      </c>
      <c r="G49" s="8" t="s">
        <v>277</v>
      </c>
      <c r="H49" s="7" t="s">
        <v>313</v>
      </c>
      <c r="I49" s="8" t="s">
        <v>364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18</v>
      </c>
      <c r="D50" s="9" t="s">
        <v>72</v>
      </c>
      <c r="E50" s="10" t="s">
        <v>158</v>
      </c>
      <c r="F50" s="9" t="s">
        <v>220</v>
      </c>
      <c r="G50" s="10" t="s">
        <v>278</v>
      </c>
      <c r="H50" s="9" t="s">
        <v>313</v>
      </c>
      <c r="I50" s="10" t="s">
        <v>365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18</v>
      </c>
      <c r="D51" s="7" t="s">
        <v>73</v>
      </c>
      <c r="E51" s="8" t="s">
        <v>159</v>
      </c>
      <c r="F51" s="7" t="s">
        <v>220</v>
      </c>
      <c r="G51" s="8" t="s">
        <v>279</v>
      </c>
      <c r="H51" s="7" t="s">
        <v>313</v>
      </c>
      <c r="I51" s="8" t="s">
        <v>366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18</v>
      </c>
      <c r="D52" s="9" t="s">
        <v>74</v>
      </c>
      <c r="E52" s="10" t="s">
        <v>160</v>
      </c>
      <c r="F52" s="9" t="s">
        <v>220</v>
      </c>
      <c r="G52" s="10" t="s">
        <v>280</v>
      </c>
      <c r="H52" s="9" t="s">
        <v>313</v>
      </c>
      <c r="I52" s="10" t="s">
        <v>367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3" t="s">
        <v>18</v>
      </c>
      <c r="D53" s="7" t="s">
        <v>75</v>
      </c>
      <c r="E53" s="8" t="s">
        <v>161</v>
      </c>
      <c r="F53" s="7" t="s">
        <v>220</v>
      </c>
      <c r="G53" s="8" t="s">
        <v>281</v>
      </c>
      <c r="H53" s="7" t="s">
        <v>313</v>
      </c>
      <c r="I53" s="8" t="s">
        <v>368</v>
      </c>
      <c r="J53" s="7">
        <v>1</v>
      </c>
      <c r="K53" s="7"/>
    </row>
    <row r="54" spans="1:11" ht="36.75" thickBot="1" x14ac:dyDescent="0.3">
      <c r="A54" s="1"/>
      <c r="B54" s="11">
        <f t="shared" si="0"/>
        <v>52</v>
      </c>
      <c r="C54" s="13" t="s">
        <v>18</v>
      </c>
      <c r="D54" s="9" t="s">
        <v>76</v>
      </c>
      <c r="E54" s="10" t="s">
        <v>162</v>
      </c>
      <c r="F54" s="9" t="s">
        <v>220</v>
      </c>
      <c r="G54" s="10" t="s">
        <v>282</v>
      </c>
      <c r="H54" s="9" t="s">
        <v>313</v>
      </c>
      <c r="I54" s="10" t="s">
        <v>369</v>
      </c>
      <c r="J54" s="9">
        <v>23</v>
      </c>
      <c r="K54" s="9"/>
    </row>
    <row r="55" spans="1:11" ht="15.75" thickBot="1" x14ac:dyDescent="0.3">
      <c r="A55" s="1"/>
      <c r="B55" s="11">
        <f>ROW(B55) - ROW($B$2)</f>
        <v>53</v>
      </c>
      <c r="C55" s="13" t="s">
        <v>18</v>
      </c>
      <c r="D55" s="15" t="s">
        <v>77</v>
      </c>
      <c r="E55" s="16" t="s">
        <v>163</v>
      </c>
      <c r="F55" s="15" t="s">
        <v>221</v>
      </c>
      <c r="G55" s="16" t="s">
        <v>283</v>
      </c>
      <c r="H55" s="15" t="s">
        <v>313</v>
      </c>
      <c r="I55" s="16" t="s">
        <v>356</v>
      </c>
      <c r="J55" s="15">
        <v>2</v>
      </c>
      <c r="K55" s="17" t="s">
        <v>392</v>
      </c>
    </row>
    <row r="56" spans="1:11" ht="15.75" thickBot="1" x14ac:dyDescent="0.3">
      <c r="A56" s="1"/>
      <c r="B56" s="11">
        <f t="shared" si="0"/>
        <v>54</v>
      </c>
      <c r="C56" s="13" t="s">
        <v>18</v>
      </c>
      <c r="D56" s="9" t="s">
        <v>78</v>
      </c>
      <c r="E56" s="10" t="s">
        <v>163</v>
      </c>
      <c r="F56" s="9" t="s">
        <v>221</v>
      </c>
      <c r="G56" s="10" t="s">
        <v>283</v>
      </c>
      <c r="H56" s="9" t="s">
        <v>313</v>
      </c>
      <c r="I56" s="10" t="s">
        <v>370</v>
      </c>
      <c r="J56" s="9">
        <v>2</v>
      </c>
      <c r="K56" s="9"/>
    </row>
    <row r="57" spans="1:11" ht="24.75" thickBot="1" x14ac:dyDescent="0.3">
      <c r="A57" s="1"/>
      <c r="B57" s="11">
        <f>ROW(B57) - ROW($B$2)</f>
        <v>55</v>
      </c>
      <c r="C57" s="13" t="s">
        <v>18</v>
      </c>
      <c r="D57" s="7" t="s">
        <v>79</v>
      </c>
      <c r="E57" s="8" t="s">
        <v>164</v>
      </c>
      <c r="F57" s="7" t="s">
        <v>221</v>
      </c>
      <c r="G57" s="8" t="s">
        <v>284</v>
      </c>
      <c r="H57" s="7" t="s">
        <v>313</v>
      </c>
      <c r="I57" s="8" t="s">
        <v>371</v>
      </c>
      <c r="J57" s="7">
        <v>12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18</v>
      </c>
      <c r="D58" s="9" t="s">
        <v>80</v>
      </c>
      <c r="E58" s="10" t="s">
        <v>165</v>
      </c>
      <c r="F58" s="9" t="s">
        <v>220</v>
      </c>
      <c r="G58" s="10" t="s">
        <v>285</v>
      </c>
      <c r="H58" s="9" t="s">
        <v>313</v>
      </c>
      <c r="I58" s="10" t="s">
        <v>372</v>
      </c>
      <c r="J58" s="9">
        <v>1</v>
      </c>
      <c r="K58" s="9"/>
    </row>
    <row r="59" spans="1:11" ht="24.75" thickBot="1" x14ac:dyDescent="0.3">
      <c r="A59" s="1"/>
      <c r="B59" s="11">
        <f>ROW(B59) - ROW($B$2)</f>
        <v>57</v>
      </c>
      <c r="C59" s="13" t="s">
        <v>18</v>
      </c>
      <c r="D59" s="7" t="s">
        <v>81</v>
      </c>
      <c r="E59" s="8" t="s">
        <v>166</v>
      </c>
      <c r="F59" s="7" t="s">
        <v>220</v>
      </c>
      <c r="G59" s="8" t="s">
        <v>286</v>
      </c>
      <c r="H59" s="7" t="s">
        <v>313</v>
      </c>
      <c r="I59" s="8" t="s">
        <v>373</v>
      </c>
      <c r="J59" s="7">
        <v>17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18</v>
      </c>
      <c r="D60" s="9" t="s">
        <v>82</v>
      </c>
      <c r="E60" s="10" t="s">
        <v>167</v>
      </c>
      <c r="F60" s="9" t="s">
        <v>220</v>
      </c>
      <c r="G60" s="10" t="s">
        <v>287</v>
      </c>
      <c r="H60" s="9" t="s">
        <v>313</v>
      </c>
      <c r="I60" s="10" t="s">
        <v>374</v>
      </c>
      <c r="J60" s="9">
        <v>2</v>
      </c>
      <c r="K60" s="9"/>
    </row>
    <row r="61" spans="1:11" ht="15.75" thickBot="1" x14ac:dyDescent="0.3">
      <c r="A61" s="1"/>
      <c r="B61" s="11">
        <f>ROW(B61) - ROW($B$2)</f>
        <v>59</v>
      </c>
      <c r="C61" s="13" t="s">
        <v>18</v>
      </c>
      <c r="D61" s="7" t="s">
        <v>83</v>
      </c>
      <c r="E61" s="8" t="s">
        <v>168</v>
      </c>
      <c r="F61" s="7" t="s">
        <v>220</v>
      </c>
      <c r="G61" s="8" t="s">
        <v>288</v>
      </c>
      <c r="H61" s="7" t="s">
        <v>313</v>
      </c>
      <c r="I61" s="8" t="s">
        <v>375</v>
      </c>
      <c r="J61" s="7">
        <v>8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18</v>
      </c>
      <c r="D62" s="9" t="s">
        <v>84</v>
      </c>
      <c r="E62" s="10" t="s">
        <v>169</v>
      </c>
      <c r="F62" s="9" t="s">
        <v>220</v>
      </c>
      <c r="G62" s="10" t="s">
        <v>289</v>
      </c>
      <c r="H62" s="9" t="s">
        <v>313</v>
      </c>
      <c r="I62" s="10" t="s">
        <v>376</v>
      </c>
      <c r="J62" s="9">
        <v>2</v>
      </c>
      <c r="K62" s="9"/>
    </row>
    <row r="63" spans="1:11" ht="15.75" thickBot="1" x14ac:dyDescent="0.3">
      <c r="A63" s="1"/>
      <c r="B63" s="11">
        <f>ROW(B63) - ROW($B$2)</f>
        <v>61</v>
      </c>
      <c r="C63" s="13" t="s">
        <v>18</v>
      </c>
      <c r="D63" s="7" t="s">
        <v>85</v>
      </c>
      <c r="E63" s="8" t="s">
        <v>170</v>
      </c>
      <c r="F63" s="7" t="s">
        <v>220</v>
      </c>
      <c r="G63" s="8" t="s">
        <v>290</v>
      </c>
      <c r="H63" s="7" t="s">
        <v>336</v>
      </c>
      <c r="I63" s="8" t="s">
        <v>377</v>
      </c>
      <c r="J63" s="7">
        <v>2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18</v>
      </c>
      <c r="D64" s="9" t="s">
        <v>86</v>
      </c>
      <c r="E64" s="10" t="s">
        <v>171</v>
      </c>
      <c r="F64" s="9" t="s">
        <v>220</v>
      </c>
      <c r="G64" s="10" t="s">
        <v>291</v>
      </c>
      <c r="H64" s="9" t="s">
        <v>313</v>
      </c>
      <c r="I64" s="10" t="s">
        <v>370</v>
      </c>
      <c r="J64" s="9">
        <v>14</v>
      </c>
      <c r="K64" s="9"/>
    </row>
    <row r="65" spans="1:11" ht="36.75" thickBot="1" x14ac:dyDescent="0.3">
      <c r="A65" s="1"/>
      <c r="B65" s="11">
        <f>ROW(B65) - ROW($B$2)</f>
        <v>63</v>
      </c>
      <c r="C65" s="13" t="s">
        <v>18</v>
      </c>
      <c r="D65" s="7" t="s">
        <v>87</v>
      </c>
      <c r="E65" s="8" t="s">
        <v>172</v>
      </c>
      <c r="F65" s="7" t="s">
        <v>221</v>
      </c>
      <c r="G65" s="8" t="s">
        <v>292</v>
      </c>
      <c r="H65" s="7" t="s">
        <v>393</v>
      </c>
      <c r="I65" s="8" t="s">
        <v>378</v>
      </c>
      <c r="J65" s="7">
        <v>4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18</v>
      </c>
      <c r="D66" s="9" t="s">
        <v>88</v>
      </c>
      <c r="E66" s="10" t="s">
        <v>173</v>
      </c>
      <c r="F66" s="9" t="s">
        <v>221</v>
      </c>
      <c r="G66" s="10" t="s">
        <v>293</v>
      </c>
      <c r="H66" s="9" t="s">
        <v>313</v>
      </c>
      <c r="I66" s="10" t="s">
        <v>379</v>
      </c>
      <c r="J66" s="9">
        <v>2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18</v>
      </c>
      <c r="D67" s="7" t="s">
        <v>89</v>
      </c>
      <c r="E67" s="8" t="s">
        <v>174</v>
      </c>
      <c r="F67" s="7" t="s">
        <v>222</v>
      </c>
      <c r="G67" s="8" t="s">
        <v>294</v>
      </c>
      <c r="H67" s="7" t="s">
        <v>313</v>
      </c>
      <c r="I67" s="8" t="s">
        <v>380</v>
      </c>
      <c r="J67" s="7">
        <v>6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18</v>
      </c>
      <c r="D68" s="15" t="s">
        <v>90</v>
      </c>
      <c r="E68" s="16" t="s">
        <v>166</v>
      </c>
      <c r="F68" s="15" t="s">
        <v>220</v>
      </c>
      <c r="G68" s="16" t="s">
        <v>286</v>
      </c>
      <c r="H68" s="15" t="s">
        <v>313</v>
      </c>
      <c r="I68" s="16" t="s">
        <v>356</v>
      </c>
      <c r="J68" s="15">
        <v>1</v>
      </c>
      <c r="K68" s="17" t="s">
        <v>392</v>
      </c>
    </row>
    <row r="69" spans="1:11" ht="15.75" thickBot="1" x14ac:dyDescent="0.3">
      <c r="A69" s="1"/>
      <c r="B69" s="11">
        <f>ROW(B69) - ROW($B$2)</f>
        <v>67</v>
      </c>
      <c r="C69" s="12" t="s">
        <v>18</v>
      </c>
      <c r="D69" s="7" t="s">
        <v>91</v>
      </c>
      <c r="E69" s="8" t="s">
        <v>175</v>
      </c>
      <c r="F69" s="7" t="s">
        <v>220</v>
      </c>
      <c r="G69" s="8" t="s">
        <v>295</v>
      </c>
      <c r="H69" s="7" t="s">
        <v>313</v>
      </c>
      <c r="I69" s="8" t="s">
        <v>381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18</v>
      </c>
      <c r="D70" s="9" t="s">
        <v>92</v>
      </c>
      <c r="E70" s="10" t="s">
        <v>176</v>
      </c>
      <c r="F70" s="9" t="s">
        <v>222</v>
      </c>
      <c r="G70" s="10" t="s">
        <v>296</v>
      </c>
      <c r="H70" s="9" t="s">
        <v>313</v>
      </c>
      <c r="I70" s="10" t="s">
        <v>369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18</v>
      </c>
      <c r="D71" s="7" t="s">
        <v>93</v>
      </c>
      <c r="E71" s="8" t="s">
        <v>177</v>
      </c>
      <c r="F71" s="7" t="s">
        <v>220</v>
      </c>
      <c r="G71" s="8" t="s">
        <v>297</v>
      </c>
      <c r="H71" s="7" t="s">
        <v>313</v>
      </c>
      <c r="I71" s="8" t="s">
        <v>370</v>
      </c>
      <c r="J71" s="7">
        <v>2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18</v>
      </c>
      <c r="D72" s="9" t="s">
        <v>94</v>
      </c>
      <c r="E72" s="10" t="s">
        <v>178</v>
      </c>
      <c r="F72" s="9" t="s">
        <v>221</v>
      </c>
      <c r="G72" s="10" t="s">
        <v>298</v>
      </c>
      <c r="H72" s="9" t="s">
        <v>313</v>
      </c>
      <c r="I72" s="10" t="s">
        <v>382</v>
      </c>
      <c r="J72" s="9">
        <v>4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19</v>
      </c>
      <c r="D73" s="7" t="s">
        <v>95</v>
      </c>
      <c r="E73" s="8" t="s">
        <v>179</v>
      </c>
      <c r="F73" s="7" t="s">
        <v>389</v>
      </c>
      <c r="G73" s="8" t="s">
        <v>223</v>
      </c>
      <c r="H73" s="7" t="s">
        <v>337</v>
      </c>
      <c r="I73" s="8" t="s">
        <v>388</v>
      </c>
      <c r="J73" s="7">
        <v>2</v>
      </c>
      <c r="K73" s="7"/>
    </row>
    <row r="74" spans="1:11" ht="36.75" thickBot="1" x14ac:dyDescent="0.3">
      <c r="A74" s="1"/>
      <c r="B74" s="11">
        <f t="shared" si="0"/>
        <v>72</v>
      </c>
      <c r="C74" s="13" t="s">
        <v>20</v>
      </c>
      <c r="D74" s="9" t="s">
        <v>96</v>
      </c>
      <c r="E74" s="10" t="s">
        <v>180</v>
      </c>
      <c r="F74" s="7" t="s">
        <v>389</v>
      </c>
      <c r="G74" s="10" t="s">
        <v>224</v>
      </c>
      <c r="H74" s="9" t="s">
        <v>338</v>
      </c>
      <c r="I74" s="8" t="s">
        <v>388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21</v>
      </c>
      <c r="D75" s="7" t="s">
        <v>97</v>
      </c>
      <c r="E75" s="8" t="s">
        <v>181</v>
      </c>
      <c r="F75" s="7" t="s">
        <v>225</v>
      </c>
      <c r="G75" s="8" t="s">
        <v>299</v>
      </c>
      <c r="H75" s="7" t="s">
        <v>317</v>
      </c>
      <c r="I75" s="8" t="s">
        <v>388</v>
      </c>
      <c r="J75" s="7">
        <v>1</v>
      </c>
      <c r="K75" s="7"/>
    </row>
    <row r="76" spans="1:11" ht="36.75" thickBot="1" x14ac:dyDescent="0.3">
      <c r="A76" s="1"/>
      <c r="B76" s="11">
        <f t="shared" si="0"/>
        <v>74</v>
      </c>
      <c r="C76" s="13" t="s">
        <v>21</v>
      </c>
      <c r="D76" s="9" t="s">
        <v>98</v>
      </c>
      <c r="E76" s="10" t="s">
        <v>182</v>
      </c>
      <c r="F76" s="9" t="s">
        <v>226</v>
      </c>
      <c r="G76" s="10" t="s">
        <v>300</v>
      </c>
      <c r="H76" s="9" t="s">
        <v>339</v>
      </c>
      <c r="I76" s="8" t="s">
        <v>388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21</v>
      </c>
      <c r="D77" s="7" t="s">
        <v>99</v>
      </c>
      <c r="E77" s="8" t="s">
        <v>183</v>
      </c>
      <c r="F77" s="7" t="s">
        <v>227</v>
      </c>
      <c r="G77" s="8" t="s">
        <v>301</v>
      </c>
      <c r="H77" s="7" t="s">
        <v>340</v>
      </c>
      <c r="I77" s="8" t="s">
        <v>388</v>
      </c>
      <c r="J77" s="7">
        <v>3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22</v>
      </c>
      <c r="D78" s="9" t="s">
        <v>100</v>
      </c>
      <c r="E78" s="10" t="s">
        <v>184</v>
      </c>
      <c r="F78" s="9" t="s">
        <v>228</v>
      </c>
      <c r="G78" s="10" t="s">
        <v>302</v>
      </c>
      <c r="H78" s="9" t="s">
        <v>341</v>
      </c>
      <c r="I78" s="8" t="s">
        <v>388</v>
      </c>
      <c r="J78" s="9">
        <v>1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21</v>
      </c>
      <c r="D79" s="7" t="s">
        <v>101</v>
      </c>
      <c r="E79" s="8" t="s">
        <v>185</v>
      </c>
      <c r="F79" s="7" t="s">
        <v>229</v>
      </c>
      <c r="G79" s="8" t="s">
        <v>303</v>
      </c>
      <c r="H79" s="7" t="s">
        <v>342</v>
      </c>
      <c r="I79" s="8" t="s">
        <v>388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21</v>
      </c>
      <c r="D80" s="9" t="s">
        <v>102</v>
      </c>
      <c r="E80" s="10" t="s">
        <v>186</v>
      </c>
      <c r="F80" s="9" t="s">
        <v>230</v>
      </c>
      <c r="G80" s="10" t="s">
        <v>304</v>
      </c>
      <c r="H80" s="9" t="s">
        <v>340</v>
      </c>
      <c r="I80" s="8" t="s">
        <v>388</v>
      </c>
      <c r="J80" s="9">
        <v>2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21</v>
      </c>
      <c r="D81" s="7" t="s">
        <v>103</v>
      </c>
      <c r="E81" s="8" t="s">
        <v>187</v>
      </c>
      <c r="F81" s="7" t="s">
        <v>231</v>
      </c>
      <c r="G81" s="8" t="s">
        <v>305</v>
      </c>
      <c r="H81" s="7" t="s">
        <v>340</v>
      </c>
      <c r="I81" s="8" t="s">
        <v>388</v>
      </c>
      <c r="J81" s="7">
        <v>2</v>
      </c>
      <c r="K81" s="7"/>
    </row>
    <row r="82" spans="1:11" ht="24.75" thickBot="1" x14ac:dyDescent="0.3">
      <c r="A82" s="1"/>
      <c r="B82" s="11">
        <f t="shared" si="0"/>
        <v>80</v>
      </c>
      <c r="C82" s="13" t="s">
        <v>21</v>
      </c>
      <c r="D82" s="9" t="s">
        <v>104</v>
      </c>
      <c r="E82" s="10" t="s">
        <v>188</v>
      </c>
      <c r="F82" s="9" t="s">
        <v>232</v>
      </c>
      <c r="G82" s="10" t="s">
        <v>306</v>
      </c>
      <c r="H82" s="9" t="s">
        <v>343</v>
      </c>
      <c r="I82" s="8" t="s">
        <v>388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21</v>
      </c>
      <c r="D83" s="7" t="s">
        <v>105</v>
      </c>
      <c r="E83" s="8" t="s">
        <v>189</v>
      </c>
      <c r="F83" s="7" t="s">
        <v>233</v>
      </c>
      <c r="G83" s="8" t="s">
        <v>307</v>
      </c>
      <c r="H83" s="7" t="s">
        <v>344</v>
      </c>
      <c r="I83" s="8" t="s">
        <v>388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2" t="s">
        <v>21</v>
      </c>
      <c r="D84" s="9" t="s">
        <v>106</v>
      </c>
      <c r="E84" s="10" t="s">
        <v>190</v>
      </c>
      <c r="F84" s="7" t="s">
        <v>390</v>
      </c>
      <c r="G84" s="10" t="s">
        <v>234</v>
      </c>
      <c r="H84" s="9" t="s">
        <v>320</v>
      </c>
      <c r="I84" s="8" t="s">
        <v>388</v>
      </c>
      <c r="J84" s="9">
        <v>1</v>
      </c>
      <c r="K84" s="9"/>
    </row>
    <row r="85" spans="1:11" ht="24.75" thickBot="1" x14ac:dyDescent="0.3">
      <c r="A85" s="1"/>
      <c r="B85" s="11">
        <f>ROW(B85) - ROW($B$2)</f>
        <v>83</v>
      </c>
      <c r="C85" s="12" t="s">
        <v>23</v>
      </c>
      <c r="D85" s="15" t="s">
        <v>107</v>
      </c>
      <c r="E85" s="16" t="s">
        <v>191</v>
      </c>
      <c r="F85" s="15" t="s">
        <v>235</v>
      </c>
      <c r="G85" s="16" t="s">
        <v>308</v>
      </c>
      <c r="H85" s="15" t="s">
        <v>345</v>
      </c>
      <c r="I85" s="16" t="s">
        <v>356</v>
      </c>
      <c r="J85" s="15">
        <v>1</v>
      </c>
      <c r="K85" s="17" t="s">
        <v>392</v>
      </c>
    </row>
    <row r="86" spans="1:11" ht="24.75" thickBot="1" x14ac:dyDescent="0.3">
      <c r="A86" s="1"/>
      <c r="B86" s="11">
        <f t="shared" si="0"/>
        <v>84</v>
      </c>
      <c r="C86" s="13" t="s">
        <v>23</v>
      </c>
      <c r="D86" s="9" t="s">
        <v>108</v>
      </c>
      <c r="E86" s="10" t="s">
        <v>192</v>
      </c>
      <c r="F86" s="7" t="s">
        <v>389</v>
      </c>
      <c r="G86" s="10" t="s">
        <v>309</v>
      </c>
      <c r="H86" s="9" t="s">
        <v>346</v>
      </c>
      <c r="I86" s="10" t="s">
        <v>383</v>
      </c>
      <c r="J86" s="9">
        <v>1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23</v>
      </c>
      <c r="D87" s="7" t="s">
        <v>109</v>
      </c>
      <c r="E87" s="8" t="s">
        <v>193</v>
      </c>
      <c r="F87" s="7" t="s">
        <v>236</v>
      </c>
      <c r="G87" s="8" t="s">
        <v>310</v>
      </c>
      <c r="H87" s="7" t="s">
        <v>347</v>
      </c>
      <c r="I87" s="8" t="s">
        <v>384</v>
      </c>
      <c r="J87" s="7">
        <v>1</v>
      </c>
      <c r="K8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2024-09-05T10:35:48Z</dcterms:modified>
</cp:coreProperties>
</file>