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Master-Board-v2.0\BOM\"/>
    </mc:Choice>
  </mc:AlternateContent>
  <bookViews>
    <workbookView xWindow="28680" yWindow="-120" windowWidth="29040" windowHeight="15840" activeTab="1"/>
  </bookViews>
  <sheets>
    <sheet name="5 Boards" sheetId="1" r:id="rId1"/>
    <sheet name="25 Boards" sheetId="2" r:id="rId2"/>
  </sheets>
  <calcPr calcId="162913"/>
</workbook>
</file>

<file path=xl/calcChain.xml><?xml version="1.0" encoding="utf-8"?>
<calcChain xmlns="http://schemas.openxmlformats.org/spreadsheetml/2006/main">
  <c r="Q9" i="1" l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8" i="1"/>
  <c r="Q99" i="1"/>
  <c r="Q100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21" i="1"/>
  <c r="Q122" i="1"/>
  <c r="Q123" i="1"/>
  <c r="Q124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9" i="1"/>
  <c r="Q160" i="1"/>
  <c r="Q161" i="1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8" i="2"/>
  <c r="Q99" i="2"/>
  <c r="Q100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21" i="2"/>
  <c r="Q122" i="2"/>
  <c r="Q123" i="2"/>
  <c r="Q124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9" i="2"/>
  <c r="Q160" i="2"/>
  <c r="Q161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8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Q8" i="2"/>
  <c r="B8" i="2"/>
  <c r="Q162" i="1" l="1"/>
  <c r="Q162" i="2"/>
  <c r="Q163" i="2" s="1"/>
  <c r="M161" i="1"/>
  <c r="B161" i="1"/>
  <c r="M160" i="1"/>
  <c r="B160" i="1"/>
  <c r="M159" i="1"/>
  <c r="B159" i="1"/>
  <c r="M158" i="1"/>
  <c r="B158" i="1"/>
  <c r="M157" i="1"/>
  <c r="B157" i="1"/>
  <c r="M156" i="1"/>
  <c r="B156" i="1"/>
  <c r="M155" i="1"/>
  <c r="B155" i="1"/>
  <c r="M154" i="1"/>
  <c r="B154" i="1"/>
  <c r="M153" i="1"/>
  <c r="B153" i="1"/>
  <c r="M152" i="1"/>
  <c r="B152" i="1"/>
  <c r="M151" i="1"/>
  <c r="B151" i="1"/>
  <c r="M150" i="1"/>
  <c r="B150" i="1"/>
  <c r="M149" i="1"/>
  <c r="B149" i="1"/>
  <c r="M148" i="1"/>
  <c r="B148" i="1"/>
  <c r="M147" i="1"/>
  <c r="B147" i="1"/>
  <c r="M146" i="1"/>
  <c r="B146" i="1"/>
  <c r="M145" i="1"/>
  <c r="B145" i="1"/>
  <c r="M144" i="1"/>
  <c r="B144" i="1"/>
  <c r="M143" i="1"/>
  <c r="B143" i="1"/>
  <c r="M142" i="1"/>
  <c r="B142" i="1"/>
  <c r="M141" i="1"/>
  <c r="B141" i="1"/>
  <c r="M140" i="1"/>
  <c r="B140" i="1"/>
  <c r="M139" i="1"/>
  <c r="B139" i="1"/>
  <c r="M138" i="1"/>
  <c r="B138" i="1"/>
  <c r="M137" i="1"/>
  <c r="B137" i="1"/>
  <c r="M136" i="1"/>
  <c r="B136" i="1"/>
  <c r="M135" i="1"/>
  <c r="B135" i="1"/>
  <c r="M134" i="1"/>
  <c r="B134" i="1"/>
  <c r="M133" i="1"/>
  <c r="B133" i="1"/>
  <c r="M132" i="1"/>
  <c r="B132" i="1"/>
  <c r="M131" i="1"/>
  <c r="B131" i="1"/>
  <c r="M130" i="1"/>
  <c r="B130" i="1"/>
  <c r="M129" i="1"/>
  <c r="B129" i="1"/>
  <c r="M128" i="1"/>
  <c r="B128" i="1"/>
  <c r="M127" i="1"/>
  <c r="B127" i="1"/>
  <c r="M126" i="1"/>
  <c r="B126" i="1"/>
  <c r="M125" i="1"/>
  <c r="B125" i="1"/>
  <c r="M124" i="1"/>
  <c r="B124" i="1"/>
  <c r="M123" i="1"/>
  <c r="B123" i="1"/>
  <c r="M122" i="1"/>
  <c r="B122" i="1"/>
  <c r="M121" i="1"/>
  <c r="B121" i="1"/>
  <c r="M120" i="1"/>
  <c r="B120" i="1"/>
  <c r="M119" i="1"/>
  <c r="B119" i="1"/>
  <c r="M118" i="1"/>
  <c r="B118" i="1"/>
  <c r="M117" i="1"/>
  <c r="B117" i="1"/>
  <c r="M116" i="1"/>
  <c r="B116" i="1"/>
  <c r="M115" i="1"/>
  <c r="B115" i="1"/>
  <c r="M114" i="1"/>
  <c r="B114" i="1"/>
  <c r="M113" i="1"/>
  <c r="B113" i="1"/>
  <c r="M112" i="1"/>
  <c r="B112" i="1"/>
  <c r="M111" i="1"/>
  <c r="B111" i="1"/>
  <c r="M110" i="1"/>
  <c r="B110" i="1"/>
  <c r="M109" i="1"/>
  <c r="B109" i="1"/>
  <c r="M108" i="1"/>
  <c r="B108" i="1"/>
  <c r="M107" i="1"/>
  <c r="B107" i="1"/>
  <c r="M106" i="1"/>
  <c r="B106" i="1"/>
  <c r="M105" i="1"/>
  <c r="B105" i="1"/>
  <c r="M104" i="1"/>
  <c r="B104" i="1"/>
  <c r="M103" i="1"/>
  <c r="B103" i="1"/>
  <c r="M102" i="1"/>
  <c r="B102" i="1"/>
  <c r="M101" i="1"/>
  <c r="B101" i="1"/>
  <c r="M100" i="1"/>
  <c r="B100" i="1"/>
  <c r="M99" i="1"/>
  <c r="B99" i="1"/>
  <c r="M98" i="1"/>
  <c r="B98" i="1"/>
  <c r="M97" i="1"/>
  <c r="B97" i="1"/>
  <c r="M96" i="1"/>
  <c r="B96" i="1"/>
  <c r="M95" i="1"/>
  <c r="B95" i="1"/>
  <c r="M94" i="1"/>
  <c r="B94" i="1"/>
  <c r="M93" i="1"/>
  <c r="B93" i="1"/>
  <c r="M92" i="1"/>
  <c r="B92" i="1"/>
  <c r="M91" i="1"/>
  <c r="B91" i="1"/>
  <c r="M90" i="1"/>
  <c r="B90" i="1"/>
  <c r="M89" i="1"/>
  <c r="B89" i="1"/>
  <c r="M88" i="1"/>
  <c r="B88" i="1"/>
  <c r="M87" i="1"/>
  <c r="B87" i="1"/>
  <c r="M86" i="1"/>
  <c r="B86" i="1"/>
  <c r="M85" i="1"/>
  <c r="B85" i="1"/>
  <c r="M84" i="1"/>
  <c r="B84" i="1"/>
  <c r="M83" i="1"/>
  <c r="B83" i="1"/>
  <c r="M82" i="1"/>
  <c r="B82" i="1"/>
  <c r="M81" i="1"/>
  <c r="B81" i="1"/>
  <c r="M80" i="1"/>
  <c r="B80" i="1"/>
  <c r="M79" i="1"/>
  <c r="B79" i="1"/>
  <c r="M78" i="1"/>
  <c r="B78" i="1"/>
  <c r="M77" i="1"/>
  <c r="B77" i="1"/>
  <c r="M76" i="1"/>
  <c r="B76" i="1"/>
  <c r="M75" i="1"/>
  <c r="B75" i="1"/>
  <c r="M74" i="1"/>
  <c r="B74" i="1"/>
  <c r="M73" i="1"/>
  <c r="B73" i="1"/>
  <c r="M72" i="1"/>
  <c r="B72" i="1"/>
  <c r="M71" i="1"/>
  <c r="B71" i="1"/>
  <c r="M70" i="1"/>
  <c r="B70" i="1"/>
  <c r="M69" i="1"/>
  <c r="B69" i="1"/>
  <c r="M68" i="1"/>
  <c r="B68" i="1"/>
  <c r="M67" i="1"/>
  <c r="B67" i="1"/>
  <c r="M66" i="1"/>
  <c r="B66" i="1"/>
  <c r="M65" i="1"/>
  <c r="B65" i="1"/>
  <c r="M64" i="1"/>
  <c r="B64" i="1"/>
  <c r="M63" i="1"/>
  <c r="B63" i="1"/>
  <c r="M62" i="1"/>
  <c r="B62" i="1"/>
  <c r="M61" i="1"/>
  <c r="B61" i="1"/>
  <c r="M60" i="1"/>
  <c r="B60" i="1"/>
  <c r="M59" i="1"/>
  <c r="B59" i="1"/>
  <c r="M58" i="1"/>
  <c r="B58" i="1"/>
  <c r="M57" i="1"/>
  <c r="B57" i="1"/>
  <c r="M56" i="1"/>
  <c r="B56" i="1"/>
  <c r="M55" i="1"/>
  <c r="B55" i="1"/>
  <c r="M54" i="1"/>
  <c r="B54" i="1"/>
  <c r="M53" i="1"/>
  <c r="B53" i="1"/>
  <c r="M52" i="1"/>
  <c r="B52" i="1"/>
  <c r="M51" i="1"/>
  <c r="B51" i="1"/>
  <c r="M50" i="1"/>
  <c r="B50" i="1"/>
  <c r="M49" i="1"/>
  <c r="B49" i="1"/>
  <c r="M48" i="1"/>
  <c r="B48" i="1"/>
  <c r="M47" i="1"/>
  <c r="B47" i="1"/>
  <c r="M46" i="1"/>
  <c r="B46" i="1"/>
  <c r="M45" i="1"/>
  <c r="B45" i="1"/>
  <c r="M44" i="1"/>
  <c r="B44" i="1"/>
  <c r="M43" i="1"/>
  <c r="B43" i="1"/>
  <c r="M42" i="1"/>
  <c r="B42" i="1"/>
  <c r="M41" i="1"/>
  <c r="B41" i="1"/>
  <c r="M40" i="1"/>
  <c r="B40" i="1"/>
  <c r="M39" i="1"/>
  <c r="B39" i="1"/>
  <c r="M38" i="1"/>
  <c r="B38" i="1"/>
  <c r="M37" i="1"/>
  <c r="B37" i="1"/>
  <c r="M36" i="1"/>
  <c r="B36" i="1"/>
  <c r="M35" i="1"/>
  <c r="B35" i="1"/>
  <c r="M34" i="1"/>
  <c r="B34" i="1"/>
  <c r="M33" i="1"/>
  <c r="B33" i="1"/>
  <c r="M32" i="1"/>
  <c r="B32" i="1"/>
  <c r="M31" i="1"/>
  <c r="B31" i="1"/>
  <c r="M30" i="1"/>
  <c r="B30" i="1"/>
  <c r="M29" i="1"/>
  <c r="B29" i="1"/>
  <c r="M28" i="1"/>
  <c r="B28" i="1"/>
  <c r="M27" i="1"/>
  <c r="B27" i="1"/>
  <c r="M26" i="1"/>
  <c r="B26" i="1"/>
  <c r="M25" i="1"/>
  <c r="B25" i="1"/>
  <c r="M24" i="1"/>
  <c r="B24" i="1"/>
  <c r="M23" i="1"/>
  <c r="B23" i="1"/>
  <c r="M22" i="1"/>
  <c r="B22" i="1"/>
  <c r="M21" i="1"/>
  <c r="B21" i="1"/>
  <c r="M20" i="1"/>
  <c r="B20" i="1"/>
  <c r="M19" i="1"/>
  <c r="B19" i="1"/>
  <c r="M18" i="1"/>
  <c r="B18" i="1"/>
  <c r="M17" i="1"/>
  <c r="B17" i="1"/>
  <c r="M16" i="1"/>
  <c r="B16" i="1"/>
  <c r="M15" i="1"/>
  <c r="B15" i="1"/>
  <c r="M14" i="1"/>
  <c r="B14" i="1"/>
  <c r="M13" i="1"/>
  <c r="B13" i="1"/>
  <c r="M12" i="1"/>
  <c r="B12" i="1"/>
  <c r="M11" i="1"/>
  <c r="B11" i="1"/>
  <c r="M10" i="1"/>
  <c r="B10" i="1"/>
  <c r="Q163" i="1" l="1"/>
  <c r="Q8" i="1"/>
  <c r="M9" i="1"/>
  <c r="M8" i="1"/>
  <c r="B9" i="1"/>
  <c r="B8" i="1"/>
</calcChain>
</file>

<file path=xl/sharedStrings.xml><?xml version="1.0" encoding="utf-8"?>
<sst xmlns="http://schemas.openxmlformats.org/spreadsheetml/2006/main" count="3594" uniqueCount="981">
  <si>
    <t>Component list</t>
  </si>
  <si>
    <t>Project:</t>
  </si>
  <si>
    <t>#</t>
  </si>
  <si>
    <t xml:space="preserve">Total Component Cost </t>
  </si>
  <si>
    <t>Single Board Cost</t>
  </si>
  <si>
    <t>Master-Board-v2.0.PrjPcb</t>
  </si>
  <si>
    <t>Item Type</t>
  </si>
  <si>
    <t>Capacitor</t>
  </si>
  <si>
    <t>Capacitors</t>
  </si>
  <si>
    <t>Diode</t>
  </si>
  <si>
    <t>TVS Diodes</t>
  </si>
  <si>
    <t>(TVS/ESD)</t>
  </si>
  <si>
    <t>Schottky Diode</t>
  </si>
  <si>
    <t>Zener diode</t>
  </si>
  <si>
    <t>Fuses</t>
  </si>
  <si>
    <t>Fuse</t>
  </si>
  <si>
    <t>Ferrite Bead</t>
  </si>
  <si>
    <t>USB Connector</t>
  </si>
  <si>
    <t>Connector</t>
  </si>
  <si>
    <t>Terminal Block</t>
  </si>
  <si>
    <t>Male Header</t>
  </si>
  <si>
    <t>Fuse Holder</t>
  </si>
  <si>
    <t>JST Connector</t>
  </si>
  <si>
    <t>FFC/FPC Connector</t>
  </si>
  <si>
    <t>Ethernet Connectors</t>
  </si>
  <si>
    <t>Connectors (RJ45 RJ11)</t>
  </si>
  <si>
    <t>RJ45 Connector</t>
  </si>
  <si>
    <t>Screw terminal</t>
  </si>
  <si>
    <t>Inductors</t>
  </si>
  <si>
    <t>Inductor</t>
  </si>
  <si>
    <t>LED</t>
  </si>
  <si>
    <t>RGB LED</t>
  </si>
  <si>
    <t>Mosfet</t>
  </si>
  <si>
    <t>(BJT)</t>
  </si>
  <si>
    <t>Resistor</t>
  </si>
  <si>
    <t>Resistors</t>
  </si>
  <si>
    <t>Switch</t>
  </si>
  <si>
    <t>DIP Switche</t>
  </si>
  <si>
    <t>DIP Switches</t>
  </si>
  <si>
    <t>RJ45 Transformer</t>
  </si>
  <si>
    <t>IC</t>
  </si>
  <si>
    <t>Oscillators</t>
  </si>
  <si>
    <t>Crystal</t>
  </si>
  <si>
    <t>Designator</t>
  </si>
  <si>
    <t>C1, C5, C70, C71, C73, C125</t>
  </si>
  <si>
    <t>C2, C28, C29</t>
  </si>
  <si>
    <t>C3, C40, C49</t>
  </si>
  <si>
    <t>C4, C6, C7, C9, C10, C30, C32, C34, C35, C36, C38, C39, C43, C45, C46, C47, C48, C56, C60, C61, C62, C63, C64, C65, C66, C67, C68, C69, C72, C74, C75, C80, C81, C85, C86, C88, C90, C92, C93, C94, C95, C96, C97, C98, C99, C100, C101, C102, C103, C104, C105, C106, C107, C108, C109, C110, C111, C112, C113, C114, C115, C116, C117, C118, C119, C120, C121, C122, C123, C124, C127, C128, C129, C135, C143, C145, C151, C152</t>
  </si>
  <si>
    <t>C8, C31, C59, C82, C87, C89, C91</t>
  </si>
  <si>
    <t>C11</t>
  </si>
  <si>
    <t>C12</t>
  </si>
  <si>
    <t>C13</t>
  </si>
  <si>
    <t>C14, C84</t>
  </si>
  <si>
    <t>C15, C17, C27</t>
  </si>
  <si>
    <t>C16, C18, C25, C83, C146, C147, C148, C153, C154</t>
  </si>
  <si>
    <t>C19</t>
  </si>
  <si>
    <t>C20, C21</t>
  </si>
  <si>
    <t>C22, C23, C24</t>
  </si>
  <si>
    <t>C26</t>
  </si>
  <si>
    <t>C33, C37, C42, C44</t>
  </si>
  <si>
    <t>C41, C50</t>
  </si>
  <si>
    <t>C51</t>
  </si>
  <si>
    <t>C52</t>
  </si>
  <si>
    <t>C53</t>
  </si>
  <si>
    <t>C54, C55</t>
  </si>
  <si>
    <t>C57, C58</t>
  </si>
  <si>
    <t>C76, C77, C78, C79</t>
  </si>
  <si>
    <t>C126</t>
  </si>
  <si>
    <t>C130, C131, C132, C133, C138, C139, C140, C141</t>
  </si>
  <si>
    <t>C134, C142</t>
  </si>
  <si>
    <t>C136, C137</t>
  </si>
  <si>
    <t>C144, C149, C150</t>
  </si>
  <si>
    <t>D1, D2, D3, D4, D62, D63, D66, D67</t>
  </si>
  <si>
    <t>D5, D19, D20, D21, D22, D23, D24, D25</t>
  </si>
  <si>
    <t>D6</t>
  </si>
  <si>
    <t>D7</t>
  </si>
  <si>
    <t>D8</t>
  </si>
  <si>
    <t>D9, D69, D70, D72, D73</t>
  </si>
  <si>
    <t>D10, D44, D45, D46, D47, D48, D49, D50, D56, D57, D58, D59, D60</t>
  </si>
  <si>
    <t>D11, D12, D13, D14, D15</t>
  </si>
  <si>
    <t>D16</t>
  </si>
  <si>
    <t>D17</t>
  </si>
  <si>
    <t>D18</t>
  </si>
  <si>
    <t>D26, D27, D28</t>
  </si>
  <si>
    <t>D29, D30, D31, D32</t>
  </si>
  <si>
    <t>D33, D34, D35, D36</t>
  </si>
  <si>
    <t>D37, D38, D39, D40, D41, D42, D43, D51, D52, D53, D54, D55, D61, D64, D65, D68</t>
  </si>
  <si>
    <t>D71</t>
  </si>
  <si>
    <t>F1</t>
  </si>
  <si>
    <t>F2</t>
  </si>
  <si>
    <t>FB1, FB4, FB5, FB6, FB7</t>
  </si>
  <si>
    <t>FB2, FB3</t>
  </si>
  <si>
    <t>J1, J17</t>
  </si>
  <si>
    <t>J2</t>
  </si>
  <si>
    <t>J3, J38</t>
  </si>
  <si>
    <t>J4, J39</t>
  </si>
  <si>
    <t>J5, J40</t>
  </si>
  <si>
    <t>J6, J41</t>
  </si>
  <si>
    <t>J7, J19, J22, J23, J27, J29, J31</t>
  </si>
  <si>
    <t>J8</t>
  </si>
  <si>
    <t>J9</t>
  </si>
  <si>
    <t>J10</t>
  </si>
  <si>
    <t>J11</t>
  </si>
  <si>
    <t>J12, J13</t>
  </si>
  <si>
    <t>J14</t>
  </si>
  <si>
    <t>J15</t>
  </si>
  <si>
    <t>J16</t>
  </si>
  <si>
    <t>J18</t>
  </si>
  <si>
    <t>J20, J21</t>
  </si>
  <si>
    <t>J24, J25</t>
  </si>
  <si>
    <t>J26, J28, J30</t>
  </si>
  <si>
    <t>J32, J33</t>
  </si>
  <si>
    <t>J34</t>
  </si>
  <si>
    <t>J35, J36</t>
  </si>
  <si>
    <t>J37</t>
  </si>
  <si>
    <t>J42, J43</t>
  </si>
  <si>
    <t>L1</t>
  </si>
  <si>
    <t>L2</t>
  </si>
  <si>
    <t>LED1, LED2, LED3, LED4, LED5, LED7, LED20</t>
  </si>
  <si>
    <t>LED6</t>
  </si>
  <si>
    <t>LED8, LED19</t>
  </si>
  <si>
    <t>LED9, LED10, LED11, LED12, LED13, LED14, LED15, LED16, LED17, LED18</t>
  </si>
  <si>
    <t>Q1, Q2</t>
  </si>
  <si>
    <t>Q3</t>
  </si>
  <si>
    <t>Q4</t>
  </si>
  <si>
    <t>Q5</t>
  </si>
  <si>
    <t>Q6, Q11, Q12, Q13, Q14</t>
  </si>
  <si>
    <t>Q7, Q8, Q9, Q10</t>
  </si>
  <si>
    <t>R1, R267</t>
  </si>
  <si>
    <t>R2, R7, R8, R9, R11, R12, R13, R19, R54, R63, R67, R84, R90, R105, R127, R156, R157, R158, R194, R197, R200, R201, R258, R278, R290, R293, R303, R304, R313, R318, R319, R320, R321, R322, R327, R328, R329, R330, R331, R340, R346, R352, R354, R368, R376, R377, R378, R380, R384</t>
  </si>
  <si>
    <t>R3, R268</t>
  </si>
  <si>
    <t>R4, R6, R91, R95, R106, R112</t>
  </si>
  <si>
    <t>R5, R269</t>
  </si>
  <si>
    <t>R10, R141</t>
  </si>
  <si>
    <t>R14, R15, R16, R17, R21, R22, R36, R37, R38, R39, R42, R43, R46, R47, R55, R56, R57, R58, R59, R60, R61, R64, R65, R66, R77, R78, R79, R80, R81, R82, R83, R85, R86, R87, R121, R123, R124, R125, R126, R142, R143, R144, R145, R146, R147, R148, R149, R150, R151, R152, R153, R154, R155, R159, R160, R161, R162, R163, R164, R165, R166, R167, R168, R169, R170, R171, R172, R173, R174, R175, R176, R177, R178, R179, R180, R181, R182, R183, R184, R185, R186, R187, R188, R189, R190, R191, R192, R193, R195, R196, R198, R203, R204, R205, R206, R207, R208, R209, R210, R211, R212, R213, R214, R215, R216, R217, R218, R219, R220, R221, R222, R223, R224, R225, R226, R227, R228, R229, R230, R231, R232, R233, R234, R235, R236, R237, R238, R239, R240, R241, R242, R243, R244, R245, R246, R247, R248, R249, R250, R251, R252, R253, R259, R260, R270, R271, R273, R275, R276, R277, R279, R280, R281, R282, R283, R284, R285, R287, R288, R289, R291, R292, R294, R295, R296, R297, R298, R299, R300, R302, R305, R306, R307, R309, R310, R312, R323, R324, R325, R332, R333, R334, R336, R337, R338, R342, R343, R344, R348, R349, R350, R359, R365, R366, R379, R381, R382, R383, R417, R418, R421, R422</t>
  </si>
  <si>
    <t>R18, R20, R104, R129, R130, R272, R274</t>
  </si>
  <si>
    <t>R23, R26, R29, R30, R33, R34, R35</t>
  </si>
  <si>
    <t>R24, R25</t>
  </si>
  <si>
    <t>R27, R28, R40, R41, R48, R49, R50, R51, R52, R53, R254, R255, R256, R257, R265, R370, R372, R373, R389, R390, R391, R392, R406, R407, R412, R413, R419, R423, R425, R426</t>
  </si>
  <si>
    <t>R31, R32, R44, R45, R408, R409, R414, R415</t>
  </si>
  <si>
    <t>R62, R286, R301, R311, R339, R345, R351</t>
  </si>
  <si>
    <t>R68, R71, R72</t>
  </si>
  <si>
    <t>R69</t>
  </si>
  <si>
    <t>R70</t>
  </si>
  <si>
    <t>R73</t>
  </si>
  <si>
    <t>R74</t>
  </si>
  <si>
    <t>R75</t>
  </si>
  <si>
    <t>R76, R199, R261, R263</t>
  </si>
  <si>
    <t>R88</t>
  </si>
  <si>
    <t>R89</t>
  </si>
  <si>
    <t>R92, R93, R94, R96, R102, R103, R108, R110, R111, R113, R119, R120</t>
  </si>
  <si>
    <t>R97, R98, R99, R100, R114, R115, R116, R117, R355, R356, R357, R358, R361, R362, R363, R364</t>
  </si>
  <si>
    <t>R101, R118</t>
  </si>
  <si>
    <t>R107, R131, R132, R133, R134, R135, R136, R137, R138, R139, R140</t>
  </si>
  <si>
    <t>R109</t>
  </si>
  <si>
    <t>R122</t>
  </si>
  <si>
    <t>R128</t>
  </si>
  <si>
    <t>R202, R308, R314, R315, R316, R317, R326, R335, R341, R347, R353</t>
  </si>
  <si>
    <t>R262, R264, R266</t>
  </si>
  <si>
    <t>R360, R371, R374, R375</t>
  </si>
  <si>
    <t>R367</t>
  </si>
  <si>
    <t>R369</t>
  </si>
  <si>
    <t>R385, R386, R387, R388</t>
  </si>
  <si>
    <t>R393, R394, R395, R396, R397, R398, R399, R400, R401, R402, R403, R404</t>
  </si>
  <si>
    <t>R405, R410, R411, R416</t>
  </si>
  <si>
    <t>R420</t>
  </si>
  <si>
    <t>R424</t>
  </si>
  <si>
    <t>SW1, SW2, SW3, SW4, SW5, SW6, SW9, SW11, SW12</t>
  </si>
  <si>
    <t>SW7</t>
  </si>
  <si>
    <t>SW8</t>
  </si>
  <si>
    <t>SW10</t>
  </si>
  <si>
    <t>T1, T2</t>
  </si>
  <si>
    <t>U1, U20</t>
  </si>
  <si>
    <t>U2</t>
  </si>
  <si>
    <t>U3</t>
  </si>
  <si>
    <t>U4, U19, U21</t>
  </si>
  <si>
    <t>U5, U6, U7, U8, U32, U33, U34, U35</t>
  </si>
  <si>
    <t>U9, U22, U23, U24</t>
  </si>
  <si>
    <t>U10, U17</t>
  </si>
  <si>
    <t>U11</t>
  </si>
  <si>
    <t>U12</t>
  </si>
  <si>
    <t>U13</t>
  </si>
  <si>
    <t>U14</t>
  </si>
  <si>
    <t>U15</t>
  </si>
  <si>
    <t>U16</t>
  </si>
  <si>
    <t>U18</t>
  </si>
  <si>
    <t>U25, U26</t>
  </si>
  <si>
    <t>U27, U28, U29</t>
  </si>
  <si>
    <t>U30</t>
  </si>
  <si>
    <t>U31</t>
  </si>
  <si>
    <t>U36</t>
  </si>
  <si>
    <t>U37</t>
  </si>
  <si>
    <t>U38</t>
  </si>
  <si>
    <t>X1</t>
  </si>
  <si>
    <t>X2</t>
  </si>
  <si>
    <t>X3</t>
  </si>
  <si>
    <t>X4</t>
  </si>
  <si>
    <t>X5</t>
  </si>
  <si>
    <t>Description</t>
  </si>
  <si>
    <t>CAP CER 1UF 16V X5R 0402</t>
  </si>
  <si>
    <t>CAP CER 4.7UF 25V X7R 0805</t>
  </si>
  <si>
    <t>CAP CER 10UF 16V X5R 0603</t>
  </si>
  <si>
    <t>CAP CER 0.1UF 16V X7R 0402</t>
  </si>
  <si>
    <t>CAP CER 4.7UF 10V X5R 0402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</si>
  <si>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</si>
  <si>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</si>
  <si>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</si>
  <si>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</si>
  <si>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</si>
  <si>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</si>
  <si>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</si>
  <si>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0.22 uF, 50 V, ± 10%, X7R, 0603 [1608 Metric]</t>
  </si>
  <si>
    <t>CAP CER 47UF 25V X5R 1206</t>
  </si>
  <si>
    <t>CAP CER 6.8PF 50V C0G/NPO 0402</t>
  </si>
  <si>
    <t>CAP CER 22UF 25V X5R 0805</t>
  </si>
  <si>
    <t>CAP CER 1000PF 2KV X7R 1206</t>
  </si>
  <si>
    <t>CAP CER 100PF 50V C0G/NPO 0402</t>
  </si>
  <si>
    <t>CAP CER 1000PF 25V X7R 0402</t>
  </si>
  <si>
    <t>CAP CER 10000PF 25V X7R 0402</t>
  </si>
  <si>
    <t>CAP CER 18PF 50V C0G/NP0 0402</t>
  </si>
  <si>
    <t>CAP CER 2.2UF 25V X5R 0402</t>
  </si>
  <si>
    <t>CAP CER 15PF 50V C0G/NPO 0201</t>
  </si>
  <si>
    <t>50V 470pF ±10% 0402 Multilayer Ceramic Capacitors MLCC - SMD/SMT ROHS</t>
  </si>
  <si>
    <t>CAP CER 10PF 50V C0G/NP0 0402</t>
  </si>
  <si>
    <t>CAP CER 0.022UF 16V X7R 0402</t>
  </si>
  <si>
    <t>CAP CER 30PF 50V C0G/NPO 0402</t>
  </si>
  <si>
    <t>CAP CER 10UF 16V X7R 0805</t>
  </si>
  <si>
    <t>DIODE GEN PURP 100V 300MA SOD123</t>
  </si>
  <si>
    <t>TVS DIODE 24VWM 40VC SOT23-3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</si>
  <si>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</si>
  <si>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</si>
  <si>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</si>
  <si>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</si>
  <si>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</si>
  <si>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DIODE BIDIR ESD X4DFN2</t>
  </si>
  <si>
    <t>TVS DIODE 3VWM SOT323-5</t>
  </si>
  <si>
    <t>TVS DIODE 5VWM 11.6VC 1610</t>
  </si>
  <si>
    <t>TVS DIODE 3VWM ST0201</t>
  </si>
  <si>
    <t>SOT-23 TVS ROHS</t>
  </si>
  <si>
    <t>60V 700mV@1A 1A SMA(DO-214AC) Schottky Barrier Diodes (SBD) ROHS</t>
  </si>
  <si>
    <t>DIODE ZENER 16V 1.5W SMA</t>
  </si>
  <si>
    <t>DIODE ZENER 3.3V 200MW SOD323F</t>
  </si>
  <si>
    <t>DIODE SCHOTTKY 40V 1A SOD123</t>
  </si>
  <si>
    <t>PTC RESET FUSE 6V 1.1A 0805</t>
  </si>
  <si>
    <t>6V 500mA 40A 1A 0603 Resettable Fuses ROHS</t>
  </si>
  <si>
    <t>FERRITE BEAD 220 OHM 0603 1LN</t>
  </si>
  <si>
    <t>Ferrite Beads Multi-Layer 120Ohm 25% 100MHz 2A 50mOhm DCR 0603 Paper T/R</t>
  </si>
  <si>
    <t>5A 1 16P Female Type-C SMD USB Connectors ROHS</t>
  </si>
  <si>
    <t>1x6P SH 1 1mm 6 SMD,P=1mm Wire To Board / Wire To Wire Connector ROHS</t>
  </si>
  <si>
    <t>1x2P 18A -40℃~+105℃ 250V Orange 12~30 Straight 5.08mm 2.5 1 2 Plugin,P=5.08mm Screw terminal ROHS</t>
  </si>
  <si>
    <t>1x2P 20A -40℃~+105℃ 300V Gray 12~30 Straight 5.08mm 1~2.5 1 2 Plugin,P=5.08mm Screw terminal ROHS</t>
  </si>
  <si>
    <t>1x2P 18A -40℃~+105℃ 250V Green 12~30 Straight 5.08mm 2.5 1 2 Plugin,P=5.08mm Screw terminal ROHS</t>
  </si>
  <si>
    <t>1x2P 18A -40℃~+105℃ 250V Black 12~30 Straight pin 5.08mm 2.5 1 2 Plugin,P=5.08mm Screw terminal ROHS</t>
  </si>
  <si>
    <t>Gold 250V 3A Straight Square Pins 2.5mm 2P 260℃ 6mm -40℃~+105℃ 3mm 2.54mm Plugin Black Brass 1x2P Plugin,P=2.54mm Pin Headers ROHS</t>
  </si>
  <si>
    <t>FUSE HOLDER BLADE 80V PCB</t>
  </si>
  <si>
    <t>1x3P 18A -40℃~+105℃ 250V Orange 12~30 Direct Insert 5.08mm 2.5 1 3 Plugin,P=5.08mm Screw Terminal Blocks ROHS</t>
  </si>
  <si>
    <t>CONN HEADER VERT 4POS 2.5MM</t>
  </si>
  <si>
    <t>Slide Lock 32P Contact,Top Surface Mount，Right Angle 0.5mm SMD,P=0.5mm,Surface Mount，Right Angle FFC/FPC Connectors ROHS</t>
  </si>
  <si>
    <t>CONN MOD JACK 8P8C R/A SHIELDED</t>
  </si>
  <si>
    <t>CABLE ADAPTER 6 POS</t>
  </si>
  <si>
    <t>Gold 250V 3A Straight Square Pins 2.5mm 3P 260℃ 6mm -40℃~+105℃ 3mm 2.54mm Plugin Black Brass 1x3P Plugin,P=2.54mm Pin Headers ROHS</t>
  </si>
  <si>
    <t>1.8A USB 2.0 1 260℃ Surface Mount 5P Female -40℃~+85℃ Gold Copper Alloy Micro-B SMD USB Connectors ROHS</t>
  </si>
  <si>
    <t>RJ45Receptacle 4 Unshielded Bend-in Gold Phosphor Bronze Without LED -40℃~+85℃ Plugin Ethernet Connectors / Modular Connectors (RJ45 RJ11) ROHS</t>
  </si>
  <si>
    <t>1x3P 18A -40℃~+105℃ 250V Black 12~30 Straight pin 5.08mm 2.5 1 3 Plugin,P=5.08mm Screw terminal ROHS</t>
  </si>
  <si>
    <t>1x3P 18A -40℃~+105℃ 250V Green 12~30 Direct Insert 5.08mm 2.5 1 3 Plugin,P=5.08mm Screw Terminal Blocks ROHS</t>
  </si>
  <si>
    <t>1x3P 20A -40℃~+105℃ 300V Gray 12~30 Direct Insert 5.08mm 1~2.5 1 3 Plugin,P=5.08mm Screw Terminal Blocks ROHS</t>
  </si>
  <si>
    <t>RJ45 RJReceptacle 1 WithLED Plugin Ethernet Connectors/Modular Connectors (RJ45 RJ11) ROHS</t>
  </si>
  <si>
    <t>1x5P 20A -40℃~+105℃ 300V Green 12~30 Direct Insert 5.08mm 2.5 1 5 Plugin,P=5.08mm Screw Terminal Blocks ROHS</t>
  </si>
  <si>
    <t>1x7P 20A -40℃~+105℃ 300V Green 12~30 Direct Insert 5.08mm 2.5 1 7 Plugin,P=5.08mm Screw Terminal Blocks ROHS</t>
  </si>
  <si>
    <t>1x12P 20A -40℃~+105℃ 300V Green 12~30 Direct Insert 5.08mm 2.5 1 12 Plugin,P=5.08mm Screw Terminal Blocks ROHS</t>
  </si>
  <si>
    <t>1x4P 20A -40℃~+105℃ 300V Green 12~30 Straight 5.08mm 2.5 1 4 Plugin,P=5.08mm Screw terminal ROHS</t>
  </si>
  <si>
    <t>FIXED IND 15UH 9A 28 MOHM SMD</t>
  </si>
  <si>
    <t>590mA 22uH ±20% SMD,4x4x1.8mm Power Inductors ROHS</t>
  </si>
  <si>
    <t>RED LED 0603 Light Emitting Diodes</t>
  </si>
  <si>
    <t>yellow 0603 Light Emitting Diodes (LED) ROHS</t>
  </si>
  <si>
    <t>Emerald 0603 Light Emitting Diodes (LED) ROHS</t>
  </si>
  <si>
    <t>Plugin,D=5mm RGB LEDs ROHS</t>
  </si>
  <si>
    <t>25V 300mW 120@100mA,1V 1.5A NPN SOT-23 Bipolar Transistors - BJT ROHS</t>
  </si>
  <si>
    <t>MOSFET N-CH 60V 15A PWRDI3333</t>
  </si>
  <si>
    <t>30V 5.8A 32mΩ@10V,5.8A 1.4W 1.4V@250uA N Channel SOT-23 MOSFETs ROHS</t>
  </si>
  <si>
    <t>N-CHANNEL 20-V (D-S) MOSFET</t>
  </si>
  <si>
    <t>40V 200mW 100 200mA NPN SOT-23 Bipolar (BJT) ROHS</t>
  </si>
  <si>
    <t>Trans Mosfet P-ch 30V 4A 3-PIN SOT-23 T/r</t>
  </si>
  <si>
    <t>RES 2K OHM 1% 1/16W 0402</t>
  </si>
  <si>
    <t>RES 10K OHM 1% 1/16W 0402</t>
  </si>
  <si>
    <t>RES 22.1K OHM 1% 1/10W 0603</t>
  </si>
  <si>
    <t>RES SMD 220 OHM 1% 1/10W 0603</t>
  </si>
  <si>
    <t>RES 47.5K OHM 1% 1/10W 0603</t>
  </si>
  <si>
    <t>RES 0 OHM JUMPER 1/16W 0402</t>
  </si>
  <si>
    <t>RES 5.1K OHM 1% 1/16W 0402</t>
  </si>
  <si>
    <t>RES 49.9 OHM 1% 1/16W 0402</t>
  </si>
  <si>
    <t>RES 4.7K OHM 1% 1/16W 0402</t>
  </si>
  <si>
    <t>62.5mW Thick Film Resistors 50V ±100ppm/℃ ±1% 4.3kΩ 0402 Chip Resistor - Surface Mount ROHS</t>
  </si>
  <si>
    <t>RES 120 OHM 1% 1/10W 0603</t>
  </si>
  <si>
    <t>RES SMD 100K OHM 0.1% 1/16W 0402</t>
  </si>
  <si>
    <t>RES 3.9K OHM 1% 1/16W 0402</t>
  </si>
  <si>
    <t>RES SMD 698K OHM 0.1% 1/8W 0805</t>
  </si>
  <si>
    <t>RES SMD 51.1K OHM 0.1% 1/8W 0805</t>
  </si>
  <si>
    <t>RES SMD 24.9KOHM 0.1% 1/16W 0402</t>
  </si>
  <si>
    <t>RES 499 OHM 1% 1/16W 0402</t>
  </si>
  <si>
    <t>RES 240 OHM 1% 1/16W 0402</t>
  </si>
  <si>
    <t>RES 2.2 OHM 1% 1/10W 0603</t>
  </si>
  <si>
    <t>RES 33 OHM 1% 1/16W 0402</t>
  </si>
  <si>
    <t>RES SMD 51R 100mW 0603</t>
  </si>
  <si>
    <t>RES 49.9 OHM 1% 1/10W 0603</t>
  </si>
  <si>
    <t>RES 75 OHM 1% 1/10W 0603</t>
  </si>
  <si>
    <t>RES 1K OHM 1% 1/16W 0402</t>
  </si>
  <si>
    <t>RES SMD 11.8K OHM 0.1% 1/10W 0603</t>
  </si>
  <si>
    <t>RES 1M OHM 1% 1/16W 0402</t>
  </si>
  <si>
    <t>RES 75 OHM 5% 1/16W 0402</t>
  </si>
  <si>
    <t>RES 47K OHM 1% 1/16W 0402</t>
  </si>
  <si>
    <t>RES  SMD 330R 100 mW 0603</t>
  </si>
  <si>
    <t>RES SMD 12.1KOHM 0.1% 1/16W 0402</t>
  </si>
  <si>
    <t>RES 20K OHM 1% 1/16W 0402</t>
  </si>
  <si>
    <t>RES 100 OHM 1% 1/16W 0402</t>
  </si>
  <si>
    <t>RES 120 OHM 5% 1/10W 0603</t>
  </si>
  <si>
    <t>RES 51K OHM 0.1% 1/16W 0402</t>
  </si>
  <si>
    <t>RES 2.7K OHM 1% 1/16W 0402</t>
  </si>
  <si>
    <t>SWITCH TACTILE SPST-NO 0.05A 12V</t>
  </si>
  <si>
    <t>7Bit SPST 24V 25mA Black 3千次 Slide (Standard),凸起式 SMD-14P,6x17.8mm DIP Switches ROHS</t>
  </si>
  <si>
    <t>Gull Wing SPST 24V 25mA Black -20℃~+70℃ 3000 Flat dial, raised type 2.54mm 5 SMD-10P,6x12.6mm DIP Switches ROHS</t>
  </si>
  <si>
    <t>3 positions SPST Black Flat Toggle, Raised Style SMD-6P,6x7.6mm DIP Switches ROHS</t>
  </si>
  <si>
    <t>XFRMR MAGNETIC 1PORT 1:1 10/100</t>
  </si>
  <si>
    <t>Full Speed USB to UART Bridge USB 2.0 3.3V T/R Automotive 28-Pin QFN EP</t>
  </si>
  <si>
    <t>RX TXRX MOD WIFI TRACE ANT SMD</t>
  </si>
  <si>
    <t>8-bit I2C IO Expander 20TSSOP</t>
  </si>
  <si>
    <t>6A 12V 150W 6V Unidirectional 5V SOT-23-6 ESD and Surge Protection (TVS/ESD) ROHS</t>
  </si>
  <si>
    <t>70V 5kV 50mA 100mV@1mA,20mA 1 6V 1.2V DC SMD-4 Transistor Output Optocoupler ROHS</t>
  </si>
  <si>
    <t>IC TRANSCEIVER HALF 1/1 8SOIC</t>
  </si>
  <si>
    <t>IC TRANSLTR BIDIRECTIONAL 8VSSOP</t>
  </si>
  <si>
    <t>OR Controller N+1 ORing Controller N-Channel 1:1 SOT-23-6</t>
  </si>
  <si>
    <t>IC REG BUCK ADJ 4A 13WQFN</t>
  </si>
  <si>
    <t>IC REG LINEAR 3.3V 1.3A 6DFN</t>
  </si>
  <si>
    <t>IC ETHERNET SWITCH 3PORT 48-LQFP</t>
  </si>
  <si>
    <t>IC EEPROM 2KBIT I2C 1MHZ 8SOIC</t>
  </si>
  <si>
    <t>IC MCU 32BIT 1MB FLASH 144LQFP</t>
  </si>
  <si>
    <t>IC PWR SWITCH N-CHAN 1:1 SOT23-5</t>
  </si>
  <si>
    <t>IC TRANSCEIVER FULL 1/1 16VQFN</t>
  </si>
  <si>
    <t>2/3-PORT ETHERCAT SLAVE CTLR</t>
  </si>
  <si>
    <t>IC EEPROM 256KBIT I2C 1MHZ 8SOIC</t>
  </si>
  <si>
    <t>IC ADC 16BIT SIGMA-DELTA 10VSSOP</t>
  </si>
  <si>
    <t>I2C ESOP-10 Digital to Analog Converters (DAC) ROHS</t>
  </si>
  <si>
    <t>boost converterType 1 Boost 28V 2V~24V 1.2MHz SOT-23-6 DC-DC Converters ROHS</t>
  </si>
  <si>
    <t>XTAL OSC XO 25.0000MHZ CMOS SMD</t>
  </si>
  <si>
    <t>CRYSTAL 25.0000MHZ 12PF SMD</t>
  </si>
  <si>
    <t>CRYSTAL 32.7680KHZ 12.5PF SMD</t>
  </si>
  <si>
    <t>25MHz 贴片晶振 18pF ±10ppm ±20ppm SMD3225-4P Crystals ROHS</t>
  </si>
  <si>
    <t>Footprint</t>
  </si>
  <si>
    <t>Cap-0402</t>
  </si>
  <si>
    <t>Cap-0805</t>
  </si>
  <si>
    <t>Cap-0603</t>
  </si>
  <si>
    <t>UCD-220uF-10mmDia</t>
  </si>
  <si>
    <t>RVT1H470M0607</t>
  </si>
  <si>
    <t>Cap-1206</t>
  </si>
  <si>
    <t>Cap-0201</t>
  </si>
  <si>
    <t>SOD-123</t>
  </si>
  <si>
    <t>SOT-23</t>
  </si>
  <si>
    <t>SMB_</t>
  </si>
  <si>
    <t>DFN-2(0.3x0.6)</t>
  </si>
  <si>
    <t>SOT-323-5</t>
  </si>
  <si>
    <t>Diode 1610</t>
  </si>
  <si>
    <t>Diode-0201</t>
  </si>
  <si>
    <t>SMA</t>
  </si>
  <si>
    <t>SOD323F</t>
  </si>
  <si>
    <t>Fuse-0805</t>
  </si>
  <si>
    <t>Fuse-0603</t>
  </si>
  <si>
    <t>IND-0603 (1608 Metric)</t>
  </si>
  <si>
    <t>DB128L-5.08-2P-OG-S</t>
  </si>
  <si>
    <t>DB128L-5.08-2P-GY-S</t>
  </si>
  <si>
    <t>DB128L-5.08-2P-GN-S</t>
  </si>
  <si>
    <t>DB128L-5.08-2P-BK-S</t>
  </si>
  <si>
    <t>HDR1X2_</t>
  </si>
  <si>
    <t>178.6165.0002</t>
  </si>
  <si>
    <t>DB128L-5.08-3P-OG-S</t>
  </si>
  <si>
    <t>AFC07-S32ECA-00</t>
  </si>
  <si>
    <t>2-406549-1</t>
  </si>
  <si>
    <t>HDR1X3_</t>
  </si>
  <si>
    <t>U254-051T-4BH83-F1S</t>
  </si>
  <si>
    <t>X14CBIWB1DY1027</t>
  </si>
  <si>
    <t>DB128L-5.08-3P-BK-S</t>
  </si>
  <si>
    <t>DB128L-5.08-3P-GN-S</t>
  </si>
  <si>
    <t>DB128L-5.08-3P-GY-S</t>
  </si>
  <si>
    <t>HR911105A</t>
  </si>
  <si>
    <t>DB128V-5.08-5P-GN-S</t>
  </si>
  <si>
    <t>DB128V-5.08-7P-GN-S</t>
  </si>
  <si>
    <t>DB128V-5.08-12P-GN-S</t>
  </si>
  <si>
    <t>DB128V-5.08-4P-GN-S</t>
  </si>
  <si>
    <t>SRP1265A-150M</t>
  </si>
  <si>
    <t>YNR4018-220M</t>
  </si>
  <si>
    <t>LED-0603</t>
  </si>
  <si>
    <t>WS2812D-F5</t>
  </si>
  <si>
    <t>PowerDI-3333-8</t>
  </si>
  <si>
    <t>sot-23</t>
  </si>
  <si>
    <t>Sot-23</t>
  </si>
  <si>
    <t>Res-0402</t>
  </si>
  <si>
    <t>Res-0603</t>
  </si>
  <si>
    <t>RES-0805</t>
  </si>
  <si>
    <t>B3U-1000P</t>
  </si>
  <si>
    <t>DSIC07LS-P</t>
  </si>
  <si>
    <t>DSIC03LSGET</t>
  </si>
  <si>
    <t>28-QFN (5x5)_</t>
  </si>
  <si>
    <t>38-SMD Module</t>
  </si>
  <si>
    <t>TSSOP-20</t>
  </si>
  <si>
    <t>SOT-23-6</t>
  </si>
  <si>
    <t>PC817C</t>
  </si>
  <si>
    <t>SOIC-8(0.154", 3.90mm Width)</t>
  </si>
  <si>
    <t>VSSOP-8(3.1x2.1)</t>
  </si>
  <si>
    <t>13-WQFN-HR (3x2)</t>
  </si>
  <si>
    <t>DFN-6(3x3)</t>
  </si>
  <si>
    <t>48-LQFP (7x7)</t>
  </si>
  <si>
    <t>LQFP-144(20x20)</t>
  </si>
  <si>
    <t>SOT-23-5</t>
  </si>
  <si>
    <t>16-QFN (3x3).</t>
  </si>
  <si>
    <t>QFN-64-EP(9x9)</t>
  </si>
  <si>
    <t>CAT24C256WI-GT3</t>
  </si>
  <si>
    <t>VSSOP-10</t>
  </si>
  <si>
    <t>ESOP-10</t>
  </si>
  <si>
    <t>SMD2520-4P</t>
  </si>
  <si>
    <t>Q22FA12800090</t>
  </si>
  <si>
    <t>SMD3225-4P</t>
  </si>
  <si>
    <t>Manufacturer Part Number</t>
  </si>
  <si>
    <t>CC0402KRX5R7BB105</t>
  </si>
  <si>
    <t>CC0805KKX7R8BB475</t>
  </si>
  <si>
    <t>CC0603KRX5R7BB106</t>
  </si>
  <si>
    <t>CC0402JRX7R7BB104</t>
  </si>
  <si>
    <t>CC0402KRX5R6BB475</t>
  </si>
  <si>
    <t>UCD1H221MNL1GS</t>
  </si>
  <si>
    <t>CC0805JRX7R0BB223</t>
  </si>
  <si>
    <t>GRM21BR61H106ME43L</t>
  </si>
  <si>
    <t>CL10A105KB8NNNC</t>
  </si>
  <si>
    <t>UMK316AB7475KL-T</t>
  </si>
  <si>
    <t>CC0603KRX7R9BB224</t>
  </si>
  <si>
    <t>GRM31CR61E476ME44L</t>
  </si>
  <si>
    <t>CC0402CRNPO9BN6R8</t>
  </si>
  <si>
    <t>CC0805MKX5R8BB226</t>
  </si>
  <si>
    <t>CC1206KKX7RDBB102</t>
  </si>
  <si>
    <t>CC0402JRNPO9BN101</t>
  </si>
  <si>
    <t>CC0402KRX7R8BB102</t>
  </si>
  <si>
    <t>CC0402KRX7R8BB103</t>
  </si>
  <si>
    <t>GCM1555C1H180GA16D</t>
  </si>
  <si>
    <t>GRM155R61E225KE11D</t>
  </si>
  <si>
    <t>CC0201JRNPO9BN150</t>
  </si>
  <si>
    <t>GRM155R11H471KA01D</t>
  </si>
  <si>
    <t>GRM1555C1H100JA01D</t>
  </si>
  <si>
    <t>CC0402JRX7R7BB223</t>
  </si>
  <si>
    <t>CC0402GRNPO9BN300</t>
  </si>
  <si>
    <t>EMK212BB7106MG-T</t>
  </si>
  <si>
    <t>1N4148W-7-F</t>
  </si>
  <si>
    <t>CDSOT23-T24CAN-Q</t>
  </si>
  <si>
    <t>SMBJ58A-13-F</t>
  </si>
  <si>
    <t>AZ4024-01G</t>
  </si>
  <si>
    <t>SMBJ26A-13-F</t>
  </si>
  <si>
    <t>AZ3005-01G</t>
  </si>
  <si>
    <t>AZ3003-01G</t>
  </si>
  <si>
    <t>ESDM2033MX4T5G</t>
  </si>
  <si>
    <t>ESDALC6V1W5</t>
  </si>
  <si>
    <t>ESDA7P60-1U1M</t>
  </si>
  <si>
    <t>ESDALC6V1-1U2</t>
  </si>
  <si>
    <t>SM712</t>
  </si>
  <si>
    <t>SS16</t>
  </si>
  <si>
    <t>1SMA5930BT3G</t>
  </si>
  <si>
    <t>MM3Z3V3B</t>
  </si>
  <si>
    <t>1N5819HW-7-F</t>
  </si>
  <si>
    <t>0805L110SLYR</t>
  </si>
  <si>
    <t>SMD0603-050</t>
  </si>
  <si>
    <t>BLM18PG221SN1D</t>
  </si>
  <si>
    <t>BLM18PG121SN1D</t>
  </si>
  <si>
    <t>TYPE-C-31-M-12</t>
  </si>
  <si>
    <t>C145963</t>
  </si>
  <si>
    <t>X6511WV-02H-C60D30</t>
  </si>
  <si>
    <t>B4B-XH-A(LF)(SN)</t>
  </si>
  <si>
    <t>TC2030-IDC</t>
  </si>
  <si>
    <t>X6511WV-03H-C60D30</t>
  </si>
  <si>
    <t>NCD0603R3</t>
  </si>
  <si>
    <t>NCD0603Y2</t>
  </si>
  <si>
    <t>NCD0603G2</t>
  </si>
  <si>
    <t>SS8050-G</t>
  </si>
  <si>
    <t>DMT6007LFG-7</t>
  </si>
  <si>
    <t>AO3400A</t>
  </si>
  <si>
    <t>SI2302CDS</t>
  </si>
  <si>
    <t>MMBT3904</t>
  </si>
  <si>
    <t>AO3401A</t>
  </si>
  <si>
    <t>RC0402FR-0710KL</t>
  </si>
  <si>
    <t>RC0603FR-0722K1L</t>
  </si>
  <si>
    <t>RC0603FR-07220RL</t>
  </si>
  <si>
    <t>RC0603FR-0747K5L</t>
  </si>
  <si>
    <t>RC0402FR-070RL</t>
  </si>
  <si>
    <t>RC0402FR-075K1L</t>
  </si>
  <si>
    <t>RC0402FR-0749R9L</t>
  </si>
  <si>
    <t>RC0402FR-074K7L</t>
  </si>
  <si>
    <t>0402WGF4301TCE</t>
  </si>
  <si>
    <t>RC0603FR-07120RL</t>
  </si>
  <si>
    <t>RT0402BRD07100KL</t>
  </si>
  <si>
    <t>RC0402FR-073K9L</t>
  </si>
  <si>
    <t>RT0805BRD07698KL</t>
  </si>
  <si>
    <t>RT0805BRD0751K1L</t>
  </si>
  <si>
    <t>RT0402BRD0724K9L</t>
  </si>
  <si>
    <t>RC0402FR-07499RL</t>
  </si>
  <si>
    <t>RC0402FR-07240RL</t>
  </si>
  <si>
    <t>RC0603FR-072R2L</t>
  </si>
  <si>
    <t>RC0402FR-0733RL</t>
  </si>
  <si>
    <t>RC0603FR-0751RL</t>
  </si>
  <si>
    <t>RC0603FR-0749R9L</t>
  </si>
  <si>
    <t>RC0603FR-0775RL</t>
  </si>
  <si>
    <t>RC0402FR-071KL</t>
  </si>
  <si>
    <t>RC0402FR-071ML</t>
  </si>
  <si>
    <t>RC0402JR-0775RL</t>
  </si>
  <si>
    <t>RC0402FR-0747KL</t>
  </si>
  <si>
    <t>RC0603JR-07330RL</t>
  </si>
  <si>
    <t>RT0402BRD0712K1L</t>
  </si>
  <si>
    <t>RC0402FR-0720KL</t>
  </si>
  <si>
    <t>RC0402FR-07100RL</t>
  </si>
  <si>
    <t>RC0603JR-07120RL</t>
  </si>
  <si>
    <t>AT0402BRD0751KL</t>
  </si>
  <si>
    <t>DSIC05LS-P</t>
  </si>
  <si>
    <t>H1102NL</t>
  </si>
  <si>
    <t>CP2102N-A02-GQFN28R</t>
  </si>
  <si>
    <t>ESP32-WROOM-32E-N16</t>
  </si>
  <si>
    <t>PCF8574APWR</t>
  </si>
  <si>
    <t>USBLC6-2SC6</t>
  </si>
  <si>
    <t>TCAN3414DR</t>
  </si>
  <si>
    <t>TXS0102DCUR</t>
  </si>
  <si>
    <t>LM74700QDBVRQ1</t>
  </si>
  <si>
    <t>LM60440AQRPKRQ1</t>
  </si>
  <si>
    <t>ST1L05APU33R</t>
  </si>
  <si>
    <t>KSZ8863RLLI</t>
  </si>
  <si>
    <t>AT24C02C-SSHM-T</t>
  </si>
  <si>
    <t>STM32H723ZGT6</t>
  </si>
  <si>
    <t>STMPS2161STR</t>
  </si>
  <si>
    <t>TRSF3221EIRGTR</t>
  </si>
  <si>
    <t>THVD1449DR</t>
  </si>
  <si>
    <t>LAN9253-I/R4X</t>
  </si>
  <si>
    <t>ADS1113IDGSR</t>
  </si>
  <si>
    <t>GP8413-TC50-EW</t>
  </si>
  <si>
    <t>MT3608</t>
  </si>
  <si>
    <t>ECS-2033-250-BN</t>
  </si>
  <si>
    <t>NX3215SA-32.768K-STD-MUA-8</t>
  </si>
  <si>
    <t>X322525MRB4SI</t>
  </si>
  <si>
    <t>Manufacturer</t>
  </si>
  <si>
    <t>Yageo</t>
  </si>
  <si>
    <t>Nichicon</t>
  </si>
  <si>
    <t>ROQANG</t>
  </si>
  <si>
    <t>Murata</t>
  </si>
  <si>
    <t>Samsung</t>
  </si>
  <si>
    <t>Taiyo Yuden</t>
  </si>
  <si>
    <t>Murata Electronics</t>
  </si>
  <si>
    <t>Diodes</t>
  </si>
  <si>
    <t>Bourns</t>
  </si>
  <si>
    <t>AMAZING</t>
  </si>
  <si>
    <t>Amazing</t>
  </si>
  <si>
    <t>ON Semiconductor</t>
  </si>
  <si>
    <t>STMicroelectronics</t>
  </si>
  <si>
    <t>TECH PUBLIC</t>
  </si>
  <si>
    <t>MDD</t>
  </si>
  <si>
    <t>onsemi</t>
  </si>
  <si>
    <t>ON Semiconductor / Fairchild</t>
  </si>
  <si>
    <t>Littelfuse</t>
  </si>
  <si>
    <t>TECHFUSE</t>
  </si>
  <si>
    <t>Korean Hroparts Elec</t>
  </si>
  <si>
    <t>BOOMELE</t>
  </si>
  <si>
    <t>DORABO</t>
  </si>
  <si>
    <t>DIBO</t>
  </si>
  <si>
    <t>XKB</t>
  </si>
  <si>
    <t>Littelfuse Wickmann</t>
  </si>
  <si>
    <t>JST</t>
  </si>
  <si>
    <t>JUSHUO</t>
  </si>
  <si>
    <t>TE Connectivity</t>
  </si>
  <si>
    <t>Tag-Connect</t>
  </si>
  <si>
    <t>XKB Connection</t>
  </si>
  <si>
    <t>HANRUN</t>
  </si>
  <si>
    <t>YJYCOIN</t>
  </si>
  <si>
    <t>Foshan NationStar Optoelectronics</t>
  </si>
  <si>
    <t>Worldsemi</t>
  </si>
  <si>
    <t>Jiangsu Changjing Electronics Technology</t>
  </si>
  <si>
    <t>BORN</t>
  </si>
  <si>
    <t>ElecSuper</t>
  </si>
  <si>
    <t>Alpha &amp; Omega Semiconductor</t>
  </si>
  <si>
    <t>Royal Electronic Factory</t>
  </si>
  <si>
    <t>Omron</t>
  </si>
  <si>
    <t>XKB Connectivity</t>
  </si>
  <si>
    <t>DongGuan KINGTEK Industrial Co.,LTD</t>
  </si>
  <si>
    <t>Pulse</t>
  </si>
  <si>
    <t>Silicon Labs</t>
  </si>
  <si>
    <t>Espressif Systems</t>
  </si>
  <si>
    <t>Texas Instruments</t>
  </si>
  <si>
    <t>Slkor</t>
  </si>
  <si>
    <t>Microchip</t>
  </si>
  <si>
    <t>Guestgood</t>
  </si>
  <si>
    <t>XI'AN Aerosemi Tech</t>
  </si>
  <si>
    <t>ECS International</t>
  </si>
  <si>
    <t>Seiko Epson</t>
  </si>
  <si>
    <t>NDK</t>
  </si>
  <si>
    <t>YXC</t>
  </si>
  <si>
    <t>LCSC Part Number</t>
  </si>
  <si>
    <t>C325464</t>
  </si>
  <si>
    <t>C354262</t>
  </si>
  <si>
    <t>C2936601</t>
  </si>
  <si>
    <t>C541464</t>
  </si>
  <si>
    <t>C326586</t>
  </si>
  <si>
    <t>C116211</t>
  </si>
  <si>
    <t>C72523</t>
  </si>
  <si>
    <t>C576993</t>
  </si>
  <si>
    <t>C2190942</t>
  </si>
  <si>
    <t>C15849</t>
  </si>
  <si>
    <t>C307348</t>
  </si>
  <si>
    <t>C92853</t>
  </si>
  <si>
    <t>C107083</t>
  </si>
  <si>
    <t>C403725</t>
  </si>
  <si>
    <t>C189470</t>
  </si>
  <si>
    <t>C784585</t>
  </si>
  <si>
    <t>C23631</t>
  </si>
  <si>
    <t>C106200</t>
  </si>
  <si>
    <t>C541372</t>
  </si>
  <si>
    <t>C327025</t>
  </si>
  <si>
    <t>C882583</t>
  </si>
  <si>
    <t>C385032</t>
  </si>
  <si>
    <t>C277480</t>
  </si>
  <si>
    <t>C576458</t>
  </si>
  <si>
    <t>C76946</t>
  </si>
  <si>
    <t>C541459</t>
  </si>
  <si>
    <t>C277479</t>
  </si>
  <si>
    <t>C141287</t>
  </si>
  <si>
    <t>C83528</t>
  </si>
  <si>
    <t>C350941</t>
  </si>
  <si>
    <t>C135085</t>
  </si>
  <si>
    <t>C135062</t>
  </si>
  <si>
    <t>-</t>
  </si>
  <si>
    <t>C703691</t>
  </si>
  <si>
    <t>C1975146</t>
  </si>
  <si>
    <t>C521963</t>
  </si>
  <si>
    <t>C2481</t>
  </si>
  <si>
    <t>C128848</t>
  </si>
  <si>
    <t>C2978865</t>
  </si>
  <si>
    <t>C82544</t>
  </si>
  <si>
    <t>C207024</t>
  </si>
  <si>
    <t>C69679</t>
  </si>
  <si>
    <t>C80165</t>
  </si>
  <si>
    <t>C14709</t>
  </si>
  <si>
    <t>C165948</t>
  </si>
  <si>
    <t>C430603</t>
  </si>
  <si>
    <t>C500021</t>
  </si>
  <si>
    <t>C395868</t>
  </si>
  <si>
    <t>C430601</t>
  </si>
  <si>
    <t>C706874</t>
  </si>
  <si>
    <t>C207061</t>
  </si>
  <si>
    <t>C430604</t>
  </si>
  <si>
    <t>C144395</t>
  </si>
  <si>
    <t>C262646</t>
  </si>
  <si>
    <t>C125068</t>
  </si>
  <si>
    <t>C706875</t>
  </si>
  <si>
    <t>C397452</t>
  </si>
  <si>
    <t>C2931489</t>
  </si>
  <si>
    <t>C430602</t>
  </si>
  <si>
    <t>C395869</t>
  </si>
  <si>
    <t>C500022</t>
  </si>
  <si>
    <t>C12074</t>
  </si>
  <si>
    <t>C2927513</t>
  </si>
  <si>
    <t>C2927514</t>
  </si>
  <si>
    <t>C2927515</t>
  </si>
  <si>
    <t>C2915641</t>
  </si>
  <si>
    <t>C189912</t>
  </si>
  <si>
    <t>C340373</t>
  </si>
  <si>
    <t>C3151730</t>
  </si>
  <si>
    <t>C89811</t>
  </si>
  <si>
    <t>C87326</t>
  </si>
  <si>
    <t>C190565</t>
  </si>
  <si>
    <t>C164886</t>
  </si>
  <si>
    <t>C2802568</t>
  </si>
  <si>
    <t>C344010</t>
  </si>
  <si>
    <t>C5310968</t>
  </si>
  <si>
    <t>C5249683</t>
  </si>
  <si>
    <t>C181091</t>
  </si>
  <si>
    <t>C60488</t>
  </si>
  <si>
    <t>C60490</t>
  </si>
  <si>
    <t>C137768</t>
  </si>
  <si>
    <t>C107696</t>
  </si>
  <si>
    <t>C137715</t>
  </si>
  <si>
    <t>C106231</t>
  </si>
  <si>
    <t>C105872</t>
  </si>
  <si>
    <t>C87044</t>
  </si>
  <si>
    <t>C105871</t>
  </si>
  <si>
    <t>C25899</t>
  </si>
  <si>
    <t>C114640</t>
  </si>
  <si>
    <t>C852472</t>
  </si>
  <si>
    <t>C131467</t>
  </si>
  <si>
    <t>C865618</t>
  </si>
  <si>
    <t>C865541</t>
  </si>
  <si>
    <t>C852664</t>
  </si>
  <si>
    <t>C137970</t>
  </si>
  <si>
    <t>C114755</t>
  </si>
  <si>
    <t>C112307</t>
  </si>
  <si>
    <t>C138002</t>
  </si>
  <si>
    <t>C114628</t>
  </si>
  <si>
    <t>C114625</t>
  </si>
  <si>
    <t>C112309</t>
  </si>
  <si>
    <t>C106235</t>
  </si>
  <si>
    <t>C138033</t>
  </si>
  <si>
    <t>C137841</t>
  </si>
  <si>
    <t>C93943</t>
  </si>
  <si>
    <t>C105879</t>
  </si>
  <si>
    <t>C281773</t>
  </si>
  <si>
    <t>C93942</t>
  </si>
  <si>
    <t>C106232</t>
  </si>
  <si>
    <t>C114681</t>
  </si>
  <si>
    <t>C5455493</t>
  </si>
  <si>
    <t>C138017</t>
  </si>
  <si>
    <t>C231329</t>
  </si>
  <si>
    <t>C319033</t>
  </si>
  <si>
    <t>C319036</t>
  </si>
  <si>
    <t>C57453</t>
  </si>
  <si>
    <t>C18584</t>
  </si>
  <si>
    <t>C701343</t>
  </si>
  <si>
    <t>C94361</t>
  </si>
  <si>
    <t>C2827654</t>
  </si>
  <si>
    <t>C2936043</t>
  </si>
  <si>
    <t>C22396693</t>
  </si>
  <si>
    <t>C53434</t>
  </si>
  <si>
    <t>C2941042</t>
  </si>
  <si>
    <t>C283488</t>
  </si>
  <si>
    <t>C631675</t>
  </si>
  <si>
    <t>C6203</t>
  </si>
  <si>
    <t>C730146</t>
  </si>
  <si>
    <t>C361034</t>
  </si>
  <si>
    <t>C3235059</t>
  </si>
  <si>
    <t>C477969</t>
  </si>
  <si>
    <t>C5464816</t>
  </si>
  <si>
    <t>C84817</t>
  </si>
  <si>
    <t>C255883</t>
  </si>
  <si>
    <t>C156245</t>
  </si>
  <si>
    <t>1uF</t>
  </si>
  <si>
    <t>4.7uF</t>
  </si>
  <si>
    <t>10uF</t>
  </si>
  <si>
    <t>0.1uF</t>
  </si>
  <si>
    <t>220uF</t>
  </si>
  <si>
    <t>47uF</t>
  </si>
  <si>
    <t>22nF</t>
  </si>
  <si>
    <t>220nF</t>
  </si>
  <si>
    <t>6.8pF</t>
  </si>
  <si>
    <t>22uF</t>
  </si>
  <si>
    <t>1000pF</t>
  </si>
  <si>
    <t>100pF</t>
  </si>
  <si>
    <t>1nF</t>
  </si>
  <si>
    <t>10nF</t>
  </si>
  <si>
    <t>DNP</t>
  </si>
  <si>
    <t>2.2uf</t>
  </si>
  <si>
    <t>15pF</t>
  </si>
  <si>
    <t>470pF</t>
  </si>
  <si>
    <t>10pF</t>
  </si>
  <si>
    <t>30pF</t>
  </si>
  <si>
    <t>120R</t>
  </si>
  <si>
    <t>15uH</t>
  </si>
  <si>
    <t>22uH</t>
  </si>
  <si>
    <t>2K</t>
  </si>
  <si>
    <t>10K</t>
  </si>
  <si>
    <t>22.1K</t>
  </si>
  <si>
    <t>220R</t>
  </si>
  <si>
    <t>47.5K</t>
  </si>
  <si>
    <t>0R</t>
  </si>
  <si>
    <t>5.1K</t>
  </si>
  <si>
    <t>49.9R</t>
  </si>
  <si>
    <t>4.7K</t>
  </si>
  <si>
    <t>4.3K</t>
  </si>
  <si>
    <t>100K</t>
  </si>
  <si>
    <t>3.9K</t>
  </si>
  <si>
    <t>698K</t>
  </si>
  <si>
    <t>51.1K</t>
  </si>
  <si>
    <t>24.9K</t>
  </si>
  <si>
    <t>499R</t>
  </si>
  <si>
    <t>240R</t>
  </si>
  <si>
    <t>2.2R</t>
  </si>
  <si>
    <t>33R</t>
  </si>
  <si>
    <t>51R</t>
  </si>
  <si>
    <t>75R</t>
  </si>
  <si>
    <t>1K</t>
  </si>
  <si>
    <t>11.8K</t>
  </si>
  <si>
    <t>47K</t>
  </si>
  <si>
    <t>330R</t>
  </si>
  <si>
    <t>12.1k</t>
  </si>
  <si>
    <t>20K</t>
  </si>
  <si>
    <t>100R</t>
  </si>
  <si>
    <t>51K</t>
  </si>
  <si>
    <t>2.7K</t>
  </si>
  <si>
    <t>25MHz</t>
  </si>
  <si>
    <t>32.7680KHZ</t>
  </si>
  <si>
    <t>Quantity</t>
  </si>
  <si>
    <t>Tag Connect</t>
  </si>
  <si>
    <t>Custom</t>
  </si>
  <si>
    <t>Value</t>
  </si>
  <si>
    <t>Alternate Part Number</t>
  </si>
  <si>
    <t>Quantity (5 Boards)</t>
  </si>
  <si>
    <t>MOQ (5 Boards)</t>
  </si>
  <si>
    <t>Links</t>
  </si>
  <si>
    <t>Unit Cost (5 Boards)</t>
  </si>
  <si>
    <t>Total Cost (5 Boards)</t>
  </si>
  <si>
    <t>Remarks</t>
  </si>
  <si>
    <t>DO NOT PLACE</t>
  </si>
  <si>
    <t>RC0402FR-072KL</t>
  </si>
  <si>
    <t>RT0603BRD0711K8L</t>
  </si>
  <si>
    <t>RC0402FR-072K7L</t>
  </si>
  <si>
    <t>CL10B104KB8WPNC</t>
  </si>
  <si>
    <t>C1974498</t>
  </si>
  <si>
    <t>C861089</t>
  </si>
  <si>
    <t>C964632</t>
  </si>
  <si>
    <t>C79987</t>
  </si>
  <si>
    <t>100</t>
  </si>
  <si>
    <t>20</t>
  </si>
  <si>
    <t>5</t>
  </si>
  <si>
    <t>50</t>
  </si>
  <si>
    <t>10</t>
  </si>
  <si>
    <t>0.0038</t>
  </si>
  <si>
    <t>0.0357</t>
  </si>
  <si>
    <t>0.1575</t>
  </si>
  <si>
    <t>0.0016</t>
  </si>
  <si>
    <t>0.0161</t>
  </si>
  <si>
    <t>0.2438</t>
  </si>
  <si>
    <t>0.0273</t>
  </si>
  <si>
    <t>0.0122</t>
  </si>
  <si>
    <t>0.1224</t>
  </si>
  <si>
    <t>0.0037</t>
  </si>
  <si>
    <t>0.0056</t>
  </si>
  <si>
    <t>0.0440</t>
  </si>
  <si>
    <t>0.0074</t>
  </si>
  <si>
    <t>0.2797</t>
  </si>
  <si>
    <t>0.0015</t>
  </si>
  <si>
    <t>0.0664</t>
  </si>
  <si>
    <t>0.0119</t>
  </si>
  <si>
    <t>0.0010</t>
  </si>
  <si>
    <t>0.0011</t>
  </si>
  <si>
    <t>400</t>
  </si>
  <si>
    <t>LCSC</t>
  </si>
  <si>
    <t>40</t>
  </si>
  <si>
    <t>0.0176</t>
  </si>
  <si>
    <t>0.0044</t>
  </si>
  <si>
    <t>0.0020</t>
  </si>
  <si>
    <t>0.0028</t>
  </si>
  <si>
    <t>0.0021</t>
  </si>
  <si>
    <t>0.0520</t>
  </si>
  <si>
    <t>0.0140</t>
  </si>
  <si>
    <t>0.1345</t>
  </si>
  <si>
    <t>0.1283</t>
  </si>
  <si>
    <t>0.1385</t>
  </si>
  <si>
    <t>80</t>
  </si>
  <si>
    <t>12</t>
  </si>
  <si>
    <t>0.1434</t>
  </si>
  <si>
    <t>0.1649</t>
  </si>
  <si>
    <t>0.0466</t>
  </si>
  <si>
    <t>0.0344</t>
  </si>
  <si>
    <t>0.0186</t>
  </si>
  <si>
    <t>0.1778</t>
  </si>
  <si>
    <t>0.0266</t>
  </si>
  <si>
    <t>0.8078</t>
  </si>
  <si>
    <t>0.0370</t>
  </si>
  <si>
    <t>0.0073</t>
  </si>
  <si>
    <t>0.0060</t>
  </si>
  <si>
    <t>0.1565</t>
  </si>
  <si>
    <t>0.0641</t>
  </si>
  <si>
    <t>0.1851</t>
  </si>
  <si>
    <t>0.1791</t>
  </si>
  <si>
    <t>0.1683</t>
  </si>
  <si>
    <t>0.1915</t>
  </si>
  <si>
    <t>0.0290</t>
  </si>
  <si>
    <t>0.2674</t>
  </si>
  <si>
    <t>0.0447</t>
  </si>
  <si>
    <t>0.1618</t>
  </si>
  <si>
    <t>1.2934</t>
  </si>
  <si>
    <t>300</t>
  </si>
  <si>
    <t>0.0400</t>
  </si>
  <si>
    <t>0.0610</t>
  </si>
  <si>
    <t>0.9235</t>
  </si>
  <si>
    <t>0.2839</t>
  </si>
  <si>
    <t>0.2640</t>
  </si>
  <si>
    <t>0.2623</t>
  </si>
  <si>
    <t>1.1498</t>
  </si>
  <si>
    <t>0.3918</t>
  </si>
  <si>
    <t>0.5241</t>
  </si>
  <si>
    <t>0.9597</t>
  </si>
  <si>
    <t>0.2946</t>
  </si>
  <si>
    <t>0.8831</t>
  </si>
  <si>
    <t>0.0534</t>
  </si>
  <si>
    <t>0.0222</t>
  </si>
  <si>
    <t>0.0218</t>
  </si>
  <si>
    <t>0.0215</t>
  </si>
  <si>
    <t>0.1161</t>
  </si>
  <si>
    <t>0.0163</t>
  </si>
  <si>
    <t>0.8750</t>
  </si>
  <si>
    <t>0.0449</t>
  </si>
  <si>
    <t>0.0265</t>
  </si>
  <si>
    <t>0.0070</t>
  </si>
  <si>
    <t>0.0268</t>
  </si>
  <si>
    <t>0.0006</t>
  </si>
  <si>
    <t>0.0005</t>
  </si>
  <si>
    <t>0.0012</t>
  </si>
  <si>
    <t>1100</t>
  </si>
  <si>
    <t>200</t>
  </si>
  <si>
    <t>0.0179</t>
  </si>
  <si>
    <t>0.0361</t>
  </si>
  <si>
    <t>0.0341</t>
  </si>
  <si>
    <t>0.0007</t>
  </si>
  <si>
    <t>0.0030</t>
  </si>
  <si>
    <t>0.0181</t>
  </si>
  <si>
    <t>0.0378</t>
  </si>
  <si>
    <t>0.1470</t>
  </si>
  <si>
    <t>0.7299</t>
  </si>
  <si>
    <t>0.6911</t>
  </si>
  <si>
    <t>0.3527</t>
  </si>
  <si>
    <t>0.2761</t>
  </si>
  <si>
    <t>1.6921</t>
  </si>
  <si>
    <t>5.2155</t>
  </si>
  <si>
    <t>0.0330</t>
  </si>
  <si>
    <t>0.0646</t>
  </si>
  <si>
    <t>1.0936</t>
  </si>
  <si>
    <t>0.1495</t>
  </si>
  <si>
    <t>0.6833</t>
  </si>
  <si>
    <t>3.9608</t>
  </si>
  <si>
    <t>0.2000</t>
  </si>
  <si>
    <t>4.8946</t>
  </si>
  <si>
    <t>0.4412</t>
  </si>
  <si>
    <t>0.4479</t>
  </si>
  <si>
    <t>2.6049</t>
  </si>
  <si>
    <t>2.6481</t>
  </si>
  <si>
    <t>0.0554</t>
  </si>
  <si>
    <t>0.2328</t>
  </si>
  <si>
    <t>0.2558</t>
  </si>
  <si>
    <t>Chipsmall</t>
  </si>
  <si>
    <t>JLCPCB</t>
  </si>
  <si>
    <t>Peripheral</t>
  </si>
  <si>
    <t>Bill of Materials for Project [Master-Board-v2.0.]</t>
  </si>
  <si>
    <t>Quantity (25 Boards)</t>
  </si>
  <si>
    <t>MOQ (25 Boards)</t>
  </si>
  <si>
    <t>Unit Cost (25 Boards)</t>
  </si>
  <si>
    <t>Total Cost (25 Boards)</t>
  </si>
  <si>
    <t>2000</t>
  </si>
  <si>
    <t>30</t>
  </si>
  <si>
    <t>0.0907</t>
  </si>
  <si>
    <t>0.1300</t>
  </si>
  <si>
    <t>0.0013</t>
  </si>
  <si>
    <t>0.0994</t>
  </si>
  <si>
    <t>0.2244</t>
  </si>
  <si>
    <t>0.0551</t>
  </si>
  <si>
    <t>180</t>
  </si>
  <si>
    <t>0.1456</t>
  </si>
  <si>
    <t>0.1257</t>
  </si>
  <si>
    <t>0.1527</t>
  </si>
  <si>
    <t>0.1462</t>
  </si>
  <si>
    <t>0.1374</t>
  </si>
  <si>
    <t>0.1590</t>
  </si>
  <si>
    <t>0.1311</t>
  </si>
  <si>
    <t>60</t>
  </si>
  <si>
    <t>140</t>
  </si>
  <si>
    <t>1300</t>
  </si>
  <si>
    <t>0.7696</t>
  </si>
  <si>
    <t>0.2341</t>
  </si>
  <si>
    <t>0.2173</t>
  </si>
  <si>
    <t>0.2138</t>
  </si>
  <si>
    <t>1.0148</t>
  </si>
  <si>
    <t>0.3229</t>
  </si>
  <si>
    <t>0.4764</t>
  </si>
  <si>
    <t>0.8202</t>
  </si>
  <si>
    <t>0.2426</t>
  </si>
  <si>
    <t>0.7367</t>
  </si>
  <si>
    <t>0.1033</t>
  </si>
  <si>
    <t>0.7142</t>
  </si>
  <si>
    <t>0.0004</t>
  </si>
  <si>
    <t>5100</t>
  </si>
  <si>
    <t>800</t>
  </si>
  <si>
    <t>0.1009</t>
  </si>
  <si>
    <t>0.5962</t>
  </si>
  <si>
    <t>0.5748</t>
  </si>
  <si>
    <t>0.2798</t>
  </si>
  <si>
    <t>0.2391</t>
  </si>
  <si>
    <t>1.5344</t>
  </si>
  <si>
    <t>4.5974</t>
  </si>
  <si>
    <t>0.8032</t>
  </si>
  <si>
    <t>0.0532</t>
  </si>
  <si>
    <t>0.8684</t>
  </si>
  <si>
    <t>0.1198</t>
  </si>
  <si>
    <t>0.5614</t>
  </si>
  <si>
    <t>0.3800</t>
  </si>
  <si>
    <t>2.2610</t>
  </si>
  <si>
    <t>2.2764</t>
  </si>
  <si>
    <t>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</si>
</sst>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>
      <alignment vertical="center"/>
    </xf>
  </cellStyleXfs>
  <cellXfs count="6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9" fillId="2" borderId="8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165" fontId="19" fillId="2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2" fillId="0" borderId="13" xfId="1" applyFont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22" fillId="5" borderId="13" xfId="1" applyFont="1" applyFill="1" applyBorder="1" applyAlignment="1">
      <alignment horizontal="center" vertical="center" wrapText="1"/>
    </xf>
    <xf numFmtId="165" fontId="15" fillId="5" borderId="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gikey.com/en/products/detail/amazing/AZ4024-01G/16615396?s=N4IgTCBcDaIIIC0AsAGMSC0KCMBxEAugL5A" TargetMode="External"/><Relationship Id="rId21" Type="http://schemas.openxmlformats.org/officeDocument/2006/relationships/hyperlink" Target="https://www.lcsc.com/product-detail/multilayer-ceramic-capacitors-mlcc-smd-smt_murata-electronics-grm155r61e225ke11d_C385032.html" TargetMode="External"/><Relationship Id="rId42" Type="http://schemas.openxmlformats.org/officeDocument/2006/relationships/hyperlink" Target="https://www.lcsc.com/product-detail/ferrite-beads_murata-electronics-blm18pg221sn1d_C80165.html" TargetMode="External"/><Relationship Id="rId63" Type="http://schemas.openxmlformats.org/officeDocument/2006/relationships/hyperlink" Target="https://www.lcsc.com/product-detail/chip-resistor-surface-mount_yageo-rt0402brd07100kl_C852472.html" TargetMode="External"/><Relationship Id="rId84" Type="http://schemas.openxmlformats.org/officeDocument/2006/relationships/hyperlink" Target="https://www.lcsc.com/product-detail/chip-resistor-surface-mount_yageo-at0402brd0751kl_C5455493.html" TargetMode="External"/><Relationship Id="rId138" Type="http://schemas.openxmlformats.org/officeDocument/2006/relationships/hyperlink" Target="https://www.lcsc.com/product-detail/MOSFETs_BORN-AO3400A_C344010.html" TargetMode="External"/><Relationship Id="rId107" Type="http://schemas.openxmlformats.org/officeDocument/2006/relationships/hyperlink" Target="https://www.lcsc.com/product-detail/eeprom_onsemi-cat24c256wi-gt3_C79987.html" TargetMode="External"/><Relationship Id="rId11" Type="http://schemas.openxmlformats.org/officeDocument/2006/relationships/hyperlink" Target="https://www.lcsc.com/product-detail/multilayer-ceramic-capacitors-mlcc-smd-smt_samsung-electro-mechanics-cl10b104kb8wpnc_C307348.html" TargetMode="External"/><Relationship Id="rId32" Type="http://schemas.openxmlformats.org/officeDocument/2006/relationships/hyperlink" Target="https://www.lcsc.com/product-detail/esd-and-surge-protection-tvs-esd_stmicroelectronics-esdalc6v1w5_C703691.html" TargetMode="External"/><Relationship Id="rId53" Type="http://schemas.openxmlformats.org/officeDocument/2006/relationships/hyperlink" Target="https://www.lcsc.com/product-detail/wire-to-board-connector_jst-b4b-xh-a-lf-sn_C144395.html" TargetMode="External"/><Relationship Id="rId74" Type="http://schemas.openxmlformats.org/officeDocument/2006/relationships/hyperlink" Target="https://www.lcsc.com/product-detail/chip-resistor-surface-mount_yageo-rc0603fr-0775rl_C112309.html" TargetMode="External"/><Relationship Id="rId128" Type="http://schemas.openxmlformats.org/officeDocument/2006/relationships/hyperlink" Target="https://www.lcsc.com/product-detail/Screw-Terminal-Blocks_DORABO-DB128V-5-08-12P-GN-S_C2927515.html" TargetMode="External"/><Relationship Id="rId5" Type="http://schemas.openxmlformats.org/officeDocument/2006/relationships/hyperlink" Target="https://www.lcsc.com/product-detail/multilayer-ceramic-capacitors-mlcc-smd-smt_yageo-cc0402krx5r6bb475_C326586.html" TargetMode="External"/><Relationship Id="rId90" Type="http://schemas.openxmlformats.org/officeDocument/2006/relationships/hyperlink" Target="https://www.lcsc.com/product-detail/pulse-transformers-lan_pulse-elec-h1102nlt_C18584.html" TargetMode="External"/><Relationship Id="rId95" Type="http://schemas.openxmlformats.org/officeDocument/2006/relationships/hyperlink" Target="https://www.lcsc.com/product-detail/transistor-photovoltaic-output-optoisolators_slkor-slkormicro-elec-pc817c_C2936043.html" TargetMode="External"/><Relationship Id="rId22" Type="http://schemas.openxmlformats.org/officeDocument/2006/relationships/hyperlink" Target="https://www.lcsc.com/product-detail/multilayer-ceramic-capacitors-mlcc-smd-smt_yageo-cc0201jrnpo9bn150_C277480.html" TargetMode="External"/><Relationship Id="rId27" Type="http://schemas.openxmlformats.org/officeDocument/2006/relationships/hyperlink" Target="https://www.lcsc.com/product-detail/multilayer-ceramic-capacitors-mlcc-smd-smt_taiyo-yuden-emk212bb7106mg-t_C141287.html" TargetMode="External"/><Relationship Id="rId43" Type="http://schemas.openxmlformats.org/officeDocument/2006/relationships/hyperlink" Target="https://www.lcsc.com/product-detail/ferrite-beads_murata-electronics-blm18pg121sn1d_C14709.html" TargetMode="External"/><Relationship Id="rId48" Type="http://schemas.openxmlformats.org/officeDocument/2006/relationships/hyperlink" Target="https://www.lcsc.com/product-detail/screw-terminal-blocks_dorabo-db128l-5-08-2p-gn-s_C395868.html" TargetMode="External"/><Relationship Id="rId64" Type="http://schemas.openxmlformats.org/officeDocument/2006/relationships/hyperlink" Target="https://www.lcsc.com/product-detail/chip-resistor-surface-mount_yageo-rc0402fr-073k9l_C131467.html" TargetMode="External"/><Relationship Id="rId69" Type="http://schemas.openxmlformats.org/officeDocument/2006/relationships/hyperlink" Target="https://www.lcsc.com/product-detail/chip-resistor-surface-mount_yageo-rc0402fr-07240rl_C114755.html" TargetMode="External"/><Relationship Id="rId113" Type="http://schemas.openxmlformats.org/officeDocument/2006/relationships/hyperlink" Target="https://www.lcsc.com/product-detail/digital-to-analog-converters-dac_guestgood-gp8413-tc50-ew_C5464816.html" TargetMode="External"/><Relationship Id="rId118" Type="http://schemas.openxmlformats.org/officeDocument/2006/relationships/hyperlink" Target="https://www.digikey.com/en/products/detail/amazing/AZ3005-01G/16615381?s=N4IgTCBcDaIIIC0DMAGFBWAtCgjAcRAF0BfIA" TargetMode="External"/><Relationship Id="rId134" Type="http://schemas.openxmlformats.org/officeDocument/2006/relationships/hyperlink" Target="https://www.lcsc.com/product-detail/LED-Indication-Discrete_Foshan-NationStar-Optoelectronics-NCD0603G2_C87326.html" TargetMode="External"/><Relationship Id="rId139" Type="http://schemas.openxmlformats.org/officeDocument/2006/relationships/hyperlink" Target="https://www.lcsc.com/product-detail/MOSFETs_TECH-PUBLIC-SI2302CDS_C5310968.html" TargetMode="External"/><Relationship Id="rId80" Type="http://schemas.openxmlformats.org/officeDocument/2006/relationships/hyperlink" Target="https://www.lcsc.com/product-detail/chip-resistor-surface-mount_yageo-rt0402brd0712k1l_C281773.html" TargetMode="External"/><Relationship Id="rId85" Type="http://schemas.openxmlformats.org/officeDocument/2006/relationships/hyperlink" Target="https://www.lcsc.com/product-detail/chip-resistor-surface-mount_yageo-rc0402fr-072k7l_C138017.html" TargetMode="External"/><Relationship Id="rId12" Type="http://schemas.openxmlformats.org/officeDocument/2006/relationships/hyperlink" Target="https://www.lcsc.com/product-detail/multilayer-ceramic-capacitors-mlcc-smd-smt_taiyo-yuden-umk316ab7475kl-t_C92853.html" TargetMode="External"/><Relationship Id="rId17" Type="http://schemas.openxmlformats.org/officeDocument/2006/relationships/hyperlink" Target="https://www.lcsc.com/product-detail/multilayer-ceramic-capacitors-mlcc-smd-smt_yageo-cc1206kkx7rdbb102_C23631.html" TargetMode="External"/><Relationship Id="rId33" Type="http://schemas.openxmlformats.org/officeDocument/2006/relationships/hyperlink" Target="https://www.lcsc.com/product-detail/esd-and-surge-protection-tvs-esd_stmicroelectronics-esda7p60-1u1m_C1975146.html" TargetMode="External"/><Relationship Id="rId38" Type="http://schemas.openxmlformats.org/officeDocument/2006/relationships/hyperlink" Target="https://jlcpcb.com/partdetail/Onsemi-MM3Z3V3B/C556407" TargetMode="External"/><Relationship Id="rId59" Type="http://schemas.openxmlformats.org/officeDocument/2006/relationships/hyperlink" Target="https://www.lcsc.com/product-detail/chip-resistor-surface-mount_yageo-rc0402fr-0749r9l_C87044.html" TargetMode="External"/><Relationship Id="rId103" Type="http://schemas.openxmlformats.org/officeDocument/2006/relationships/hyperlink" Target="https://www.lcsc.com/product-detail/microcontrollers-mcu-mpu-soc_stmicroelectronics-stm32h723zgt6_C730146.html" TargetMode="External"/><Relationship Id="rId108" Type="http://schemas.openxmlformats.org/officeDocument/2006/relationships/hyperlink" Target="https://www.lcsc.com/product-detail/analog-to-digital-converters-adc_texas-instruments-ads1113idgsr_C477969.html" TargetMode="External"/><Relationship Id="rId124" Type="http://schemas.openxmlformats.org/officeDocument/2006/relationships/hyperlink" Target="https://www.lcsc.com/product-detail/Screw-Terminal-Blocks_DORABO-DB128L-5-08-3P-GY-S_C500022.html" TargetMode="External"/><Relationship Id="rId129" Type="http://schemas.openxmlformats.org/officeDocument/2006/relationships/hyperlink" Target="https://www.lcsc.com/product-detail/Screw-Terminal-Blocks_DORABO-DB128V-5-08-4P-GN-S_C2915641.html" TargetMode="External"/><Relationship Id="rId54" Type="http://schemas.openxmlformats.org/officeDocument/2006/relationships/hyperlink" Target="https://www.lcsc.com/product-detail/ffc-fpc-flat-flexible-connector-assemblies_jushuo-afc07-s32eca-00_C262646.html" TargetMode="External"/><Relationship Id="rId70" Type="http://schemas.openxmlformats.org/officeDocument/2006/relationships/hyperlink" Target="https://www.lcsc.com/product-detail/chip-resistor-surface-mount_yageo-rc0603fr-072r2l_C112307.html" TargetMode="External"/><Relationship Id="rId75" Type="http://schemas.openxmlformats.org/officeDocument/2006/relationships/hyperlink" Target="https://www.lcsc.com/product-detail/chip-resistor-surface-mount_yageo-rc0402fr-071kl_C106235.html" TargetMode="External"/><Relationship Id="rId91" Type="http://schemas.openxmlformats.org/officeDocument/2006/relationships/hyperlink" Target="https://www.lcsc.com/product-detail/usb-converters_skyworks-silicon-labs-cp2102n-a02-gqfn28r_C964632.html" TargetMode="External"/><Relationship Id="rId96" Type="http://schemas.openxmlformats.org/officeDocument/2006/relationships/hyperlink" Target="https://www.lcsc.com/product-detail/can-transceivers_texas-instruments-tcan3414dr_C22396693.html" TargetMode="External"/><Relationship Id="rId140" Type="http://schemas.openxmlformats.org/officeDocument/2006/relationships/hyperlink" Target="https://www.lcsc.com/product-detail/Bipolar-BJT_ElecSuper-MMBT3904_C5249683.html" TargetMode="External"/><Relationship Id="rId145" Type="http://schemas.openxmlformats.org/officeDocument/2006/relationships/hyperlink" Target="https://www.lcsc.com/product-detail/Chip-Resistor-Surface-Mount_YAGEO-RC0603FR-07220RL_C107696.html" TargetMode="External"/><Relationship Id="rId1" Type="http://schemas.openxmlformats.org/officeDocument/2006/relationships/hyperlink" Target="https://www.lcsc.com/product-detail/multilayer-ceramic-capacitors-mlcc-smd-smt_yageo-cc0402krx5r7bb105_C325464.html" TargetMode="External"/><Relationship Id="rId6" Type="http://schemas.openxmlformats.org/officeDocument/2006/relationships/hyperlink" Target="https://www.lcsc.com/product-detail/aluminum-electrolytic-capacitors-smd_nichicon-ucd1h221mnl1gs_C116211.html" TargetMode="External"/><Relationship Id="rId23" Type="http://schemas.openxmlformats.org/officeDocument/2006/relationships/hyperlink" Target="https://www.lcsc.com/product-detail/multilayer-ceramic-capacitors-mlcc-smd-smt_murata-electronics-grm155r11h471ka01d_C576458.html" TargetMode="External"/><Relationship Id="rId28" Type="http://schemas.openxmlformats.org/officeDocument/2006/relationships/hyperlink" Target="https://www.lcsc.com/product-detail/switching-diodes_diodes-incorporated-1n4148w-7-f_C83528.html" TargetMode="External"/><Relationship Id="rId49" Type="http://schemas.openxmlformats.org/officeDocument/2006/relationships/hyperlink" Target="https://www.lcsc.com/product-detail/screw-terminal-blocks_dorabo-db128l-5-08-2p-bk-s_C430601.html" TargetMode="External"/><Relationship Id="rId114" Type="http://schemas.openxmlformats.org/officeDocument/2006/relationships/hyperlink" Target="https://www.chipsmall.com/Products/LAN9253-I-R4X_33343268.html" TargetMode="External"/><Relationship Id="rId119" Type="http://schemas.openxmlformats.org/officeDocument/2006/relationships/hyperlink" Target="https://www.digikey.com/en/products/detail/amazing/AZ3003-01G/16615352?s=N4IgTCBcDaIIIC0DMAGFSC0KCMBxEAugL5A" TargetMode="External"/><Relationship Id="rId44" Type="http://schemas.openxmlformats.org/officeDocument/2006/relationships/hyperlink" Target="https://www.lcsc.com/product-detail/usb-connectors_korean-hroparts-elec-type-c-31-m-12_C165948.html" TargetMode="External"/><Relationship Id="rId60" Type="http://schemas.openxmlformats.org/officeDocument/2006/relationships/hyperlink" Target="https://www.lcsc.com/product-detail/chip-resistor-surface-mount_yageo-rc0402fr-074k7l_C105871.html" TargetMode="External"/><Relationship Id="rId65" Type="http://schemas.openxmlformats.org/officeDocument/2006/relationships/hyperlink" Target="https://www.lcsc.com/product-detail/chip-resistor-surface-mount_yageo-rt0805brd07698kl_C865618.html" TargetMode="External"/><Relationship Id="rId81" Type="http://schemas.openxmlformats.org/officeDocument/2006/relationships/hyperlink" Target="https://www.lcsc.com/product-detail/chip-resistor-surface-mount_yageo-rc0402fr-0720kl_C93942.html" TargetMode="External"/><Relationship Id="rId86" Type="http://schemas.openxmlformats.org/officeDocument/2006/relationships/hyperlink" Target="https://www.lcsc.com/product-detail/tactile-switches_omron-electronics-b3u-1000p_C231329.html" TargetMode="External"/><Relationship Id="rId130" Type="http://schemas.openxmlformats.org/officeDocument/2006/relationships/hyperlink" Target="https://www.lcsc.com/product-detail/Power-Inductors_BOURNS-SRP1265A-150M_C189912.html" TargetMode="External"/><Relationship Id="rId135" Type="http://schemas.openxmlformats.org/officeDocument/2006/relationships/hyperlink" Target="https://www.lcsc.com/product-detail/RGB-LEDs-Built-in-IC_Worldsemi-WS2812D-F5_C190565.html" TargetMode="External"/><Relationship Id="rId13" Type="http://schemas.openxmlformats.org/officeDocument/2006/relationships/hyperlink" Target="https://www.lcsc.com/product-detail/multilayer-ceramic-capacitors-mlcc-smd-smt_yageo-cc0603krx7r9bb224_C107083.html" TargetMode="External"/><Relationship Id="rId18" Type="http://schemas.openxmlformats.org/officeDocument/2006/relationships/hyperlink" Target="https://www.lcsc.com/product-detail/multilayer-ceramic-capacitors-mlcc-smd-smt_yageo-cc0402jrnpo9bn101_C106200.html" TargetMode="External"/><Relationship Id="rId39" Type="http://schemas.openxmlformats.org/officeDocument/2006/relationships/hyperlink" Target="https://www.lcsc.com/product-detail/schottky-diodes_diodes-incorporated-1n5819hw-7-f_C82544.html" TargetMode="External"/><Relationship Id="rId109" Type="http://schemas.openxmlformats.org/officeDocument/2006/relationships/hyperlink" Target="https://www.lcsc.com/product-detail/dc-dc-converters_xi-an-aerosemi-tech-mt3608_C84817.html" TargetMode="External"/><Relationship Id="rId34" Type="http://schemas.openxmlformats.org/officeDocument/2006/relationships/hyperlink" Target="https://www.lcsc.com/product-detail/esd-and-surge-protection-tvs-esd_stmicroelectronics-esdalc6v1-1u2_C1974498.html" TargetMode="External"/><Relationship Id="rId50" Type="http://schemas.openxmlformats.org/officeDocument/2006/relationships/hyperlink" Target="https://www.lcsc.com/product-detail/pin-headers_xkb-connection-x6511wv-02h-c60d30_C706874.html" TargetMode="External"/><Relationship Id="rId55" Type="http://schemas.openxmlformats.org/officeDocument/2006/relationships/hyperlink" Target="https://www.lcsc.com/product-detail/ethernet-connectors-modular-connectors-rj45-rj11_te-connectivity-2-406549-1_C125068.html" TargetMode="External"/><Relationship Id="rId76" Type="http://schemas.openxmlformats.org/officeDocument/2006/relationships/hyperlink" Target="https://www.lcsc.com/product-detail/chip-resistor-surface-mount_yageo-rt0603brd0711k8l_C861089.html" TargetMode="External"/><Relationship Id="rId97" Type="http://schemas.openxmlformats.org/officeDocument/2006/relationships/hyperlink" Target="https://www.lcsc.com/product-detail/translators-level-shifters_texas-instruments-txs0102dcur_C53434.html" TargetMode="External"/><Relationship Id="rId104" Type="http://schemas.openxmlformats.org/officeDocument/2006/relationships/hyperlink" Target="https://www.lcsc.com/product-detail/power-distribution-switches_stmicroelectronics-stmps2161str_C361034.html" TargetMode="External"/><Relationship Id="rId120" Type="http://schemas.openxmlformats.org/officeDocument/2006/relationships/hyperlink" Target="https://www.lcsc.com/product-detail/Ethernet-Connectors-Modular-Connectors-RJ45-RJ11_XKB-Connection-X14CBIWB1DY1027_C2931489.html" TargetMode="External"/><Relationship Id="rId125" Type="http://schemas.openxmlformats.org/officeDocument/2006/relationships/hyperlink" Target="https://www.lcsc.com/product-detail/Ethernet-Connectors-Modular-Connectors-RJ45-RJ11_HANRUN-Zhongshan-HanRun-Elec-HR911105A_C12074.html" TargetMode="External"/><Relationship Id="rId141" Type="http://schemas.openxmlformats.org/officeDocument/2006/relationships/hyperlink" Target="https://www.lcsc.com/product-detail/MOSFETs_Guangdong-Hottech-AO3401_C181091.html" TargetMode="External"/><Relationship Id="rId146" Type="http://schemas.openxmlformats.org/officeDocument/2006/relationships/hyperlink" Target="https://www.lcsc.com/product-detail/Chip-Resistor-Surface-Mount_YAGEO-RC0603FR-0747K5L_C137715.html" TargetMode="External"/><Relationship Id="rId7" Type="http://schemas.openxmlformats.org/officeDocument/2006/relationships/hyperlink" Target="https://www.lcsc.com/product-detail/aluminum-electrolytic-capacitors-smd_roqang-rvt1h470m0607_C72523.html" TargetMode="External"/><Relationship Id="rId71" Type="http://schemas.openxmlformats.org/officeDocument/2006/relationships/hyperlink" Target="https://www.lcsc.com/product-detail/chip-resistor-surface-mount_yageo-rc0402fr-0733rl_C138002.html" TargetMode="External"/><Relationship Id="rId92" Type="http://schemas.openxmlformats.org/officeDocument/2006/relationships/hyperlink" Target="https://www.lcsc.com/product-detail/wifi-modules_espressif-systems-esp32-wroom-32e-n16_C701343.html" TargetMode="External"/><Relationship Id="rId2" Type="http://schemas.openxmlformats.org/officeDocument/2006/relationships/hyperlink" Target="https://www.lcsc.com/product-detail/multilayer-ceramic-capacitors-mlcc-smd-smt_yageo-cc0805kkx7r8bb475_C354262.html" TargetMode="External"/><Relationship Id="rId29" Type="http://schemas.openxmlformats.org/officeDocument/2006/relationships/hyperlink" Target="https://www.lcsc.com/product-detail/esd-and-surge-protection-tvs-esd_bourns-cdsot23-t24can-q_C350941.html" TargetMode="External"/><Relationship Id="rId24" Type="http://schemas.openxmlformats.org/officeDocument/2006/relationships/hyperlink" Target="https://www.lcsc.com/product-detail/multilayer-ceramic-capacitors-mlcc-smd-smt_murata-electronics-grm1555c1h100ja01d_C76946.html" TargetMode="External"/><Relationship Id="rId40" Type="http://schemas.openxmlformats.org/officeDocument/2006/relationships/hyperlink" Target="https://www.lcsc.com/product-detail/resettable-fuses_littelfuse-0805l110slyr_C207024.html" TargetMode="External"/><Relationship Id="rId45" Type="http://schemas.openxmlformats.org/officeDocument/2006/relationships/hyperlink" Target="https://www.lcsc.com/product-detail/wire-to-board-connector_boomele-boom-precision-elec-1-0t-6p_C145963.html" TargetMode="External"/><Relationship Id="rId66" Type="http://schemas.openxmlformats.org/officeDocument/2006/relationships/hyperlink" Target="https://www.lcsc.com/product-detail/chip-resistor-surface-mount_yageo-rt0805brd0751k1l_C865541.html" TargetMode="External"/><Relationship Id="rId87" Type="http://schemas.openxmlformats.org/officeDocument/2006/relationships/hyperlink" Target="https://www.lcsc.com/product-detail/dip-switches_xkb-connection-dsic07ls-p_C319033.html" TargetMode="External"/><Relationship Id="rId110" Type="http://schemas.openxmlformats.org/officeDocument/2006/relationships/hyperlink" Target="https://www.chipsmall.com/Products/ECS-2033-250-BN_10566787.html" TargetMode="External"/><Relationship Id="rId115" Type="http://schemas.openxmlformats.org/officeDocument/2006/relationships/hyperlink" Target="https://www.chipsmall.com/Products/ESDM2033MX4T5G_ON-Semiconductor_20281488.html" TargetMode="External"/><Relationship Id="rId131" Type="http://schemas.openxmlformats.org/officeDocument/2006/relationships/hyperlink" Target="https://www.lcsc.com/product-detail/Power-Inductors_YJYCOIN-YNR4018-220M_C340373.html" TargetMode="External"/><Relationship Id="rId136" Type="http://schemas.openxmlformats.org/officeDocument/2006/relationships/hyperlink" Target="https://www.lcsc.com/product-detail/Bipolar-BJT_Jiangsu-Changjing-Electronics-Technology-Co-Ltd-SS8050-G-RANGE-120-200_C164886.html" TargetMode="External"/><Relationship Id="rId61" Type="http://schemas.openxmlformats.org/officeDocument/2006/relationships/hyperlink" Target="https://www.lcsc.com/product-detail/chip-resistor-surface-mount_uni-royal-uniroyal-elec-0402wgf4301tce_C25899.html" TargetMode="External"/><Relationship Id="rId82" Type="http://schemas.openxmlformats.org/officeDocument/2006/relationships/hyperlink" Target="https://www.lcsc.com/product-detail/chip-resistor-surface-mount_yageo-rc0402fr-07100rl_C106232.html" TargetMode="External"/><Relationship Id="rId19" Type="http://schemas.openxmlformats.org/officeDocument/2006/relationships/hyperlink" Target="https://www.lcsc.com/product-detail/multilayer-ceramic-capacitors-mlcc-smd-smt_yageo-cc0402krx7r8bb102_C541372.html" TargetMode="External"/><Relationship Id="rId14" Type="http://schemas.openxmlformats.org/officeDocument/2006/relationships/hyperlink" Target="https://www.lcsc.com/product-detail/multilayer-ceramic-capacitors-mlcc-smd-smt_murata-electronics-grm31cr61e476me44l_C403725.html" TargetMode="External"/><Relationship Id="rId30" Type="http://schemas.openxmlformats.org/officeDocument/2006/relationships/hyperlink" Target="https://www.lcsc.com/product-detail/esd-and-surge-protection-tvs-esd_diodes-incorporated-smbj58a-13-f_C135085.html" TargetMode="External"/><Relationship Id="rId35" Type="http://schemas.openxmlformats.org/officeDocument/2006/relationships/hyperlink" Target="https://www.lcsc.com/product-detail/esd-and-surge-protection-tvs-esd_tech-public-sm712_C521963.html" TargetMode="External"/><Relationship Id="rId56" Type="http://schemas.openxmlformats.org/officeDocument/2006/relationships/hyperlink" Target="https://www.lcsc.com/product-detail/pin-headers_xkb-connection-x6511wv-03h-c60d30_C706875.html" TargetMode="External"/><Relationship Id="rId77" Type="http://schemas.openxmlformats.org/officeDocument/2006/relationships/hyperlink" Target="https://www.lcsc.com/product-detail/chip-resistor-surface-mount_yageo-rc0402jr-0775rl_C137841.html" TargetMode="External"/><Relationship Id="rId100" Type="http://schemas.openxmlformats.org/officeDocument/2006/relationships/hyperlink" Target="https://www.chipsmall.com/Products/ST1L05APU33R_10354770.html" TargetMode="External"/><Relationship Id="rId105" Type="http://schemas.openxmlformats.org/officeDocument/2006/relationships/hyperlink" Target="https://www.chipsmall.com/Products/TRSF3221EIRGTR_33316274.html" TargetMode="External"/><Relationship Id="rId126" Type="http://schemas.openxmlformats.org/officeDocument/2006/relationships/hyperlink" Target="https://www.lcsc.com/product-detail/Screw-Terminal-Blocks_DORABO-DB128V-5-08-5P-GN-S_C2927513.html" TargetMode="External"/><Relationship Id="rId147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multilayer-ceramic-capacitors-mlcc-smd-smt_yageo-cc0805jrx7r0bb223_C576993.html" TargetMode="External"/><Relationship Id="rId51" Type="http://schemas.openxmlformats.org/officeDocument/2006/relationships/hyperlink" Target="https://jlcpcb.com/partdetail/Littelfuse-178_61650002/C207061" TargetMode="External"/><Relationship Id="rId72" Type="http://schemas.openxmlformats.org/officeDocument/2006/relationships/hyperlink" Target="https://www.lcsc.com/product-detail/chip-resistor-surface-mount_yageo-rc0603fr-0751rl_C114628.html" TargetMode="External"/><Relationship Id="rId93" Type="http://schemas.openxmlformats.org/officeDocument/2006/relationships/hyperlink" Target="https://jlcpcb.com/partdetail/TexasInstruments-PCF8574APWR/C94361" TargetMode="External"/><Relationship Id="rId98" Type="http://schemas.openxmlformats.org/officeDocument/2006/relationships/hyperlink" Target="https://www.lcsc.com/product-detail/power-distribution-switches_texas-instruments-lm74700qdbvrq1_C2941042.html" TargetMode="External"/><Relationship Id="rId121" Type="http://schemas.openxmlformats.org/officeDocument/2006/relationships/hyperlink" Target="https://www.lcsc.com/product-detail/USB-Connectors_XKB-Connection-U254-051T-4BH83-F1S_C397452.html" TargetMode="External"/><Relationship Id="rId142" Type="http://schemas.openxmlformats.org/officeDocument/2006/relationships/hyperlink" Target="https://www.lcsc.com/product-detail/Chip-Resistor-Surface-Mount_YAGEO-RC0402FR-072KL_C60488.html" TargetMode="External"/><Relationship Id="rId3" Type="http://schemas.openxmlformats.org/officeDocument/2006/relationships/hyperlink" Target="https://www.lcsc.com/product-detail/multilayer-ceramic-capacitors-mlcc-smd-smt_yageo-cc0603krx5r7bb106_C2936601.html" TargetMode="External"/><Relationship Id="rId25" Type="http://schemas.openxmlformats.org/officeDocument/2006/relationships/hyperlink" Target="https://www.lcsc.com/product-detail/multilayer-ceramic-capacitors-mlcc-smd-smt_yageo-cc0402jrx7r7bb223_C541459.html" TargetMode="External"/><Relationship Id="rId46" Type="http://schemas.openxmlformats.org/officeDocument/2006/relationships/hyperlink" Target="https://www.lcsc.com/product-detail/screw-terminal-blocks_dorabo-db128l-5-08-2p-og-s_C430603.html" TargetMode="External"/><Relationship Id="rId67" Type="http://schemas.openxmlformats.org/officeDocument/2006/relationships/hyperlink" Target="https://www.lcsc.com/product-detail/chip-resistor-surface-mount_yageo-rt0402brd0724k9l_C852664.html" TargetMode="External"/><Relationship Id="rId116" Type="http://schemas.openxmlformats.org/officeDocument/2006/relationships/hyperlink" Target="https://www.chipsmall.com/Products/TC2030-IDC_10471659.html" TargetMode="External"/><Relationship Id="rId137" Type="http://schemas.openxmlformats.org/officeDocument/2006/relationships/hyperlink" Target="https://www.lcsc.com/product-detail/MOSFETs_Diodes-Incorporated-DMT6007LFG-7_C2802568.html" TargetMode="External"/><Relationship Id="rId20" Type="http://schemas.openxmlformats.org/officeDocument/2006/relationships/hyperlink" Target="https://www.lcsc.com/product-detail/multilayer-ceramic-capacitors-mlcc-smd-smt_yageo-cc0402krx7r8bb103_C327025.html" TargetMode="External"/><Relationship Id="rId41" Type="http://schemas.openxmlformats.org/officeDocument/2006/relationships/hyperlink" Target="https://www.lcsc.com/product-detail/resettable-fuses_techfuse-smd0603-050_C69679.html" TargetMode="External"/><Relationship Id="rId62" Type="http://schemas.openxmlformats.org/officeDocument/2006/relationships/hyperlink" Target="https://www.lcsc.com/product-detail/chip-resistor-surface-mount_yageo-rc0603fr-07120rl_C114640.html" TargetMode="External"/><Relationship Id="rId83" Type="http://schemas.openxmlformats.org/officeDocument/2006/relationships/hyperlink" Target="https://www.lcsc.com/product-detail/chip-resistor-surface-mount_yageo-rc0603jr-07120rl_C114681.html" TargetMode="External"/><Relationship Id="rId88" Type="http://schemas.openxmlformats.org/officeDocument/2006/relationships/hyperlink" Target="https://www.lcsc.com/product-detail/dip-switches_xkb-connection-dsic05ls-p_C319036.html" TargetMode="External"/><Relationship Id="rId111" Type="http://schemas.openxmlformats.org/officeDocument/2006/relationships/hyperlink" Target="https://www.lcsc.com/product-detail/crystals_seiko-epson-q22fa12800090_C255883.html" TargetMode="External"/><Relationship Id="rId132" Type="http://schemas.openxmlformats.org/officeDocument/2006/relationships/hyperlink" Target="https://www.lcsc.com/product-detail/LED-Indication-Discrete_Foshan-NationStar-Optoelectronics-NCD0603R3_C3151730.html" TargetMode="External"/><Relationship Id="rId15" Type="http://schemas.openxmlformats.org/officeDocument/2006/relationships/hyperlink" Target="https://www.lcsc.com/product-detail/multilayer-ceramic-capacitors-mlcc-smd-smt_yageo-cc0402crnpo9bn6r8_C189470.html" TargetMode="External"/><Relationship Id="rId36" Type="http://schemas.openxmlformats.org/officeDocument/2006/relationships/hyperlink" Target="https://www.lcsc.com/product-detail/schottky-diodes_mdd-microdiode-semiconductor-ss16_C2481.html" TargetMode="External"/><Relationship Id="rId57" Type="http://schemas.openxmlformats.org/officeDocument/2006/relationships/hyperlink" Target="https://www.lcsc.com/product-detail/chip-resistor-surface-mount_yageo-rc0402fr-070rl_C106231.html" TargetMode="External"/><Relationship Id="rId106" Type="http://schemas.openxmlformats.org/officeDocument/2006/relationships/hyperlink" Target="https://jlcpcb.com/partdetail/TexasInstruments-THVD1449DR/C3235059" TargetMode="External"/><Relationship Id="rId127" Type="http://schemas.openxmlformats.org/officeDocument/2006/relationships/hyperlink" Target="https://www.lcsc.com/product-detail/Screw-Terminal-Blocks_DORABO-DB128V-5-08-7P-GN-S_C2927514.html" TargetMode="External"/><Relationship Id="rId10" Type="http://schemas.openxmlformats.org/officeDocument/2006/relationships/hyperlink" Target="https://www.lcsc.com/product-detail/multilayer-ceramic-capacitors-mlcc-smd-smt_samsung-electro-mechanics-cl10a105kb8nnnc_C15849.html" TargetMode="External"/><Relationship Id="rId31" Type="http://schemas.openxmlformats.org/officeDocument/2006/relationships/hyperlink" Target="https://www.lcsc.com/product-detail/esd-and-surge-protection-tvs-esd_diodes-incorporated-smbj26a-13-f_C135062.html" TargetMode="External"/><Relationship Id="rId52" Type="http://schemas.openxmlformats.org/officeDocument/2006/relationships/hyperlink" Target="https://www.lcsc.com/product-detail/screw-terminal-blocks_dorabo-db128l-5-08-3p-og-s_C430604.html" TargetMode="External"/><Relationship Id="rId73" Type="http://schemas.openxmlformats.org/officeDocument/2006/relationships/hyperlink" Target="https://www.lcsc.com/product-detail/chip-resistor-surface-mount_yageo-rc0603fr-0749r9l_C114625.html" TargetMode="External"/><Relationship Id="rId78" Type="http://schemas.openxmlformats.org/officeDocument/2006/relationships/hyperlink" Target="https://www.lcsc.com/product-detail/chip-resistor-surface-mount_yageo-rc0402fr-0747kl_C93943.html" TargetMode="External"/><Relationship Id="rId94" Type="http://schemas.openxmlformats.org/officeDocument/2006/relationships/hyperlink" Target="https://www.lcsc.com/product-detail/esd-and-surge-protection-tvs-esd_tech-public-usblc6-2sc6_C2827654.html" TargetMode="External"/><Relationship Id="rId99" Type="http://schemas.openxmlformats.org/officeDocument/2006/relationships/hyperlink" Target="https://www.chipsmall.com/Products/LM60440AQRPKRQ1_30822739.html" TargetMode="External"/><Relationship Id="rId101" Type="http://schemas.openxmlformats.org/officeDocument/2006/relationships/hyperlink" Target="https://www.lcsc.com/product-detail/ethernet-transceivers_microchip-tech-ksz8863rlli_C631675.html" TargetMode="External"/><Relationship Id="rId122" Type="http://schemas.openxmlformats.org/officeDocument/2006/relationships/hyperlink" Target="https://www.lcsc.com/product-detail/Screw-Terminal-Blocks_DORABO-DB128L-5-08-3P-BK-S_C430602.html" TargetMode="External"/><Relationship Id="rId143" Type="http://schemas.openxmlformats.org/officeDocument/2006/relationships/hyperlink" Target="https://www.lcsc.com/product-detail/Chip-Resistor-Surface-Mount_YAGEO-RC0402FR-0710KL_C60490.html" TargetMode="External"/><Relationship Id="rId4" Type="http://schemas.openxmlformats.org/officeDocument/2006/relationships/hyperlink" Target="https://www.lcsc.com/product-detail/multilayer-ceramic-capacitors-mlcc-smd-smt_yageo-cc0402jrx7r7bb104_C541464.html" TargetMode="External"/><Relationship Id="rId9" Type="http://schemas.openxmlformats.org/officeDocument/2006/relationships/hyperlink" Target="https://www.lcsc.com/product-detail/multilayer-ceramic-capacitors-mlcc-smd-smt_murata-electronics-grm21br61h106me43l_C2190942.html" TargetMode="External"/><Relationship Id="rId26" Type="http://schemas.openxmlformats.org/officeDocument/2006/relationships/hyperlink" Target="https://www.lcsc.com/product-detail/multilayer-ceramic-capacitors-mlcc-smd-smt_yageo-cc0402grnpo9bn300_C277479.html" TargetMode="External"/><Relationship Id="rId47" Type="http://schemas.openxmlformats.org/officeDocument/2006/relationships/hyperlink" Target="https://www.lcsc.com/product-detail/screw-terminal-blocks_dorabo-db128l-5-08-2p-gy-s_C500021.html" TargetMode="External"/><Relationship Id="rId68" Type="http://schemas.openxmlformats.org/officeDocument/2006/relationships/hyperlink" Target="https://www.lcsc.com/product-detail/chip-resistor-surface-mount_yageo-rc0402fr-07499rl_C137970.html" TargetMode="External"/><Relationship Id="rId89" Type="http://schemas.openxmlformats.org/officeDocument/2006/relationships/hyperlink" Target="https://www.lcsc.com/product-detail/dip-switches_dongguan-kingtek-industrial-co-ltd-dsic03lsget_C57453.html" TargetMode="External"/><Relationship Id="rId112" Type="http://schemas.openxmlformats.org/officeDocument/2006/relationships/hyperlink" Target="https://www.lcsc.com/product-detail/crystals_ndk-nx3215sa-32-768k-std-mua-8_C156245.html" TargetMode="External"/><Relationship Id="rId133" Type="http://schemas.openxmlformats.org/officeDocument/2006/relationships/hyperlink" Target="https://www.lcsc.com/product-detail/LED-Indication-Discrete_Foshan-NationStar-Optoelectronics-NCD0603Y2_C89811.html" TargetMode="External"/><Relationship Id="rId16" Type="http://schemas.openxmlformats.org/officeDocument/2006/relationships/hyperlink" Target="https://www.lcsc.com/product-detail/multilayer-ceramic-capacitors-mlcc-smd-smt_yageo-cc0805mkx5r8bb226_C784585.html" TargetMode="External"/><Relationship Id="rId37" Type="http://schemas.openxmlformats.org/officeDocument/2006/relationships/hyperlink" Target="https://www.lcsc.com/product-detail/zener-diodes_onsemi-1sma5930bt3g_C128848.html" TargetMode="External"/><Relationship Id="rId58" Type="http://schemas.openxmlformats.org/officeDocument/2006/relationships/hyperlink" Target="https://www.lcsc.com/product-detail/chip-resistor-surface-mount_yageo-rc0402fr-075k1l_C105872.html" TargetMode="External"/><Relationship Id="rId79" Type="http://schemas.openxmlformats.org/officeDocument/2006/relationships/hyperlink" Target="https://www.lcsc.com/product-detail/chip-resistor-surface-mount_yageo-rc0603jr-07330rl_C105879.html" TargetMode="External"/><Relationship Id="rId102" Type="http://schemas.openxmlformats.org/officeDocument/2006/relationships/hyperlink" Target="https://www.lcsc.com/product-detail/eeprom_microchip-tech-at24c02c-sshm-t_C6203.html" TargetMode="External"/><Relationship Id="rId123" Type="http://schemas.openxmlformats.org/officeDocument/2006/relationships/hyperlink" Target="https://www.lcsc.com/product-detail/Screw-Terminal-Blocks_DORABO-DB128L-5-08-3P-GN-S_C395869.html" TargetMode="External"/><Relationship Id="rId144" Type="http://schemas.openxmlformats.org/officeDocument/2006/relationships/hyperlink" Target="https://www.lcsc.com/product-detail/Chip-Resistor-Surface-Mount_YAGEO-RC0603FR-0722K1L_C137768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gikey.com/en/products/detail/amazing/AZ4024-01G/16615396?s=N4IgTCBcDaIIIC0AsAGMSC0KCMBxEAugL5A" TargetMode="External"/><Relationship Id="rId21" Type="http://schemas.openxmlformats.org/officeDocument/2006/relationships/hyperlink" Target="https://www.lcsc.com/product-detail/multilayer-ceramic-capacitors-mlcc-smd-smt_murata-electronics-grm155r61e225ke11d_C385032.html" TargetMode="External"/><Relationship Id="rId42" Type="http://schemas.openxmlformats.org/officeDocument/2006/relationships/hyperlink" Target="https://www.lcsc.com/product-detail/ferrite-beads_murata-electronics-blm18pg221sn1d_C80165.html" TargetMode="External"/><Relationship Id="rId63" Type="http://schemas.openxmlformats.org/officeDocument/2006/relationships/hyperlink" Target="https://www.lcsc.com/product-detail/chip-resistor-surface-mount_yageo-rc0402fr-073k9l_C131467.html" TargetMode="External"/><Relationship Id="rId84" Type="http://schemas.openxmlformats.org/officeDocument/2006/relationships/hyperlink" Target="https://www.lcsc.com/product-detail/chip-resistor-surface-mount_yageo-rc0402fr-072k7l_C138017.html" TargetMode="External"/><Relationship Id="rId138" Type="http://schemas.openxmlformats.org/officeDocument/2006/relationships/hyperlink" Target="https://www.lcsc.com/product-detail/MOSFETs_Diodes-Incorporated-DMT6007LFG-7_C2802568.html" TargetMode="External"/><Relationship Id="rId107" Type="http://schemas.openxmlformats.org/officeDocument/2006/relationships/hyperlink" Target="https://www.lcsc.com/product-detail/analog-to-digital-converters-adc_texas-instruments-ads1113idgsr_C477969.html" TargetMode="External"/><Relationship Id="rId11" Type="http://schemas.openxmlformats.org/officeDocument/2006/relationships/hyperlink" Target="https://www.lcsc.com/product-detail/multilayer-ceramic-capacitors-mlcc-smd-smt_samsung-electro-mechanics-cl10b104kb8wpnc_C307348.html" TargetMode="External"/><Relationship Id="rId32" Type="http://schemas.openxmlformats.org/officeDocument/2006/relationships/hyperlink" Target="https://www.lcsc.com/product-detail/esd-and-surge-protection-tvs-esd_stmicroelectronics-esdalc6v1w5_C703691.html" TargetMode="External"/><Relationship Id="rId53" Type="http://schemas.openxmlformats.org/officeDocument/2006/relationships/hyperlink" Target="https://www.lcsc.com/product-detail/wire-to-board-connector_jst-b4b-xh-a-lf-sn_C144395.html" TargetMode="External"/><Relationship Id="rId74" Type="http://schemas.openxmlformats.org/officeDocument/2006/relationships/hyperlink" Target="https://www.lcsc.com/product-detail/chip-resistor-surface-mount_yageo-rc0402fr-071kl_C106235.html" TargetMode="External"/><Relationship Id="rId128" Type="http://schemas.openxmlformats.org/officeDocument/2006/relationships/hyperlink" Target="https://www.lcsc.com/product-detail/Screw-Terminal-Blocks_DORABO-DB128V-5-08-7P-GN-S_C2927514.html" TargetMode="External"/><Relationship Id="rId5" Type="http://schemas.openxmlformats.org/officeDocument/2006/relationships/hyperlink" Target="https://www.lcsc.com/product-detail/multilayer-ceramic-capacitors-mlcc-smd-smt_yageo-cc0402krx5r6bb475_C326586.html" TargetMode="External"/><Relationship Id="rId90" Type="http://schemas.openxmlformats.org/officeDocument/2006/relationships/hyperlink" Target="https://www.lcsc.com/product-detail/usb-converters_skyworks-silicon-labs-cp2102n-a02-gqfn28r_C964632.html" TargetMode="External"/><Relationship Id="rId95" Type="http://schemas.openxmlformats.org/officeDocument/2006/relationships/hyperlink" Target="https://www.lcsc.com/product-detail/can-transceivers_texas-instruments-tcan3414dr_C22396693.html" TargetMode="External"/><Relationship Id="rId22" Type="http://schemas.openxmlformats.org/officeDocument/2006/relationships/hyperlink" Target="https://www.lcsc.com/product-detail/multilayer-ceramic-capacitors-mlcc-smd-smt_yageo-cc0201jrnpo9bn150_C277480.html" TargetMode="External"/><Relationship Id="rId27" Type="http://schemas.openxmlformats.org/officeDocument/2006/relationships/hyperlink" Target="https://www.lcsc.com/product-detail/multilayer-ceramic-capacitors-mlcc-smd-smt_taiyo-yuden-emk212bb7106mg-t_C141287.html" TargetMode="External"/><Relationship Id="rId43" Type="http://schemas.openxmlformats.org/officeDocument/2006/relationships/hyperlink" Target="https://www.lcsc.com/product-detail/ferrite-beads_murata-electronics-blm18pg121sn1d_C14709.html" TargetMode="External"/><Relationship Id="rId48" Type="http://schemas.openxmlformats.org/officeDocument/2006/relationships/hyperlink" Target="https://www.lcsc.com/product-detail/screw-terminal-blocks_dorabo-db128l-5-08-2p-gn-s_C395868.html" TargetMode="External"/><Relationship Id="rId64" Type="http://schemas.openxmlformats.org/officeDocument/2006/relationships/hyperlink" Target="https://www.lcsc.com/product-detail/chip-resistor-surface-mount_yageo-rt0805brd07698kl_C865618.html" TargetMode="External"/><Relationship Id="rId69" Type="http://schemas.openxmlformats.org/officeDocument/2006/relationships/hyperlink" Target="https://www.lcsc.com/product-detail/chip-resistor-surface-mount_yageo-rc0603fr-072r2l_C112307.html" TargetMode="External"/><Relationship Id="rId113" Type="http://schemas.openxmlformats.org/officeDocument/2006/relationships/hyperlink" Target="https://www.chipsmall.com/Products/LAN9253-I-R4X_33343268.html" TargetMode="External"/><Relationship Id="rId118" Type="http://schemas.openxmlformats.org/officeDocument/2006/relationships/hyperlink" Target="https://www.digikey.com/en/products/detail/amazing/AZ3005-01G/16615381?s=N4IgTCBcDaIIIC0DMAGFBWAtCgjAcRAF0BfIA" TargetMode="External"/><Relationship Id="rId134" Type="http://schemas.openxmlformats.org/officeDocument/2006/relationships/hyperlink" Target="https://www.lcsc.com/product-detail/LED-Indication-Discrete_Foshan-NationStar-Optoelectronics-NCD0603Y2_C89811.html" TargetMode="External"/><Relationship Id="rId139" Type="http://schemas.openxmlformats.org/officeDocument/2006/relationships/hyperlink" Target="https://www.lcsc.com/product-detail/MOSFETs_BORN-AO3400A_C344010.html" TargetMode="External"/><Relationship Id="rId80" Type="http://schemas.openxmlformats.org/officeDocument/2006/relationships/hyperlink" Target="https://www.lcsc.com/product-detail/chip-resistor-surface-mount_yageo-rc0402fr-0720kl_C93942.html" TargetMode="External"/><Relationship Id="rId85" Type="http://schemas.openxmlformats.org/officeDocument/2006/relationships/hyperlink" Target="https://www.lcsc.com/product-detail/tactile-switches_omron-electronics-b3u-1000p_C231329.html" TargetMode="External"/><Relationship Id="rId12" Type="http://schemas.openxmlformats.org/officeDocument/2006/relationships/hyperlink" Target="https://www.lcsc.com/product-detail/multilayer-ceramic-capacitors-mlcc-smd-smt_taiyo-yuden-umk316ab7475kl-t_C92853.html" TargetMode="External"/><Relationship Id="rId17" Type="http://schemas.openxmlformats.org/officeDocument/2006/relationships/hyperlink" Target="https://www.lcsc.com/product-detail/multilayer-ceramic-capacitors-mlcc-smd-smt_yageo-cc1206kkx7rdbb102_C23631.html" TargetMode="External"/><Relationship Id="rId33" Type="http://schemas.openxmlformats.org/officeDocument/2006/relationships/hyperlink" Target="https://www.lcsc.com/product-detail/esd-and-surge-protection-tvs-esd_stmicroelectronics-esda7p60-1u1m_C1975146.html" TargetMode="External"/><Relationship Id="rId38" Type="http://schemas.openxmlformats.org/officeDocument/2006/relationships/hyperlink" Target="https://jlcpcb.com/partdetail/Onsemi-MM3Z3V3B/C556407" TargetMode="External"/><Relationship Id="rId59" Type="http://schemas.openxmlformats.org/officeDocument/2006/relationships/hyperlink" Target="https://www.lcsc.com/product-detail/chip-resistor-surface-mount_yageo-rc0402fr-074k7l_C105871.html" TargetMode="External"/><Relationship Id="rId103" Type="http://schemas.openxmlformats.org/officeDocument/2006/relationships/hyperlink" Target="https://www.lcsc.com/product-detail/power-distribution-switches_stmicroelectronics-stmps2161str_C361034.html" TargetMode="External"/><Relationship Id="rId108" Type="http://schemas.openxmlformats.org/officeDocument/2006/relationships/hyperlink" Target="https://www.lcsc.com/product-detail/dc-dc-converters_xi-an-aerosemi-tech-mt3608_C84817.html" TargetMode="External"/><Relationship Id="rId124" Type="http://schemas.openxmlformats.org/officeDocument/2006/relationships/hyperlink" Target="https://www.lcsc.com/product-detail/Screw-Terminal-Blocks_DORABO-DB128L-5-08-3P-GN-S_C395869.html" TargetMode="External"/><Relationship Id="rId129" Type="http://schemas.openxmlformats.org/officeDocument/2006/relationships/hyperlink" Target="https://www.lcsc.com/product-detail/Screw-Terminal-Blocks_DORABO-DB128V-5-08-12P-GN-S_C2927515.html" TargetMode="External"/><Relationship Id="rId54" Type="http://schemas.openxmlformats.org/officeDocument/2006/relationships/hyperlink" Target="https://www.lcsc.com/product-detail/ffc-fpc-flat-flexible-connector-assemblies_jushuo-afc07-s32eca-00_C262646.html" TargetMode="External"/><Relationship Id="rId70" Type="http://schemas.openxmlformats.org/officeDocument/2006/relationships/hyperlink" Target="https://www.lcsc.com/product-detail/chip-resistor-surface-mount_yageo-rc0402fr-0733rl_C138002.html" TargetMode="External"/><Relationship Id="rId75" Type="http://schemas.openxmlformats.org/officeDocument/2006/relationships/hyperlink" Target="https://www.lcsc.com/product-detail/chip-resistor-surface-mount_yageo-rt0603brd0711k8l_C861089.html" TargetMode="External"/><Relationship Id="rId91" Type="http://schemas.openxmlformats.org/officeDocument/2006/relationships/hyperlink" Target="https://www.lcsc.com/product-detail/wifi-modules_espressif-systems-esp32-wroom-32e-n16_C701343.html" TargetMode="External"/><Relationship Id="rId96" Type="http://schemas.openxmlformats.org/officeDocument/2006/relationships/hyperlink" Target="https://www.lcsc.com/product-detail/translators-level-shifters_texas-instruments-txs0102dcur_C53434.html" TargetMode="External"/><Relationship Id="rId140" Type="http://schemas.openxmlformats.org/officeDocument/2006/relationships/hyperlink" Target="https://www.lcsc.com/product-detail/MOSFETs_TECH-PUBLIC-SI2302CDS_C5310968.html" TargetMode="External"/><Relationship Id="rId145" Type="http://schemas.openxmlformats.org/officeDocument/2006/relationships/hyperlink" Target="https://www.lcsc.com/product-detail/Chip-Resistor-Surface-Mount_YAGEO-RC0603FR-0722K1L_C137768.html" TargetMode="External"/><Relationship Id="rId1" Type="http://schemas.openxmlformats.org/officeDocument/2006/relationships/hyperlink" Target="https://www.lcsc.com/product-detail/multilayer-ceramic-capacitors-mlcc-smd-smt_yageo-cc0402krx5r7bb105_C325464.html" TargetMode="External"/><Relationship Id="rId6" Type="http://schemas.openxmlformats.org/officeDocument/2006/relationships/hyperlink" Target="https://www.lcsc.com/product-detail/aluminum-electrolytic-capacitors-smd_nichicon-ucd1h221mnl1gs_C116211.html" TargetMode="External"/><Relationship Id="rId23" Type="http://schemas.openxmlformats.org/officeDocument/2006/relationships/hyperlink" Target="https://www.lcsc.com/product-detail/multilayer-ceramic-capacitors-mlcc-smd-smt_murata-electronics-grm155r11h471ka01d_C576458.html" TargetMode="External"/><Relationship Id="rId28" Type="http://schemas.openxmlformats.org/officeDocument/2006/relationships/hyperlink" Target="https://www.lcsc.com/product-detail/switching-diodes_diodes-incorporated-1n4148w-7-f_C83528.html" TargetMode="External"/><Relationship Id="rId49" Type="http://schemas.openxmlformats.org/officeDocument/2006/relationships/hyperlink" Target="https://www.lcsc.com/product-detail/screw-terminal-blocks_dorabo-db128l-5-08-2p-bk-s_C430601.html" TargetMode="External"/><Relationship Id="rId114" Type="http://schemas.openxmlformats.org/officeDocument/2006/relationships/hyperlink" Target="https://www.chipsmall.com/Products/ESDM2033MX4T5G_ON-Semiconductor_20281488.html" TargetMode="External"/><Relationship Id="rId119" Type="http://schemas.openxmlformats.org/officeDocument/2006/relationships/hyperlink" Target="https://www.digikey.com/en/products/detail/amazing/AZ3003-01G/16615352?s=N4IgTCBcDaIIIC0DMAGFSC0KCMBxEAugL5A" TargetMode="External"/><Relationship Id="rId44" Type="http://schemas.openxmlformats.org/officeDocument/2006/relationships/hyperlink" Target="https://www.lcsc.com/product-detail/usb-connectors_korean-hroparts-elec-type-c-31-m-12_C165948.html" TargetMode="External"/><Relationship Id="rId60" Type="http://schemas.openxmlformats.org/officeDocument/2006/relationships/hyperlink" Target="https://www.lcsc.com/product-detail/chip-resistor-surface-mount_uni-royal-uniroyal-elec-0402wgf4301tce_C25899.html" TargetMode="External"/><Relationship Id="rId65" Type="http://schemas.openxmlformats.org/officeDocument/2006/relationships/hyperlink" Target="https://www.lcsc.com/product-detail/chip-resistor-surface-mount_yageo-rt0805brd0751k1l_C865541.html" TargetMode="External"/><Relationship Id="rId81" Type="http://schemas.openxmlformats.org/officeDocument/2006/relationships/hyperlink" Target="https://www.lcsc.com/product-detail/chip-resistor-surface-mount_yageo-rc0402fr-07100rl_C106232.html" TargetMode="External"/><Relationship Id="rId86" Type="http://schemas.openxmlformats.org/officeDocument/2006/relationships/hyperlink" Target="https://www.lcsc.com/product-detail/dip-switches_xkb-connection-dsic07ls-p_C319033.html" TargetMode="External"/><Relationship Id="rId130" Type="http://schemas.openxmlformats.org/officeDocument/2006/relationships/hyperlink" Target="https://www.lcsc.com/product-detail/Screw-Terminal-Blocks_DORABO-DB128V-5-08-4P-GN-S_C2915641.html" TargetMode="External"/><Relationship Id="rId135" Type="http://schemas.openxmlformats.org/officeDocument/2006/relationships/hyperlink" Target="https://www.lcsc.com/product-detail/LED-Indication-Discrete_Foshan-NationStar-Optoelectronics-NCD0603G2_C87326.html" TargetMode="External"/><Relationship Id="rId13" Type="http://schemas.openxmlformats.org/officeDocument/2006/relationships/hyperlink" Target="https://www.lcsc.com/product-detail/multilayer-ceramic-capacitors-mlcc-smd-smt_yageo-cc0603krx7r9bb224_C107083.html" TargetMode="External"/><Relationship Id="rId18" Type="http://schemas.openxmlformats.org/officeDocument/2006/relationships/hyperlink" Target="https://www.lcsc.com/product-detail/multilayer-ceramic-capacitors-mlcc-smd-smt_yageo-cc0402jrnpo9bn101_C106200.html" TargetMode="External"/><Relationship Id="rId39" Type="http://schemas.openxmlformats.org/officeDocument/2006/relationships/hyperlink" Target="https://www.lcsc.com/product-detail/schottky-diodes_diodes-incorporated-1n5819hw-7-f_C82544.html" TargetMode="External"/><Relationship Id="rId109" Type="http://schemas.openxmlformats.org/officeDocument/2006/relationships/hyperlink" Target="https://www.chipsmall.com/Products/ECS-2033-250-BN_10566787.html" TargetMode="External"/><Relationship Id="rId34" Type="http://schemas.openxmlformats.org/officeDocument/2006/relationships/hyperlink" Target="https://www.lcsc.com/product-detail/esd-and-surge-protection-tvs-esd_stmicroelectronics-esdalc6v1-1u2_C1974498.html" TargetMode="External"/><Relationship Id="rId50" Type="http://schemas.openxmlformats.org/officeDocument/2006/relationships/hyperlink" Target="https://www.lcsc.com/product-detail/pin-headers_xkb-connection-x6511wv-02h-c60d30_C706874.html" TargetMode="External"/><Relationship Id="rId55" Type="http://schemas.openxmlformats.org/officeDocument/2006/relationships/hyperlink" Target="https://www.lcsc.com/product-detail/ethernet-connectors-modular-connectors-rj45-rj11_te-connectivity-2-406549-1_C125068.html" TargetMode="External"/><Relationship Id="rId76" Type="http://schemas.openxmlformats.org/officeDocument/2006/relationships/hyperlink" Target="https://www.lcsc.com/product-detail/chip-resistor-surface-mount_yageo-rc0402jr-0775rl_C137841.html" TargetMode="External"/><Relationship Id="rId97" Type="http://schemas.openxmlformats.org/officeDocument/2006/relationships/hyperlink" Target="https://www.lcsc.com/product-detail/power-distribution-switches_texas-instruments-lm74700qdbvrq1_C2941042.html" TargetMode="External"/><Relationship Id="rId104" Type="http://schemas.openxmlformats.org/officeDocument/2006/relationships/hyperlink" Target="https://www.chipsmall.com/Products/TRSF3221EIRGTR_33316274.html" TargetMode="External"/><Relationship Id="rId120" Type="http://schemas.openxmlformats.org/officeDocument/2006/relationships/hyperlink" Target="https://www.lcsc.com/product-detail/pin-headers_xkb-connection-x6511wv-03h-c60d30_C706875.html" TargetMode="External"/><Relationship Id="rId125" Type="http://schemas.openxmlformats.org/officeDocument/2006/relationships/hyperlink" Target="https://www.lcsc.com/product-detail/Screw-Terminal-Blocks_DORABO-DB128L-5-08-3P-GY-S_C500022.html" TargetMode="External"/><Relationship Id="rId141" Type="http://schemas.openxmlformats.org/officeDocument/2006/relationships/hyperlink" Target="https://www.lcsc.com/product-detail/Bipolar-BJT_ElecSuper-MMBT3904_C5249683.html" TargetMode="External"/><Relationship Id="rId146" Type="http://schemas.openxmlformats.org/officeDocument/2006/relationships/hyperlink" Target="https://www.lcsc.com/product-detail/Chip-Resistor-Surface-Mount_YAGEO-RC0603FR-07220RL_C107696.html" TargetMode="External"/><Relationship Id="rId7" Type="http://schemas.openxmlformats.org/officeDocument/2006/relationships/hyperlink" Target="https://www.lcsc.com/product-detail/aluminum-electrolytic-capacitors-smd_roqang-rvt1h470m0607_C72523.html" TargetMode="External"/><Relationship Id="rId71" Type="http://schemas.openxmlformats.org/officeDocument/2006/relationships/hyperlink" Target="https://www.lcsc.com/product-detail/chip-resistor-surface-mount_yageo-rc0603fr-0751rl_C114628.html" TargetMode="External"/><Relationship Id="rId92" Type="http://schemas.openxmlformats.org/officeDocument/2006/relationships/hyperlink" Target="https://jlcpcb.com/partdetail/TexasInstruments-PCF8574APWR/C94361" TargetMode="External"/><Relationship Id="rId2" Type="http://schemas.openxmlformats.org/officeDocument/2006/relationships/hyperlink" Target="https://www.lcsc.com/product-detail/multilayer-ceramic-capacitors-mlcc-smd-smt_yageo-cc0805kkx7r8bb475_C354262.html" TargetMode="External"/><Relationship Id="rId29" Type="http://schemas.openxmlformats.org/officeDocument/2006/relationships/hyperlink" Target="https://www.lcsc.com/product-detail/esd-and-surge-protection-tvs-esd_bourns-cdsot23-t24can-q_C350941.html" TargetMode="External"/><Relationship Id="rId24" Type="http://schemas.openxmlformats.org/officeDocument/2006/relationships/hyperlink" Target="https://www.lcsc.com/product-detail/multilayer-ceramic-capacitors-mlcc-smd-smt_murata-electronics-grm1555c1h100ja01d_C76946.html" TargetMode="External"/><Relationship Id="rId40" Type="http://schemas.openxmlformats.org/officeDocument/2006/relationships/hyperlink" Target="https://www.lcsc.com/product-detail/resettable-fuses_littelfuse-0805l110slyr_C207024.html" TargetMode="External"/><Relationship Id="rId45" Type="http://schemas.openxmlformats.org/officeDocument/2006/relationships/hyperlink" Target="https://www.lcsc.com/product-detail/wire-to-board-connector_boomele-boom-precision-elec-1-0t-6p_C145963.html" TargetMode="External"/><Relationship Id="rId66" Type="http://schemas.openxmlformats.org/officeDocument/2006/relationships/hyperlink" Target="https://www.lcsc.com/product-detail/chip-resistor-surface-mount_yageo-rt0402brd0724k9l_C852664.html" TargetMode="External"/><Relationship Id="rId87" Type="http://schemas.openxmlformats.org/officeDocument/2006/relationships/hyperlink" Target="https://www.lcsc.com/product-detail/dip-switches_xkb-connection-dsic05ls-p_C319036.html" TargetMode="External"/><Relationship Id="rId110" Type="http://schemas.openxmlformats.org/officeDocument/2006/relationships/hyperlink" Target="https://www.lcsc.com/product-detail/crystals_seiko-epson-q22fa12800090_C255883.html" TargetMode="External"/><Relationship Id="rId115" Type="http://schemas.openxmlformats.org/officeDocument/2006/relationships/hyperlink" Target="https://www.chipsmall.com/Products/TC2030-IDC_10471659.html" TargetMode="External"/><Relationship Id="rId131" Type="http://schemas.openxmlformats.org/officeDocument/2006/relationships/hyperlink" Target="https://www.lcsc.com/product-detail/Power-Inductors_BOURNS-SRP1265A-150M_C189912.html" TargetMode="External"/><Relationship Id="rId136" Type="http://schemas.openxmlformats.org/officeDocument/2006/relationships/hyperlink" Target="https://www.lcsc.com/product-detail/RGB-LEDs-Built-in-IC_Worldsemi-WS2812D-F5_C190565.html" TargetMode="External"/><Relationship Id="rId61" Type="http://schemas.openxmlformats.org/officeDocument/2006/relationships/hyperlink" Target="https://www.lcsc.com/product-detail/chip-resistor-surface-mount_yageo-rc0603fr-07120rl_C114640.html" TargetMode="External"/><Relationship Id="rId82" Type="http://schemas.openxmlformats.org/officeDocument/2006/relationships/hyperlink" Target="https://www.lcsc.com/product-detail/chip-resistor-surface-mount_yageo-rc0603jr-07120rl_C114681.html" TargetMode="External"/><Relationship Id="rId19" Type="http://schemas.openxmlformats.org/officeDocument/2006/relationships/hyperlink" Target="https://www.lcsc.com/product-detail/multilayer-ceramic-capacitors-mlcc-smd-smt_yageo-cc0402krx7r8bb102_C541372.html" TargetMode="External"/><Relationship Id="rId14" Type="http://schemas.openxmlformats.org/officeDocument/2006/relationships/hyperlink" Target="https://www.lcsc.com/product-detail/multilayer-ceramic-capacitors-mlcc-smd-smt_murata-electronics-grm31cr61e476me44l_C403725.html" TargetMode="External"/><Relationship Id="rId30" Type="http://schemas.openxmlformats.org/officeDocument/2006/relationships/hyperlink" Target="https://www.lcsc.com/product-detail/esd-and-surge-protection-tvs-esd_diodes-incorporated-smbj58a-13-f_C135085.html" TargetMode="External"/><Relationship Id="rId35" Type="http://schemas.openxmlformats.org/officeDocument/2006/relationships/hyperlink" Target="https://www.lcsc.com/product-detail/esd-and-surge-protection-tvs-esd_tech-public-sm712_C521963.html" TargetMode="External"/><Relationship Id="rId56" Type="http://schemas.openxmlformats.org/officeDocument/2006/relationships/hyperlink" Target="https://www.lcsc.com/product-detail/chip-resistor-surface-mount_yageo-rc0402fr-070rl_C106231.html" TargetMode="External"/><Relationship Id="rId77" Type="http://schemas.openxmlformats.org/officeDocument/2006/relationships/hyperlink" Target="https://www.lcsc.com/product-detail/chip-resistor-surface-mount_yageo-rc0402fr-0747kl_C93943.html" TargetMode="External"/><Relationship Id="rId100" Type="http://schemas.openxmlformats.org/officeDocument/2006/relationships/hyperlink" Target="https://www.lcsc.com/product-detail/ethernet-transceivers_microchip-tech-ksz8863rlli_C631675.html" TargetMode="External"/><Relationship Id="rId105" Type="http://schemas.openxmlformats.org/officeDocument/2006/relationships/hyperlink" Target="https://jlcpcb.com/partdetail/TexasInstruments-THVD1449DR/C3235059" TargetMode="External"/><Relationship Id="rId126" Type="http://schemas.openxmlformats.org/officeDocument/2006/relationships/hyperlink" Target="https://www.lcsc.com/product-detail/Ethernet-Connectors-Modular-Connectors-RJ45-RJ11_HANRUN-Zhongshan-HanRun-Elec-HR911105A_C12074.html" TargetMode="External"/><Relationship Id="rId147" Type="http://schemas.openxmlformats.org/officeDocument/2006/relationships/hyperlink" Target="https://www.lcsc.com/product-detail/Chip-Resistor-Surface-Mount_YAGEO-RC0603FR-0747K5L_C137715.html" TargetMode="External"/><Relationship Id="rId8" Type="http://schemas.openxmlformats.org/officeDocument/2006/relationships/hyperlink" Target="https://www.lcsc.com/product-detail/multilayer-ceramic-capacitors-mlcc-smd-smt_yageo-cc0805jrx7r0bb223_C576993.html" TargetMode="External"/><Relationship Id="rId51" Type="http://schemas.openxmlformats.org/officeDocument/2006/relationships/hyperlink" Target="https://jlcpcb.com/partdetail/Littelfuse-178_61650002/C207061" TargetMode="External"/><Relationship Id="rId72" Type="http://schemas.openxmlformats.org/officeDocument/2006/relationships/hyperlink" Target="https://www.lcsc.com/product-detail/chip-resistor-surface-mount_yageo-rc0603fr-0749r9l_C114625.html" TargetMode="External"/><Relationship Id="rId93" Type="http://schemas.openxmlformats.org/officeDocument/2006/relationships/hyperlink" Target="https://www.lcsc.com/product-detail/esd-and-surge-protection-tvs-esd_tech-public-usblc6-2sc6_C2827654.html" TargetMode="External"/><Relationship Id="rId98" Type="http://schemas.openxmlformats.org/officeDocument/2006/relationships/hyperlink" Target="https://www.chipsmall.com/Products/LM60440AQRPKRQ1_30822739.html" TargetMode="External"/><Relationship Id="rId121" Type="http://schemas.openxmlformats.org/officeDocument/2006/relationships/hyperlink" Target="https://www.lcsc.com/product-detail/Ethernet-Connectors-Modular-Connectors-RJ45-RJ11_XKB-Connection-X14CBIWB1DY1027_C2931489.html" TargetMode="External"/><Relationship Id="rId142" Type="http://schemas.openxmlformats.org/officeDocument/2006/relationships/hyperlink" Target="https://www.lcsc.com/product-detail/MOSFETs_Guangdong-Hottech-AO3401_C181091.html" TargetMode="External"/><Relationship Id="rId3" Type="http://schemas.openxmlformats.org/officeDocument/2006/relationships/hyperlink" Target="https://www.lcsc.com/product-detail/multilayer-ceramic-capacitors-mlcc-smd-smt_yageo-cc0603krx5r7bb106_C2936601.html" TargetMode="External"/><Relationship Id="rId25" Type="http://schemas.openxmlformats.org/officeDocument/2006/relationships/hyperlink" Target="https://www.lcsc.com/product-detail/multilayer-ceramic-capacitors-mlcc-smd-smt_yageo-cc0402jrx7r7bb223_C541459.html" TargetMode="External"/><Relationship Id="rId46" Type="http://schemas.openxmlformats.org/officeDocument/2006/relationships/hyperlink" Target="https://www.lcsc.com/product-detail/screw-terminal-blocks_dorabo-db128l-5-08-2p-og-s_C430603.html" TargetMode="External"/><Relationship Id="rId67" Type="http://schemas.openxmlformats.org/officeDocument/2006/relationships/hyperlink" Target="https://www.lcsc.com/product-detail/chip-resistor-surface-mount_yageo-rc0402fr-07499rl_C137970.html" TargetMode="External"/><Relationship Id="rId116" Type="http://schemas.openxmlformats.org/officeDocument/2006/relationships/hyperlink" Target="https://www.chipsmall.com/Products/X322525MRB4SI_Yangxing-Tech_20410221.html" TargetMode="External"/><Relationship Id="rId137" Type="http://schemas.openxmlformats.org/officeDocument/2006/relationships/hyperlink" Target="https://www.lcsc.com/product-detail/Bipolar-BJT_Jiangsu-Changjing-Electronics-Technology-Co-Ltd-SS8050-G-RANGE-120-200_C164886.html" TargetMode="External"/><Relationship Id="rId20" Type="http://schemas.openxmlformats.org/officeDocument/2006/relationships/hyperlink" Target="https://www.lcsc.com/product-detail/multilayer-ceramic-capacitors-mlcc-smd-smt_yageo-cc0402krx7r8bb103_C327025.html" TargetMode="External"/><Relationship Id="rId41" Type="http://schemas.openxmlformats.org/officeDocument/2006/relationships/hyperlink" Target="https://www.lcsc.com/product-detail/resettable-fuses_techfuse-smd0603-050_C69679.html" TargetMode="External"/><Relationship Id="rId62" Type="http://schemas.openxmlformats.org/officeDocument/2006/relationships/hyperlink" Target="https://www.lcsc.com/product-detail/chip-resistor-surface-mount_yageo-rt0402brd07100kl_C852472.html" TargetMode="External"/><Relationship Id="rId83" Type="http://schemas.openxmlformats.org/officeDocument/2006/relationships/hyperlink" Target="https://www.lcsc.com/product-detail/chip-resistor-surface-mount_yageo-at0402brd0751kl_C5455493.html" TargetMode="External"/><Relationship Id="rId88" Type="http://schemas.openxmlformats.org/officeDocument/2006/relationships/hyperlink" Target="https://www.lcsc.com/product-detail/dip-switches_dongguan-kingtek-industrial-co-ltd-dsic03lsget_C57453.html" TargetMode="External"/><Relationship Id="rId111" Type="http://schemas.openxmlformats.org/officeDocument/2006/relationships/hyperlink" Target="https://www.lcsc.com/product-detail/crystals_ndk-nx3215sa-32-768k-std-mua-8_C156245.html" TargetMode="External"/><Relationship Id="rId132" Type="http://schemas.openxmlformats.org/officeDocument/2006/relationships/hyperlink" Target="https://www.lcsc.com/product-detail/Power-Inductors_YJYCOIN-YNR4018-220M_C340373.html" TargetMode="External"/><Relationship Id="rId15" Type="http://schemas.openxmlformats.org/officeDocument/2006/relationships/hyperlink" Target="https://www.lcsc.com/product-detail/multilayer-ceramic-capacitors-mlcc-smd-smt_yageo-cc0402crnpo9bn6r8_C189470.html" TargetMode="External"/><Relationship Id="rId36" Type="http://schemas.openxmlformats.org/officeDocument/2006/relationships/hyperlink" Target="https://www.lcsc.com/product-detail/schottky-diodes_mdd-microdiode-semiconductor-ss16_C2481.html" TargetMode="External"/><Relationship Id="rId57" Type="http://schemas.openxmlformats.org/officeDocument/2006/relationships/hyperlink" Target="https://www.lcsc.com/product-detail/chip-resistor-surface-mount_yageo-rc0402fr-075k1l_C105872.html" TargetMode="External"/><Relationship Id="rId106" Type="http://schemas.openxmlformats.org/officeDocument/2006/relationships/hyperlink" Target="https://www.lcsc.com/product-detail/eeprom_onsemi-cat24c256wi-gt3_C79987.html" TargetMode="External"/><Relationship Id="rId127" Type="http://schemas.openxmlformats.org/officeDocument/2006/relationships/hyperlink" Target="https://www.lcsc.com/product-detail/Screw-Terminal-Blocks_DORABO-DB128V-5-08-5P-GN-S_C2927513.html" TargetMode="External"/><Relationship Id="rId10" Type="http://schemas.openxmlformats.org/officeDocument/2006/relationships/hyperlink" Target="https://www.lcsc.com/product-detail/multilayer-ceramic-capacitors-mlcc-smd-smt_samsung-electro-mechanics-cl10a105kb8nnnc_C15849.html" TargetMode="External"/><Relationship Id="rId31" Type="http://schemas.openxmlformats.org/officeDocument/2006/relationships/hyperlink" Target="https://www.lcsc.com/product-detail/esd-and-surge-protection-tvs-esd_diodes-incorporated-smbj26a-13-f_C135062.html" TargetMode="External"/><Relationship Id="rId52" Type="http://schemas.openxmlformats.org/officeDocument/2006/relationships/hyperlink" Target="https://www.lcsc.com/product-detail/screw-terminal-blocks_dorabo-db128l-5-08-3p-og-s_C430604.html" TargetMode="External"/><Relationship Id="rId73" Type="http://schemas.openxmlformats.org/officeDocument/2006/relationships/hyperlink" Target="https://www.lcsc.com/product-detail/chip-resistor-surface-mount_yageo-rc0603fr-0775rl_C112309.html" TargetMode="External"/><Relationship Id="rId78" Type="http://schemas.openxmlformats.org/officeDocument/2006/relationships/hyperlink" Target="https://www.lcsc.com/product-detail/chip-resistor-surface-mount_yageo-rc0603jr-07330rl_C105879.html" TargetMode="External"/><Relationship Id="rId94" Type="http://schemas.openxmlformats.org/officeDocument/2006/relationships/hyperlink" Target="https://www.lcsc.com/product-detail/transistor-photovoltaic-output-optoisolators_slkor-slkormicro-elec-pc817c_C2936043.html" TargetMode="External"/><Relationship Id="rId99" Type="http://schemas.openxmlformats.org/officeDocument/2006/relationships/hyperlink" Target="https://www.chipsmall.com/Products/ST1L05APU33R_10354770.html" TargetMode="External"/><Relationship Id="rId101" Type="http://schemas.openxmlformats.org/officeDocument/2006/relationships/hyperlink" Target="https://www.lcsc.com/product-detail/eeprom_microchip-tech-at24c02c-sshm-t_C6203.html" TargetMode="External"/><Relationship Id="rId122" Type="http://schemas.openxmlformats.org/officeDocument/2006/relationships/hyperlink" Target="https://www.lcsc.com/product-detail/USB-Connectors_XKB-Connection-U254-051T-4BH83-F1S_C397452.html" TargetMode="External"/><Relationship Id="rId143" Type="http://schemas.openxmlformats.org/officeDocument/2006/relationships/hyperlink" Target="https://www.lcsc.com/product-detail/Chip-Resistor-Surface-Mount_YAGEO-RC0402FR-072KL_C60488.html" TargetMode="External"/><Relationship Id="rId4" Type="http://schemas.openxmlformats.org/officeDocument/2006/relationships/hyperlink" Target="https://www.lcsc.com/product-detail/multilayer-ceramic-capacitors-mlcc-smd-smt_yageo-cc0402jrx7r7bb104_C541464.html" TargetMode="External"/><Relationship Id="rId9" Type="http://schemas.openxmlformats.org/officeDocument/2006/relationships/hyperlink" Target="https://www.lcsc.com/product-detail/multilayer-ceramic-capacitors-mlcc-smd-smt_murata-electronics-grm21br61h106me43l_C2190942.html" TargetMode="External"/><Relationship Id="rId26" Type="http://schemas.openxmlformats.org/officeDocument/2006/relationships/hyperlink" Target="https://www.lcsc.com/product-detail/multilayer-ceramic-capacitors-mlcc-smd-smt_yageo-cc0402grnpo9bn300_C277479.html" TargetMode="External"/><Relationship Id="rId47" Type="http://schemas.openxmlformats.org/officeDocument/2006/relationships/hyperlink" Target="https://www.lcsc.com/product-detail/screw-terminal-blocks_dorabo-db128l-5-08-2p-gy-s_C500021.html" TargetMode="External"/><Relationship Id="rId68" Type="http://schemas.openxmlformats.org/officeDocument/2006/relationships/hyperlink" Target="https://www.lcsc.com/product-detail/chip-resistor-surface-mount_yageo-rc0402fr-07240rl_C114755.html" TargetMode="External"/><Relationship Id="rId89" Type="http://schemas.openxmlformats.org/officeDocument/2006/relationships/hyperlink" Target="https://www.lcsc.com/product-detail/pulse-transformers-lan_pulse-elec-h1102nlt_C18584.html" TargetMode="External"/><Relationship Id="rId112" Type="http://schemas.openxmlformats.org/officeDocument/2006/relationships/hyperlink" Target="https://www.lcsc.com/product-detail/digital-to-analog-converters-dac_guestgood-gp8413-tc50-ew_C5464816.html" TargetMode="External"/><Relationship Id="rId133" Type="http://schemas.openxmlformats.org/officeDocument/2006/relationships/hyperlink" Target="https://www.lcsc.com/product-detail/LED-Indication-Discrete_Foshan-NationStar-Optoelectronics-NCD0603R3_C3151730.html" TargetMode="External"/><Relationship Id="rId16" Type="http://schemas.openxmlformats.org/officeDocument/2006/relationships/hyperlink" Target="https://www.lcsc.com/product-detail/multilayer-ceramic-capacitors-mlcc-smd-smt_yageo-cc0805mkx5r8bb226_C784585.html" TargetMode="External"/><Relationship Id="rId37" Type="http://schemas.openxmlformats.org/officeDocument/2006/relationships/hyperlink" Target="https://www.lcsc.com/product-detail/zener-diodes_onsemi-1sma5930bt3g_C128848.html" TargetMode="External"/><Relationship Id="rId58" Type="http://schemas.openxmlformats.org/officeDocument/2006/relationships/hyperlink" Target="https://www.lcsc.com/product-detail/chip-resistor-surface-mount_yageo-rc0402fr-0749r9l_C87044.html" TargetMode="External"/><Relationship Id="rId79" Type="http://schemas.openxmlformats.org/officeDocument/2006/relationships/hyperlink" Target="https://www.lcsc.com/product-detail/chip-resistor-surface-mount_yageo-rt0402brd0712k1l_C281773.html" TargetMode="External"/><Relationship Id="rId102" Type="http://schemas.openxmlformats.org/officeDocument/2006/relationships/hyperlink" Target="https://www.lcsc.com/product-detail/microcontrollers-mcu-mpu-soc_stmicroelectronics-stm32h723zgt6_C730146.html" TargetMode="External"/><Relationship Id="rId123" Type="http://schemas.openxmlformats.org/officeDocument/2006/relationships/hyperlink" Target="https://www.lcsc.com/product-detail/Screw-Terminal-Blocks_DORABO-DB128L-5-08-3P-BK-S_C430602.html" TargetMode="External"/><Relationship Id="rId144" Type="http://schemas.openxmlformats.org/officeDocument/2006/relationships/hyperlink" Target="https://www.lcsc.com/product-detail/Chip-Resistor-Surface-Mount_YAGEO-RC0402FR-0710KL_C6049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75"/>
  <sheetViews>
    <sheetView topLeftCell="B91" workbookViewId="0">
      <selection activeCell="N98" sqref="N98"/>
    </sheetView>
  </sheetViews>
  <sheetFormatPr defaultRowHeight="1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9.425781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85546875" customWidth="1"/>
    <col min="16" max="16" width="18.7109375" bestFit="1" customWidth="1"/>
    <col min="17" max="17" width="19.28515625" bestFit="1" customWidth="1"/>
    <col min="18" max="18" width="13.42578125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8"/>
      <c r="L1" s="58"/>
      <c r="M1" s="58"/>
      <c r="N1" s="58"/>
      <c r="O1" s="58"/>
      <c r="P1" s="58"/>
      <c r="Q1" s="58"/>
      <c r="R1" s="58"/>
    </row>
    <row r="2" spans="1:18" ht="32.25" thickBot="1">
      <c r="A2" s="1"/>
      <c r="B2" s="7"/>
      <c r="C2" s="13"/>
      <c r="D2" s="4" t="s">
        <v>0</v>
      </c>
      <c r="E2" s="4"/>
      <c r="F2" s="40" t="s">
        <v>926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5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6</v>
      </c>
      <c r="D7" s="12" t="s">
        <v>43</v>
      </c>
      <c r="E7" s="12" t="s">
        <v>198</v>
      </c>
      <c r="F7" s="12" t="s">
        <v>347</v>
      </c>
      <c r="G7" s="12" t="s">
        <v>420</v>
      </c>
      <c r="H7" s="12" t="s">
        <v>538</v>
      </c>
      <c r="I7" s="12" t="s">
        <v>788</v>
      </c>
      <c r="J7" s="12" t="s">
        <v>593</v>
      </c>
      <c r="K7" s="12" t="s">
        <v>787</v>
      </c>
      <c r="L7" s="12" t="s">
        <v>784</v>
      </c>
      <c r="M7" s="12" t="s">
        <v>789</v>
      </c>
      <c r="N7" s="12" t="s">
        <v>790</v>
      </c>
      <c r="O7" s="12" t="s">
        <v>791</v>
      </c>
      <c r="P7" s="12" t="s">
        <v>792</v>
      </c>
      <c r="Q7" s="12" t="s">
        <v>793</v>
      </c>
      <c r="R7" s="12" t="s">
        <v>794</v>
      </c>
    </row>
    <row r="8" spans="1:18">
      <c r="A8" s="1"/>
      <c r="B8" s="16">
        <f>ROW(B8) - ROW($B$7)</f>
        <v>1</v>
      </c>
      <c r="C8" s="22" t="s">
        <v>7</v>
      </c>
      <c r="D8" s="14" t="s">
        <v>44</v>
      </c>
      <c r="E8" s="14" t="s">
        <v>199</v>
      </c>
      <c r="F8" s="14" t="s">
        <v>348</v>
      </c>
      <c r="G8" s="14" t="s">
        <v>421</v>
      </c>
      <c r="H8" s="14" t="s">
        <v>539</v>
      </c>
      <c r="I8" s="14" t="s">
        <v>626</v>
      </c>
      <c r="J8" s="14" t="s">
        <v>594</v>
      </c>
      <c r="K8" s="43" t="s">
        <v>729</v>
      </c>
      <c r="L8" s="14">
        <v>6</v>
      </c>
      <c r="M8" s="14">
        <f>L8*5</f>
        <v>30</v>
      </c>
      <c r="N8" s="14" t="s">
        <v>804</v>
      </c>
      <c r="O8" s="51" t="s">
        <v>829</v>
      </c>
      <c r="P8" s="15" t="s">
        <v>809</v>
      </c>
      <c r="Q8" s="15">
        <f>P8*N8</f>
        <v>0.38</v>
      </c>
      <c r="R8" s="14"/>
    </row>
    <row r="9" spans="1:18">
      <c r="A9" s="1"/>
      <c r="B9" s="17">
        <f t="shared" ref="B9:B161" si="0">ROW(B9) - ROW($B$7)</f>
        <v>2</v>
      </c>
      <c r="C9" s="23" t="s">
        <v>8</v>
      </c>
      <c r="D9" s="20" t="s">
        <v>45</v>
      </c>
      <c r="E9" s="20" t="s">
        <v>200</v>
      </c>
      <c r="F9" s="20" t="s">
        <v>349</v>
      </c>
      <c r="G9" s="20" t="s">
        <v>422</v>
      </c>
      <c r="H9" s="20" t="s">
        <v>539</v>
      </c>
      <c r="I9" s="14" t="s">
        <v>626</v>
      </c>
      <c r="J9" s="20" t="s">
        <v>595</v>
      </c>
      <c r="K9" s="44" t="s">
        <v>730</v>
      </c>
      <c r="L9" s="20">
        <v>3</v>
      </c>
      <c r="M9" s="20">
        <f t="shared" ref="M9" si="1">L9*5</f>
        <v>15</v>
      </c>
      <c r="N9" s="20" t="s">
        <v>805</v>
      </c>
      <c r="O9" s="51" t="s">
        <v>829</v>
      </c>
      <c r="P9" s="21" t="s">
        <v>810</v>
      </c>
      <c r="Q9" s="15">
        <f t="shared" ref="Q9:Q72" si="2">P9*N9</f>
        <v>0.71400000000000008</v>
      </c>
      <c r="R9" s="20"/>
    </row>
    <row r="10" spans="1:18">
      <c r="A10" s="1"/>
      <c r="B10" s="16">
        <f>ROW(B10) - ROW($B$7)</f>
        <v>3</v>
      </c>
      <c r="C10" s="22" t="s">
        <v>7</v>
      </c>
      <c r="D10" s="14" t="s">
        <v>46</v>
      </c>
      <c r="E10" s="14" t="s">
        <v>201</v>
      </c>
      <c r="F10" s="14" t="s">
        <v>350</v>
      </c>
      <c r="G10" s="14" t="s">
        <v>423</v>
      </c>
      <c r="H10" s="14" t="s">
        <v>539</v>
      </c>
      <c r="I10" s="14" t="s">
        <v>626</v>
      </c>
      <c r="J10" s="14" t="s">
        <v>596</v>
      </c>
      <c r="K10" s="43" t="s">
        <v>731</v>
      </c>
      <c r="L10" s="14">
        <v>3</v>
      </c>
      <c r="M10" s="14">
        <f>L10*5</f>
        <v>15</v>
      </c>
      <c r="N10" s="14">
        <v>20</v>
      </c>
      <c r="O10" s="51" t="s">
        <v>829</v>
      </c>
      <c r="P10" s="15" t="s">
        <v>811</v>
      </c>
      <c r="Q10" s="15">
        <f t="shared" si="2"/>
        <v>3.15</v>
      </c>
      <c r="R10" s="14"/>
    </row>
    <row r="11" spans="1:18" ht="144">
      <c r="A11" s="1"/>
      <c r="B11" s="17">
        <f t="shared" si="0"/>
        <v>4</v>
      </c>
      <c r="C11" s="23" t="s">
        <v>7</v>
      </c>
      <c r="D11" s="20" t="s">
        <v>47</v>
      </c>
      <c r="E11" s="20" t="s">
        <v>202</v>
      </c>
      <c r="F11" s="20" t="s">
        <v>348</v>
      </c>
      <c r="G11" s="20" t="s">
        <v>424</v>
      </c>
      <c r="H11" s="20" t="s">
        <v>539</v>
      </c>
      <c r="I11" s="14" t="s">
        <v>626</v>
      </c>
      <c r="J11" s="20" t="s">
        <v>597</v>
      </c>
      <c r="K11" s="44" t="s">
        <v>732</v>
      </c>
      <c r="L11" s="20">
        <v>78</v>
      </c>
      <c r="M11" s="20">
        <f t="shared" ref="M11" si="3">L11*5</f>
        <v>390</v>
      </c>
      <c r="N11" s="20" t="s">
        <v>828</v>
      </c>
      <c r="O11" s="51" t="s">
        <v>829</v>
      </c>
      <c r="P11" s="21" t="s">
        <v>812</v>
      </c>
      <c r="Q11" s="15">
        <f t="shared" si="2"/>
        <v>0.64</v>
      </c>
      <c r="R11" s="20"/>
    </row>
    <row r="12" spans="1:18">
      <c r="A12" s="1"/>
      <c r="B12" s="16">
        <f>ROW(B12) - ROW($B$7)</f>
        <v>5</v>
      </c>
      <c r="C12" s="23" t="s">
        <v>7</v>
      </c>
      <c r="D12" s="14" t="s">
        <v>48</v>
      </c>
      <c r="E12" s="14" t="s">
        <v>203</v>
      </c>
      <c r="F12" s="20" t="s">
        <v>348</v>
      </c>
      <c r="G12" s="14" t="s">
        <v>425</v>
      </c>
      <c r="H12" s="14" t="s">
        <v>539</v>
      </c>
      <c r="I12" s="14" t="s">
        <v>626</v>
      </c>
      <c r="J12" s="14" t="s">
        <v>598</v>
      </c>
      <c r="K12" s="44" t="s">
        <v>730</v>
      </c>
      <c r="L12" s="14">
        <v>7</v>
      </c>
      <c r="M12" s="14">
        <f>L12*5</f>
        <v>35</v>
      </c>
      <c r="N12" s="14" t="s">
        <v>807</v>
      </c>
      <c r="O12" s="51" t="s">
        <v>829</v>
      </c>
      <c r="P12" s="15" t="s">
        <v>813</v>
      </c>
      <c r="Q12" s="15">
        <f t="shared" si="2"/>
        <v>0.80499999999999994</v>
      </c>
      <c r="R12" s="14"/>
    </row>
    <row r="13" spans="1:18">
      <c r="A13" s="1"/>
      <c r="B13" s="17">
        <f t="shared" si="0"/>
        <v>6</v>
      </c>
      <c r="C13" s="23" t="s">
        <v>7</v>
      </c>
      <c r="D13" s="20" t="s">
        <v>49</v>
      </c>
      <c r="E13" s="20" t="s">
        <v>204</v>
      </c>
      <c r="F13" s="14" t="s">
        <v>351</v>
      </c>
      <c r="G13" s="20" t="s">
        <v>426</v>
      </c>
      <c r="H13" s="20" t="s">
        <v>540</v>
      </c>
      <c r="I13" s="14" t="s">
        <v>626</v>
      </c>
      <c r="J13" s="20" t="s">
        <v>599</v>
      </c>
      <c r="K13" s="43" t="s">
        <v>733</v>
      </c>
      <c r="L13" s="20">
        <v>1</v>
      </c>
      <c r="M13" s="20">
        <f t="shared" ref="M13" si="4">L13*5</f>
        <v>5</v>
      </c>
      <c r="N13" s="20">
        <v>10</v>
      </c>
      <c r="O13" s="51" t="s">
        <v>829</v>
      </c>
      <c r="P13" s="21" t="s">
        <v>814</v>
      </c>
      <c r="Q13" s="15">
        <f t="shared" si="2"/>
        <v>2.4379999999999997</v>
      </c>
      <c r="R13" s="20"/>
    </row>
    <row r="14" spans="1:18" ht="36">
      <c r="A14" s="1"/>
      <c r="B14" s="16">
        <f>ROW(B14) - ROW($B$7)</f>
        <v>7</v>
      </c>
      <c r="C14" s="23" t="s">
        <v>7</v>
      </c>
      <c r="D14" s="14" t="s">
        <v>50</v>
      </c>
      <c r="E14" s="14" t="s">
        <v>205</v>
      </c>
      <c r="F14" s="20" t="s">
        <v>786</v>
      </c>
      <c r="G14" s="14" t="s">
        <v>352</v>
      </c>
      <c r="H14" s="14" t="s">
        <v>541</v>
      </c>
      <c r="I14" s="14" t="s">
        <v>626</v>
      </c>
      <c r="J14" s="14" t="s">
        <v>600</v>
      </c>
      <c r="K14" s="44" t="s">
        <v>734</v>
      </c>
      <c r="L14" s="14">
        <v>1</v>
      </c>
      <c r="M14" s="14">
        <f>L14*5</f>
        <v>5</v>
      </c>
      <c r="N14" s="14" t="s">
        <v>805</v>
      </c>
      <c r="O14" s="51" t="s">
        <v>829</v>
      </c>
      <c r="P14" s="15" t="s">
        <v>815</v>
      </c>
      <c r="Q14" s="15">
        <f t="shared" si="2"/>
        <v>0.54600000000000004</v>
      </c>
      <c r="R14" s="14"/>
    </row>
    <row r="15" spans="1:18">
      <c r="A15" s="1"/>
      <c r="B15" s="17">
        <f t="shared" si="0"/>
        <v>8</v>
      </c>
      <c r="C15" s="23" t="s">
        <v>7</v>
      </c>
      <c r="D15" s="20" t="s">
        <v>51</v>
      </c>
      <c r="E15" s="20" t="s">
        <v>206</v>
      </c>
      <c r="F15" s="14" t="s">
        <v>349</v>
      </c>
      <c r="G15" s="20" t="s">
        <v>427</v>
      </c>
      <c r="H15" s="20" t="s">
        <v>539</v>
      </c>
      <c r="I15" s="14" t="s">
        <v>626</v>
      </c>
      <c r="J15" s="20" t="s">
        <v>601</v>
      </c>
      <c r="K15" s="43" t="s">
        <v>735</v>
      </c>
      <c r="L15" s="20">
        <v>1</v>
      </c>
      <c r="M15" s="20">
        <f t="shared" ref="M15" si="5">L15*5</f>
        <v>5</v>
      </c>
      <c r="N15" s="20" t="s">
        <v>807</v>
      </c>
      <c r="O15" s="51" t="s">
        <v>829</v>
      </c>
      <c r="P15" s="21" t="s">
        <v>816</v>
      </c>
      <c r="Q15" s="15">
        <f t="shared" si="2"/>
        <v>0.61</v>
      </c>
      <c r="R15" s="20"/>
    </row>
    <row r="16" spans="1:18">
      <c r="A16" s="1"/>
      <c r="B16" s="16">
        <f>ROW(B16) - ROW($B$7)</f>
        <v>9</v>
      </c>
      <c r="C16" s="23" t="s">
        <v>7</v>
      </c>
      <c r="D16" s="14" t="s">
        <v>52</v>
      </c>
      <c r="E16" s="14" t="s">
        <v>207</v>
      </c>
      <c r="F16" s="20" t="s">
        <v>349</v>
      </c>
      <c r="G16" s="14" t="s">
        <v>428</v>
      </c>
      <c r="H16" s="14" t="s">
        <v>542</v>
      </c>
      <c r="I16" s="14" t="s">
        <v>626</v>
      </c>
      <c r="J16" s="14" t="s">
        <v>602</v>
      </c>
      <c r="K16" s="44" t="s">
        <v>731</v>
      </c>
      <c r="L16" s="14">
        <v>2</v>
      </c>
      <c r="M16" s="14">
        <f>L16*5</f>
        <v>10</v>
      </c>
      <c r="N16" s="14" t="s">
        <v>808</v>
      </c>
      <c r="O16" s="51" t="s">
        <v>829</v>
      </c>
      <c r="P16" s="15" t="s">
        <v>817</v>
      </c>
      <c r="Q16" s="15">
        <f t="shared" si="2"/>
        <v>1.224</v>
      </c>
      <c r="R16" s="14"/>
    </row>
    <row r="17" spans="1:18">
      <c r="A17" s="1"/>
      <c r="B17" s="17">
        <f t="shared" si="0"/>
        <v>10</v>
      </c>
      <c r="C17" s="23" t="s">
        <v>7</v>
      </c>
      <c r="D17" s="20" t="s">
        <v>53</v>
      </c>
      <c r="E17" s="20" t="s">
        <v>208</v>
      </c>
      <c r="F17" s="14" t="s">
        <v>350</v>
      </c>
      <c r="G17" s="20" t="s">
        <v>429</v>
      </c>
      <c r="H17" s="20" t="s">
        <v>543</v>
      </c>
      <c r="I17" s="14" t="s">
        <v>626</v>
      </c>
      <c r="J17" s="20" t="s">
        <v>603</v>
      </c>
      <c r="K17" s="43" t="s">
        <v>729</v>
      </c>
      <c r="L17" s="20">
        <v>3</v>
      </c>
      <c r="M17" s="20">
        <f t="shared" ref="M17" si="6">L17*5</f>
        <v>15</v>
      </c>
      <c r="N17" s="20" t="s">
        <v>807</v>
      </c>
      <c r="O17" s="51" t="s">
        <v>829</v>
      </c>
      <c r="P17" s="21" t="s">
        <v>818</v>
      </c>
      <c r="Q17" s="15">
        <f t="shared" si="2"/>
        <v>0.185</v>
      </c>
      <c r="R17" s="20"/>
    </row>
    <row r="18" spans="1:18" ht="24">
      <c r="A18" s="1"/>
      <c r="B18" s="16">
        <f>ROW(B18) - ROW($B$7)</f>
        <v>11</v>
      </c>
      <c r="C18" s="23" t="s">
        <v>7</v>
      </c>
      <c r="D18" s="14" t="s">
        <v>54</v>
      </c>
      <c r="E18" s="14" t="s">
        <v>209</v>
      </c>
      <c r="F18" s="20" t="s">
        <v>350</v>
      </c>
      <c r="G18" s="44" t="s">
        <v>799</v>
      </c>
      <c r="H18" s="14" t="s">
        <v>543</v>
      </c>
      <c r="I18" s="14" t="s">
        <v>626</v>
      </c>
      <c r="J18" s="14" t="s">
        <v>604</v>
      </c>
      <c r="K18" s="44" t="s">
        <v>732</v>
      </c>
      <c r="L18" s="14">
        <v>9</v>
      </c>
      <c r="M18" s="14">
        <f>L18*5</f>
        <v>45</v>
      </c>
      <c r="N18" s="14" t="s">
        <v>804</v>
      </c>
      <c r="O18" s="51" t="s">
        <v>829</v>
      </c>
      <c r="P18" s="15" t="s">
        <v>819</v>
      </c>
      <c r="Q18" s="15">
        <f t="shared" si="2"/>
        <v>0.55999999999999994</v>
      </c>
      <c r="R18" s="14"/>
    </row>
    <row r="19" spans="1:18">
      <c r="A19" s="1"/>
      <c r="B19" s="17">
        <f t="shared" si="0"/>
        <v>12</v>
      </c>
      <c r="C19" s="23" t="s">
        <v>7</v>
      </c>
      <c r="D19" s="20" t="s">
        <v>55</v>
      </c>
      <c r="E19" s="20" t="s">
        <v>210</v>
      </c>
      <c r="F19" s="14" t="s">
        <v>353</v>
      </c>
      <c r="G19" s="20" t="s">
        <v>430</v>
      </c>
      <c r="H19" s="20" t="s">
        <v>544</v>
      </c>
      <c r="I19" s="14" t="s">
        <v>626</v>
      </c>
      <c r="J19" s="20" t="s">
        <v>605</v>
      </c>
      <c r="K19" s="43" t="s">
        <v>730</v>
      </c>
      <c r="L19" s="20">
        <v>1</v>
      </c>
      <c r="M19" s="20">
        <f t="shared" ref="M19" si="7">L19*5</f>
        <v>5</v>
      </c>
      <c r="N19" s="20" t="s">
        <v>808</v>
      </c>
      <c r="O19" s="51" t="s">
        <v>829</v>
      </c>
      <c r="P19" s="21" t="s">
        <v>820</v>
      </c>
      <c r="Q19" s="15">
        <f t="shared" si="2"/>
        <v>0.43999999999999995</v>
      </c>
      <c r="R19" s="20"/>
    </row>
    <row r="20" spans="1:18" ht="24">
      <c r="A20" s="1"/>
      <c r="B20" s="16">
        <f>ROW(B20) - ROW($B$7)</f>
        <v>13</v>
      </c>
      <c r="C20" s="23" t="s">
        <v>7</v>
      </c>
      <c r="D20" s="14" t="s">
        <v>56</v>
      </c>
      <c r="E20" s="14" t="s">
        <v>211</v>
      </c>
      <c r="F20" s="20" t="s">
        <v>350</v>
      </c>
      <c r="G20" s="14" t="s">
        <v>431</v>
      </c>
      <c r="H20" s="14" t="s">
        <v>539</v>
      </c>
      <c r="I20" s="14" t="s">
        <v>626</v>
      </c>
      <c r="J20" s="14" t="s">
        <v>606</v>
      </c>
      <c r="K20" s="44" t="s">
        <v>736</v>
      </c>
      <c r="L20" s="14">
        <v>2</v>
      </c>
      <c r="M20" s="14">
        <f>L20*5</f>
        <v>10</v>
      </c>
      <c r="N20" s="14" t="s">
        <v>807</v>
      </c>
      <c r="O20" s="51" t="s">
        <v>829</v>
      </c>
      <c r="P20" s="15" t="s">
        <v>821</v>
      </c>
      <c r="Q20" s="15">
        <f t="shared" si="2"/>
        <v>0.37</v>
      </c>
      <c r="R20" s="14"/>
    </row>
    <row r="21" spans="1:18">
      <c r="A21" s="1"/>
      <c r="B21" s="17">
        <f t="shared" si="0"/>
        <v>14</v>
      </c>
      <c r="C21" s="23" t="s">
        <v>7</v>
      </c>
      <c r="D21" s="20" t="s">
        <v>57</v>
      </c>
      <c r="E21" s="20" t="s">
        <v>212</v>
      </c>
      <c r="F21" s="14" t="s">
        <v>353</v>
      </c>
      <c r="G21" s="20" t="s">
        <v>432</v>
      </c>
      <c r="H21" s="20" t="s">
        <v>542</v>
      </c>
      <c r="I21" s="14" t="s">
        <v>626</v>
      </c>
      <c r="J21" s="20" t="s">
        <v>607</v>
      </c>
      <c r="K21" s="43" t="s">
        <v>734</v>
      </c>
      <c r="L21" s="20">
        <v>3</v>
      </c>
      <c r="M21" s="20">
        <f t="shared" ref="M21" si="8">L21*5</f>
        <v>15</v>
      </c>
      <c r="N21" s="20">
        <v>20</v>
      </c>
      <c r="O21" s="51" t="s">
        <v>829</v>
      </c>
      <c r="P21" s="21" t="s">
        <v>822</v>
      </c>
      <c r="Q21" s="15">
        <f t="shared" si="2"/>
        <v>5.5940000000000003</v>
      </c>
      <c r="R21" s="20"/>
    </row>
    <row r="22" spans="1:18">
      <c r="A22" s="1"/>
      <c r="B22" s="16">
        <f>ROW(B22) - ROW($B$7)</f>
        <v>15</v>
      </c>
      <c r="C22" s="23" t="s">
        <v>7</v>
      </c>
      <c r="D22" s="14" t="s">
        <v>58</v>
      </c>
      <c r="E22" s="14" t="s">
        <v>213</v>
      </c>
      <c r="F22" s="20" t="s">
        <v>348</v>
      </c>
      <c r="G22" s="14" t="s">
        <v>433</v>
      </c>
      <c r="H22" s="14" t="s">
        <v>539</v>
      </c>
      <c r="I22" s="14" t="s">
        <v>626</v>
      </c>
      <c r="J22" s="14" t="s">
        <v>608</v>
      </c>
      <c r="K22" s="44" t="s">
        <v>737</v>
      </c>
      <c r="L22" s="14">
        <v>1</v>
      </c>
      <c r="M22" s="14">
        <f>L22*5</f>
        <v>5</v>
      </c>
      <c r="N22" s="14" t="s">
        <v>804</v>
      </c>
      <c r="O22" s="51" t="s">
        <v>829</v>
      </c>
      <c r="P22" s="15" t="s">
        <v>823</v>
      </c>
      <c r="Q22" s="15">
        <f t="shared" si="2"/>
        <v>0.15</v>
      </c>
      <c r="R22" s="14"/>
    </row>
    <row r="23" spans="1:18">
      <c r="A23" s="1"/>
      <c r="B23" s="17">
        <f t="shared" si="0"/>
        <v>16</v>
      </c>
      <c r="C23" s="23" t="s">
        <v>7</v>
      </c>
      <c r="D23" s="20" t="s">
        <v>59</v>
      </c>
      <c r="E23" s="20" t="s">
        <v>214</v>
      </c>
      <c r="F23" s="14" t="s">
        <v>349</v>
      </c>
      <c r="G23" s="20" t="s">
        <v>434</v>
      </c>
      <c r="H23" s="20" t="s">
        <v>539</v>
      </c>
      <c r="I23" s="14" t="s">
        <v>626</v>
      </c>
      <c r="J23" s="20" t="s">
        <v>609</v>
      </c>
      <c r="K23" s="43" t="s">
        <v>738</v>
      </c>
      <c r="L23" s="20">
        <v>4</v>
      </c>
      <c r="M23" s="20">
        <f t="shared" ref="M23" si="9">L23*5</f>
        <v>20</v>
      </c>
      <c r="N23" s="20">
        <v>40</v>
      </c>
      <c r="O23" s="51" t="s">
        <v>829</v>
      </c>
      <c r="P23" s="21" t="s">
        <v>824</v>
      </c>
      <c r="Q23" s="15">
        <f t="shared" si="2"/>
        <v>2.6560000000000001</v>
      </c>
      <c r="R23" s="20"/>
    </row>
    <row r="24" spans="1:18">
      <c r="A24" s="1"/>
      <c r="B24" s="16">
        <f>ROW(B24) - ROW($B$7)</f>
        <v>17</v>
      </c>
      <c r="C24" s="23" t="s">
        <v>7</v>
      </c>
      <c r="D24" s="14" t="s">
        <v>60</v>
      </c>
      <c r="E24" s="14" t="s">
        <v>215</v>
      </c>
      <c r="F24" s="20" t="s">
        <v>353</v>
      </c>
      <c r="G24" s="14" t="s">
        <v>435</v>
      </c>
      <c r="H24" s="14" t="s">
        <v>539</v>
      </c>
      <c r="I24" s="14" t="s">
        <v>626</v>
      </c>
      <c r="J24" s="14" t="s">
        <v>610</v>
      </c>
      <c r="K24" s="44" t="s">
        <v>739</v>
      </c>
      <c r="L24" s="14">
        <v>2</v>
      </c>
      <c r="M24" s="14">
        <f>L24*5</f>
        <v>10</v>
      </c>
      <c r="N24" s="14" t="s">
        <v>807</v>
      </c>
      <c r="O24" s="51" t="s">
        <v>829</v>
      </c>
      <c r="P24" s="15" t="s">
        <v>825</v>
      </c>
      <c r="Q24" s="15">
        <f t="shared" si="2"/>
        <v>0.59500000000000008</v>
      </c>
      <c r="R24" s="14"/>
    </row>
    <row r="25" spans="1:18">
      <c r="A25" s="1"/>
      <c r="B25" s="17">
        <f t="shared" si="0"/>
        <v>18</v>
      </c>
      <c r="C25" s="23" t="s">
        <v>7</v>
      </c>
      <c r="D25" s="20" t="s">
        <v>61</v>
      </c>
      <c r="E25" s="20" t="s">
        <v>216</v>
      </c>
      <c r="F25" s="14" t="s">
        <v>348</v>
      </c>
      <c r="G25" s="20" t="s">
        <v>436</v>
      </c>
      <c r="H25" s="20" t="s">
        <v>539</v>
      </c>
      <c r="I25" s="14" t="s">
        <v>626</v>
      </c>
      <c r="J25" s="20" t="s">
        <v>611</v>
      </c>
      <c r="K25" s="43" t="s">
        <v>740</v>
      </c>
      <c r="L25" s="20">
        <v>1</v>
      </c>
      <c r="M25" s="20">
        <f t="shared" ref="M25" si="10">L25*5</f>
        <v>5</v>
      </c>
      <c r="N25" s="20" t="s">
        <v>804</v>
      </c>
      <c r="O25" s="51" t="s">
        <v>829</v>
      </c>
      <c r="P25" s="21" t="s">
        <v>826</v>
      </c>
      <c r="Q25" s="15">
        <f t="shared" si="2"/>
        <v>0.1</v>
      </c>
      <c r="R25" s="20"/>
    </row>
    <row r="26" spans="1:18">
      <c r="A26" s="1"/>
      <c r="B26" s="16">
        <f>ROW(B26) - ROW($B$7)</f>
        <v>19</v>
      </c>
      <c r="C26" s="23" t="s">
        <v>7</v>
      </c>
      <c r="D26" s="14" t="s">
        <v>62</v>
      </c>
      <c r="E26" s="14" t="s">
        <v>217</v>
      </c>
      <c r="F26" s="20" t="s">
        <v>348</v>
      </c>
      <c r="G26" s="14" t="s">
        <v>437</v>
      </c>
      <c r="H26" s="14" t="s">
        <v>539</v>
      </c>
      <c r="I26" s="14" t="s">
        <v>626</v>
      </c>
      <c r="J26" s="14" t="s">
        <v>612</v>
      </c>
      <c r="K26" s="44" t="s">
        <v>741</v>
      </c>
      <c r="L26" s="14">
        <v>1</v>
      </c>
      <c r="M26" s="14">
        <f>L26*5</f>
        <v>5</v>
      </c>
      <c r="N26" s="14" t="s">
        <v>804</v>
      </c>
      <c r="O26" s="51" t="s">
        <v>829</v>
      </c>
      <c r="P26" s="15" t="s">
        <v>827</v>
      </c>
      <c r="Q26" s="15">
        <f t="shared" si="2"/>
        <v>0.11</v>
      </c>
      <c r="R26" s="14"/>
    </row>
    <row r="27" spans="1:18">
      <c r="A27" s="1"/>
      <c r="B27" s="17">
        <f t="shared" si="0"/>
        <v>20</v>
      </c>
      <c r="C27" s="23" t="s">
        <v>7</v>
      </c>
      <c r="D27" s="20" t="s">
        <v>63</v>
      </c>
      <c r="E27" s="20" t="s">
        <v>218</v>
      </c>
      <c r="F27" s="14" t="s">
        <v>348</v>
      </c>
      <c r="G27" s="20" t="s">
        <v>438</v>
      </c>
      <c r="H27" s="20" t="s">
        <v>539</v>
      </c>
      <c r="I27" s="14" t="s">
        <v>626</v>
      </c>
      <c r="J27" s="20" t="s">
        <v>613</v>
      </c>
      <c r="K27" s="43" t="s">
        <v>742</v>
      </c>
      <c r="L27" s="20">
        <v>1</v>
      </c>
      <c r="M27" s="20">
        <f t="shared" ref="M27" si="11">L27*5</f>
        <v>5</v>
      </c>
      <c r="N27" s="20" t="s">
        <v>804</v>
      </c>
      <c r="O27" s="51" t="s">
        <v>829</v>
      </c>
      <c r="P27" s="21" t="s">
        <v>826</v>
      </c>
      <c r="Q27" s="15">
        <f t="shared" si="2"/>
        <v>0.1</v>
      </c>
      <c r="R27" s="20"/>
    </row>
    <row r="28" spans="1:18" s="50" customFormat="1">
      <c r="A28" s="49"/>
      <c r="B28" s="16">
        <f>ROW(B28) - ROW($B$7)</f>
        <v>21</v>
      </c>
      <c r="C28" s="23" t="s">
        <v>7</v>
      </c>
      <c r="D28" s="46" t="s">
        <v>64</v>
      </c>
      <c r="E28" s="46" t="s">
        <v>219</v>
      </c>
      <c r="F28" s="42" t="s">
        <v>348</v>
      </c>
      <c r="G28" s="46" t="s">
        <v>439</v>
      </c>
      <c r="H28" s="46" t="s">
        <v>542</v>
      </c>
      <c r="I28" s="46" t="s">
        <v>626</v>
      </c>
      <c r="J28" s="46" t="s">
        <v>614</v>
      </c>
      <c r="K28" s="45" t="s">
        <v>743</v>
      </c>
      <c r="L28" s="46">
        <v>2</v>
      </c>
      <c r="M28" s="46">
        <f>L28*5</f>
        <v>10</v>
      </c>
      <c r="N28" s="46" t="s">
        <v>626</v>
      </c>
      <c r="O28" s="46" t="s">
        <v>626</v>
      </c>
      <c r="P28" s="47" t="s">
        <v>626</v>
      </c>
      <c r="Q28" s="15" t="s">
        <v>626</v>
      </c>
      <c r="R28" s="48" t="s">
        <v>795</v>
      </c>
    </row>
    <row r="29" spans="1:18">
      <c r="A29" s="1"/>
      <c r="B29" s="17">
        <f t="shared" si="0"/>
        <v>22</v>
      </c>
      <c r="C29" s="23" t="s">
        <v>7</v>
      </c>
      <c r="D29" s="20" t="s">
        <v>65</v>
      </c>
      <c r="E29" s="20" t="s">
        <v>220</v>
      </c>
      <c r="F29" s="14" t="s">
        <v>348</v>
      </c>
      <c r="G29" s="20" t="s">
        <v>440</v>
      </c>
      <c r="H29" s="20" t="s">
        <v>542</v>
      </c>
      <c r="I29" s="20" t="s">
        <v>626</v>
      </c>
      <c r="J29" s="20" t="s">
        <v>615</v>
      </c>
      <c r="K29" s="43" t="s">
        <v>744</v>
      </c>
      <c r="L29" s="20">
        <v>2</v>
      </c>
      <c r="M29" s="20">
        <f t="shared" ref="M29" si="12">L29*5</f>
        <v>10</v>
      </c>
      <c r="N29" s="14" t="s">
        <v>807</v>
      </c>
      <c r="O29" s="51" t="s">
        <v>829</v>
      </c>
      <c r="P29" s="21" t="s">
        <v>831</v>
      </c>
      <c r="Q29" s="15">
        <f t="shared" si="2"/>
        <v>0.88</v>
      </c>
      <c r="R29" s="20"/>
    </row>
    <row r="30" spans="1:18">
      <c r="A30" s="1"/>
      <c r="B30" s="16">
        <f>ROW(B30) - ROW($B$7)</f>
        <v>23</v>
      </c>
      <c r="C30" s="23" t="s">
        <v>7</v>
      </c>
      <c r="D30" s="14" t="s">
        <v>66</v>
      </c>
      <c r="E30" s="14" t="s">
        <v>221</v>
      </c>
      <c r="F30" s="20" t="s">
        <v>354</v>
      </c>
      <c r="G30" s="14" t="s">
        <v>441</v>
      </c>
      <c r="H30" s="14" t="s">
        <v>539</v>
      </c>
      <c r="I30" s="20" t="s">
        <v>626</v>
      </c>
      <c r="J30" s="14" t="s">
        <v>616</v>
      </c>
      <c r="K30" s="44" t="s">
        <v>745</v>
      </c>
      <c r="L30" s="14">
        <v>4</v>
      </c>
      <c r="M30" s="14">
        <f>L30*5</f>
        <v>20</v>
      </c>
      <c r="N30" s="20" t="s">
        <v>804</v>
      </c>
      <c r="O30" s="51" t="s">
        <v>829</v>
      </c>
      <c r="P30" s="15" t="s">
        <v>826</v>
      </c>
      <c r="Q30" s="15">
        <f t="shared" si="2"/>
        <v>0.1</v>
      </c>
      <c r="R30" s="14"/>
    </row>
    <row r="31" spans="1:18" ht="36">
      <c r="A31" s="1"/>
      <c r="B31" s="17">
        <f t="shared" si="0"/>
        <v>24</v>
      </c>
      <c r="C31" s="23" t="s">
        <v>7</v>
      </c>
      <c r="D31" s="20" t="s">
        <v>67</v>
      </c>
      <c r="E31" s="20" t="s">
        <v>222</v>
      </c>
      <c r="F31" s="14" t="s">
        <v>348</v>
      </c>
      <c r="G31" s="20" t="s">
        <v>442</v>
      </c>
      <c r="H31" s="20" t="s">
        <v>545</v>
      </c>
      <c r="I31" s="20" t="s">
        <v>626</v>
      </c>
      <c r="J31" s="20" t="s">
        <v>617</v>
      </c>
      <c r="K31" s="43" t="s">
        <v>746</v>
      </c>
      <c r="L31" s="20">
        <v>1</v>
      </c>
      <c r="M31" s="20">
        <f t="shared" ref="M31" si="13">L31*5</f>
        <v>5</v>
      </c>
      <c r="N31" s="14" t="s">
        <v>804</v>
      </c>
      <c r="O31" s="51" t="s">
        <v>829</v>
      </c>
      <c r="P31" s="21" t="s">
        <v>832</v>
      </c>
      <c r="Q31" s="15">
        <f t="shared" si="2"/>
        <v>0.44</v>
      </c>
      <c r="R31" s="20"/>
    </row>
    <row r="32" spans="1:18" ht="24">
      <c r="A32" s="1"/>
      <c r="B32" s="16">
        <f>ROW(B32) - ROW($B$7)</f>
        <v>25</v>
      </c>
      <c r="C32" s="23" t="s">
        <v>7</v>
      </c>
      <c r="D32" s="14" t="s">
        <v>68</v>
      </c>
      <c r="E32" s="14" t="s">
        <v>223</v>
      </c>
      <c r="F32" s="20" t="s">
        <v>348</v>
      </c>
      <c r="G32" s="14" t="s">
        <v>443</v>
      </c>
      <c r="H32" s="14" t="s">
        <v>542</v>
      </c>
      <c r="I32" s="20" t="s">
        <v>626</v>
      </c>
      <c r="J32" s="14" t="s">
        <v>618</v>
      </c>
      <c r="K32" s="44" t="s">
        <v>747</v>
      </c>
      <c r="L32" s="14">
        <v>8</v>
      </c>
      <c r="M32" s="14">
        <f>L32*5</f>
        <v>40</v>
      </c>
      <c r="N32" s="20" t="s">
        <v>804</v>
      </c>
      <c r="O32" s="51" t="s">
        <v>829</v>
      </c>
      <c r="P32" s="15" t="s">
        <v>833</v>
      </c>
      <c r="Q32" s="15">
        <f t="shared" si="2"/>
        <v>0.2</v>
      </c>
      <c r="R32" s="14"/>
    </row>
    <row r="33" spans="1:18">
      <c r="A33" s="1"/>
      <c r="B33" s="17">
        <f t="shared" si="0"/>
        <v>26</v>
      </c>
      <c r="C33" s="22" t="s">
        <v>7</v>
      </c>
      <c r="D33" s="20" t="s">
        <v>69</v>
      </c>
      <c r="E33" s="20" t="s">
        <v>224</v>
      </c>
      <c r="F33" s="14" t="s">
        <v>348</v>
      </c>
      <c r="G33" s="20" t="s">
        <v>444</v>
      </c>
      <c r="H33" s="20" t="s">
        <v>539</v>
      </c>
      <c r="I33" s="20" t="s">
        <v>626</v>
      </c>
      <c r="J33" s="20" t="s">
        <v>619</v>
      </c>
      <c r="K33" s="43" t="s">
        <v>735</v>
      </c>
      <c r="L33" s="20">
        <v>2</v>
      </c>
      <c r="M33" s="20">
        <f t="shared" ref="M33" si="14">L33*5</f>
        <v>10</v>
      </c>
      <c r="N33" s="14" t="s">
        <v>804</v>
      </c>
      <c r="O33" s="51" t="s">
        <v>829</v>
      </c>
      <c r="P33" s="21" t="s">
        <v>834</v>
      </c>
      <c r="Q33" s="15">
        <f t="shared" si="2"/>
        <v>0.27999999999999997</v>
      </c>
      <c r="R33" s="20"/>
    </row>
    <row r="34" spans="1:18">
      <c r="A34" s="1"/>
      <c r="B34" s="16">
        <f>ROW(B34) - ROW($B$7)</f>
        <v>27</v>
      </c>
      <c r="C34" s="22" t="s">
        <v>7</v>
      </c>
      <c r="D34" s="14" t="s">
        <v>70</v>
      </c>
      <c r="E34" s="14" t="s">
        <v>225</v>
      </c>
      <c r="F34" s="14" t="s">
        <v>348</v>
      </c>
      <c r="G34" s="14" t="s">
        <v>445</v>
      </c>
      <c r="H34" s="14" t="s">
        <v>539</v>
      </c>
      <c r="I34" s="20" t="s">
        <v>626</v>
      </c>
      <c r="J34" s="14" t="s">
        <v>620</v>
      </c>
      <c r="K34" s="43" t="s">
        <v>748</v>
      </c>
      <c r="L34" s="14">
        <v>2</v>
      </c>
      <c r="M34" s="14">
        <f>L34*5</f>
        <v>10</v>
      </c>
      <c r="N34" s="20" t="s">
        <v>804</v>
      </c>
      <c r="O34" s="51" t="s">
        <v>829</v>
      </c>
      <c r="P34" s="15" t="s">
        <v>835</v>
      </c>
      <c r="Q34" s="15">
        <f t="shared" si="2"/>
        <v>0.21</v>
      </c>
      <c r="R34" s="14"/>
    </row>
    <row r="35" spans="1:18">
      <c r="A35" s="1"/>
      <c r="B35" s="17">
        <f t="shared" si="0"/>
        <v>28</v>
      </c>
      <c r="C35" s="23" t="s">
        <v>7</v>
      </c>
      <c r="D35" s="20" t="s">
        <v>71</v>
      </c>
      <c r="E35" s="20" t="s">
        <v>226</v>
      </c>
      <c r="F35" s="20" t="s">
        <v>349</v>
      </c>
      <c r="G35" s="20" t="s">
        <v>446</v>
      </c>
      <c r="H35" s="20" t="s">
        <v>544</v>
      </c>
      <c r="I35" s="20" t="s">
        <v>626</v>
      </c>
      <c r="J35" s="20" t="s">
        <v>621</v>
      </c>
      <c r="K35" s="44" t="s">
        <v>731</v>
      </c>
      <c r="L35" s="20">
        <v>3</v>
      </c>
      <c r="M35" s="20">
        <f t="shared" ref="M35" si="15">L35*5</f>
        <v>15</v>
      </c>
      <c r="N35" s="14" t="s">
        <v>805</v>
      </c>
      <c r="O35" s="51" t="s">
        <v>829</v>
      </c>
      <c r="P35" s="21" t="s">
        <v>836</v>
      </c>
      <c r="Q35" s="15">
        <f t="shared" si="2"/>
        <v>1.04</v>
      </c>
      <c r="R35" s="20"/>
    </row>
    <row r="36" spans="1:18">
      <c r="A36" s="1"/>
      <c r="B36" s="16">
        <f>ROW(B36) - ROW($B$7)</f>
        <v>29</v>
      </c>
      <c r="C36" s="22" t="s">
        <v>9</v>
      </c>
      <c r="D36" s="14" t="s">
        <v>72</v>
      </c>
      <c r="E36" s="14" t="s">
        <v>227</v>
      </c>
      <c r="F36" s="14" t="s">
        <v>355</v>
      </c>
      <c r="G36" s="14" t="s">
        <v>447</v>
      </c>
      <c r="H36" s="14" t="s">
        <v>546</v>
      </c>
      <c r="I36" s="20" t="s">
        <v>626</v>
      </c>
      <c r="J36" s="14" t="s">
        <v>622</v>
      </c>
      <c r="K36" s="43" t="s">
        <v>626</v>
      </c>
      <c r="L36" s="14">
        <v>8</v>
      </c>
      <c r="M36" s="14">
        <f>L36*5</f>
        <v>40</v>
      </c>
      <c r="N36" s="20" t="s">
        <v>807</v>
      </c>
      <c r="O36" s="51" t="s">
        <v>829</v>
      </c>
      <c r="P36" s="15" t="s">
        <v>837</v>
      </c>
      <c r="Q36" s="15">
        <f t="shared" si="2"/>
        <v>0.70000000000000007</v>
      </c>
      <c r="R36" s="14"/>
    </row>
    <row r="37" spans="1:18" ht="24">
      <c r="A37" s="1"/>
      <c r="B37" s="17">
        <f t="shared" si="0"/>
        <v>30</v>
      </c>
      <c r="C37" s="23" t="s">
        <v>10</v>
      </c>
      <c r="D37" s="20" t="s">
        <v>73</v>
      </c>
      <c r="E37" s="20" t="s">
        <v>228</v>
      </c>
      <c r="F37" s="20" t="s">
        <v>356</v>
      </c>
      <c r="G37" s="20" t="s">
        <v>448</v>
      </c>
      <c r="H37" s="20" t="s">
        <v>547</v>
      </c>
      <c r="I37" s="20" t="s">
        <v>626</v>
      </c>
      <c r="J37" s="20" t="s">
        <v>623</v>
      </c>
      <c r="K37" s="43" t="s">
        <v>626</v>
      </c>
      <c r="L37" s="20">
        <v>8</v>
      </c>
      <c r="M37" s="20">
        <f t="shared" ref="M37" si="16">L37*5</f>
        <v>40</v>
      </c>
      <c r="N37" s="14">
        <v>60</v>
      </c>
      <c r="O37" s="51" t="s">
        <v>829</v>
      </c>
      <c r="P37" s="21" t="s">
        <v>838</v>
      </c>
      <c r="Q37" s="15">
        <f t="shared" si="2"/>
        <v>8.07</v>
      </c>
      <c r="R37" s="20"/>
    </row>
    <row r="38" spans="1:18">
      <c r="A38" s="1"/>
      <c r="B38" s="16">
        <f>ROW(B38) - ROW($B$7)</f>
        <v>31</v>
      </c>
      <c r="C38" s="22" t="s">
        <v>9</v>
      </c>
      <c r="D38" s="14" t="s">
        <v>74</v>
      </c>
      <c r="E38" s="14" t="s">
        <v>229</v>
      </c>
      <c r="F38" s="14" t="s">
        <v>357</v>
      </c>
      <c r="G38" s="14" t="s">
        <v>449</v>
      </c>
      <c r="H38" s="14" t="s">
        <v>546</v>
      </c>
      <c r="I38" s="20" t="s">
        <v>626</v>
      </c>
      <c r="J38" s="14" t="s">
        <v>624</v>
      </c>
      <c r="K38" s="43" t="s">
        <v>626</v>
      </c>
      <c r="L38" s="14">
        <v>1</v>
      </c>
      <c r="M38" s="14">
        <f>L38*5</f>
        <v>5</v>
      </c>
      <c r="N38" s="20">
        <v>10</v>
      </c>
      <c r="O38" s="51" t="s">
        <v>829</v>
      </c>
      <c r="P38" s="15" t="s">
        <v>839</v>
      </c>
      <c r="Q38" s="15">
        <f t="shared" si="2"/>
        <v>1.2829999999999999</v>
      </c>
      <c r="R38" s="14"/>
    </row>
    <row r="39" spans="1:18" ht="24">
      <c r="A39" s="1"/>
      <c r="B39" s="17">
        <f t="shared" si="0"/>
        <v>32</v>
      </c>
      <c r="C39" s="23" t="s">
        <v>11</v>
      </c>
      <c r="D39" s="20" t="s">
        <v>75</v>
      </c>
      <c r="E39" s="20" t="s">
        <v>230</v>
      </c>
      <c r="F39" s="20" t="s">
        <v>355</v>
      </c>
      <c r="G39" s="20" t="s">
        <v>450</v>
      </c>
      <c r="H39" s="20" t="s">
        <v>548</v>
      </c>
      <c r="I39" s="20" t="s">
        <v>626</v>
      </c>
      <c r="J39" s="20" t="s">
        <v>626</v>
      </c>
      <c r="K39" s="43" t="s">
        <v>626</v>
      </c>
      <c r="L39" s="20">
        <v>1</v>
      </c>
      <c r="M39" s="20">
        <f t="shared" ref="M39" si="17">L39*5</f>
        <v>5</v>
      </c>
      <c r="N39" s="14">
        <v>10</v>
      </c>
      <c r="O39" s="51" t="s">
        <v>980</v>
      </c>
      <c r="P39" s="21">
        <v>0.35</v>
      </c>
      <c r="Q39" s="15">
        <f t="shared" si="2"/>
        <v>3.5</v>
      </c>
      <c r="R39" s="20"/>
    </row>
    <row r="40" spans="1:18">
      <c r="A40" s="1"/>
      <c r="B40" s="16">
        <f>ROW(B40) - ROW($B$7)</f>
        <v>33</v>
      </c>
      <c r="C40" s="22" t="s">
        <v>10</v>
      </c>
      <c r="D40" s="14" t="s">
        <v>76</v>
      </c>
      <c r="E40" s="14" t="s">
        <v>231</v>
      </c>
      <c r="F40" s="14" t="s">
        <v>357</v>
      </c>
      <c r="G40" s="14" t="s">
        <v>451</v>
      </c>
      <c r="H40" s="14" t="s">
        <v>546</v>
      </c>
      <c r="I40" s="20" t="s">
        <v>626</v>
      </c>
      <c r="J40" s="14" t="s">
        <v>625</v>
      </c>
      <c r="K40" s="43" t="s">
        <v>626</v>
      </c>
      <c r="L40" s="14">
        <v>1</v>
      </c>
      <c r="M40" s="14">
        <f>L40*5</f>
        <v>5</v>
      </c>
      <c r="N40" s="20">
        <v>10</v>
      </c>
      <c r="O40" s="51" t="s">
        <v>829</v>
      </c>
      <c r="P40" s="15" t="s">
        <v>840</v>
      </c>
      <c r="Q40" s="15">
        <f t="shared" si="2"/>
        <v>1.3850000000000002</v>
      </c>
      <c r="R40" s="14"/>
    </row>
    <row r="41" spans="1:18" ht="24">
      <c r="A41" s="1"/>
      <c r="B41" s="17">
        <f t="shared" si="0"/>
        <v>34</v>
      </c>
      <c r="C41" s="23" t="s">
        <v>11</v>
      </c>
      <c r="D41" s="20" t="s">
        <v>77</v>
      </c>
      <c r="E41" s="20" t="s">
        <v>232</v>
      </c>
      <c r="F41" s="20" t="s">
        <v>355</v>
      </c>
      <c r="G41" s="20" t="s">
        <v>452</v>
      </c>
      <c r="H41" s="20" t="s">
        <v>548</v>
      </c>
      <c r="I41" s="20" t="s">
        <v>626</v>
      </c>
      <c r="J41" s="20" t="s">
        <v>626</v>
      </c>
      <c r="K41" s="43" t="s">
        <v>626</v>
      </c>
      <c r="L41" s="20">
        <v>5</v>
      </c>
      <c r="M41" s="20">
        <f t="shared" ref="M41" si="18">L41*5</f>
        <v>25</v>
      </c>
      <c r="N41" s="14">
        <v>30</v>
      </c>
      <c r="O41" s="51" t="s">
        <v>980</v>
      </c>
      <c r="P41" s="21">
        <v>0.35</v>
      </c>
      <c r="Q41" s="15">
        <f t="shared" si="2"/>
        <v>10.5</v>
      </c>
      <c r="R41" s="20"/>
    </row>
    <row r="42" spans="1:18" ht="24">
      <c r="A42" s="1"/>
      <c r="B42" s="16">
        <f>ROW(B42) - ROW($B$7)</f>
        <v>35</v>
      </c>
      <c r="C42" s="22" t="s">
        <v>9</v>
      </c>
      <c r="D42" s="14" t="s">
        <v>78</v>
      </c>
      <c r="E42" s="14" t="s">
        <v>233</v>
      </c>
      <c r="F42" s="14" t="s">
        <v>355</v>
      </c>
      <c r="G42" s="14" t="s">
        <v>453</v>
      </c>
      <c r="H42" s="14" t="s">
        <v>549</v>
      </c>
      <c r="I42" s="20" t="s">
        <v>626</v>
      </c>
      <c r="J42" s="14" t="s">
        <v>626</v>
      </c>
      <c r="K42" s="43" t="s">
        <v>626</v>
      </c>
      <c r="L42" s="14">
        <v>13</v>
      </c>
      <c r="M42" s="14">
        <f>L42*5</f>
        <v>65</v>
      </c>
      <c r="N42" s="14">
        <v>70</v>
      </c>
      <c r="O42" s="51" t="s">
        <v>980</v>
      </c>
      <c r="P42" s="15">
        <v>0.35</v>
      </c>
      <c r="Q42" s="15">
        <f t="shared" si="2"/>
        <v>24.5</v>
      </c>
      <c r="R42" s="14"/>
    </row>
    <row r="43" spans="1:18">
      <c r="A43" s="1"/>
      <c r="B43" s="17">
        <f t="shared" si="0"/>
        <v>36</v>
      </c>
      <c r="C43" s="23" t="s">
        <v>11</v>
      </c>
      <c r="D43" s="20" t="s">
        <v>79</v>
      </c>
      <c r="E43" s="20" t="s">
        <v>234</v>
      </c>
      <c r="F43" s="20" t="s">
        <v>358</v>
      </c>
      <c r="G43" s="20" t="s">
        <v>454</v>
      </c>
      <c r="H43" s="20" t="s">
        <v>550</v>
      </c>
      <c r="I43" s="20" t="s">
        <v>626</v>
      </c>
      <c r="J43" s="20" t="s">
        <v>626</v>
      </c>
      <c r="K43" s="43" t="s">
        <v>626</v>
      </c>
      <c r="L43" s="20">
        <v>5</v>
      </c>
      <c r="M43" s="20">
        <f t="shared" ref="M43" si="19">L43*5</f>
        <v>25</v>
      </c>
      <c r="N43" s="20">
        <v>26</v>
      </c>
      <c r="O43" s="51" t="s">
        <v>923</v>
      </c>
      <c r="P43" s="21">
        <v>7.1400000000000005E-2</v>
      </c>
      <c r="Q43" s="15">
        <f t="shared" si="2"/>
        <v>1.8564000000000001</v>
      </c>
      <c r="R43" s="20"/>
    </row>
    <row r="44" spans="1:18">
      <c r="A44" s="1"/>
      <c r="B44" s="16">
        <f>ROW(B44) - ROW($B$7)</f>
        <v>37</v>
      </c>
      <c r="C44" s="22" t="s">
        <v>10</v>
      </c>
      <c r="D44" s="14" t="s">
        <v>80</v>
      </c>
      <c r="E44" s="14" t="s">
        <v>235</v>
      </c>
      <c r="F44" s="14" t="s">
        <v>359</v>
      </c>
      <c r="G44" s="14" t="s">
        <v>455</v>
      </c>
      <c r="H44" s="14" t="s">
        <v>551</v>
      </c>
      <c r="I44" s="20" t="s">
        <v>626</v>
      </c>
      <c r="J44" s="14" t="s">
        <v>627</v>
      </c>
      <c r="K44" s="43" t="s">
        <v>626</v>
      </c>
      <c r="L44" s="14">
        <v>1</v>
      </c>
      <c r="M44" s="14">
        <f>L44*5</f>
        <v>5</v>
      </c>
      <c r="N44" s="14">
        <v>10</v>
      </c>
      <c r="O44" s="51" t="s">
        <v>829</v>
      </c>
      <c r="P44" s="15" t="s">
        <v>843</v>
      </c>
      <c r="Q44" s="15">
        <f t="shared" si="2"/>
        <v>1.4339999999999999</v>
      </c>
      <c r="R44" s="14"/>
    </row>
    <row r="45" spans="1:18">
      <c r="A45" s="1"/>
      <c r="B45" s="17">
        <f t="shared" si="0"/>
        <v>38</v>
      </c>
      <c r="C45" s="23" t="s">
        <v>10</v>
      </c>
      <c r="D45" s="20" t="s">
        <v>81</v>
      </c>
      <c r="E45" s="20" t="s">
        <v>236</v>
      </c>
      <c r="F45" s="20" t="s">
        <v>360</v>
      </c>
      <c r="G45" s="20" t="s">
        <v>456</v>
      </c>
      <c r="H45" s="20" t="s">
        <v>551</v>
      </c>
      <c r="I45" s="20" t="s">
        <v>626</v>
      </c>
      <c r="J45" s="20" t="s">
        <v>628</v>
      </c>
      <c r="K45" s="43" t="s">
        <v>626</v>
      </c>
      <c r="L45" s="20">
        <v>1</v>
      </c>
      <c r="M45" s="20">
        <f t="shared" ref="M45" si="20">L45*5</f>
        <v>5</v>
      </c>
      <c r="N45" s="20">
        <v>10</v>
      </c>
      <c r="O45" s="51" t="s">
        <v>829</v>
      </c>
      <c r="P45" s="21" t="s">
        <v>844</v>
      </c>
      <c r="Q45" s="15">
        <f t="shared" si="2"/>
        <v>1.649</v>
      </c>
      <c r="R45" s="20"/>
    </row>
    <row r="46" spans="1:18">
      <c r="A46" s="1"/>
      <c r="B46" s="16">
        <f>ROW(B46) - ROW($B$7)</f>
        <v>39</v>
      </c>
      <c r="C46" s="23" t="s">
        <v>10</v>
      </c>
      <c r="D46" s="14" t="s">
        <v>82</v>
      </c>
      <c r="E46" s="14" t="s">
        <v>237</v>
      </c>
      <c r="F46" s="14" t="s">
        <v>361</v>
      </c>
      <c r="G46" s="14" t="s">
        <v>457</v>
      </c>
      <c r="H46" s="14" t="s">
        <v>551</v>
      </c>
      <c r="I46" s="20" t="s">
        <v>626</v>
      </c>
      <c r="J46" s="14" t="s">
        <v>800</v>
      </c>
      <c r="K46" s="43" t="s">
        <v>626</v>
      </c>
      <c r="L46" s="14">
        <v>1</v>
      </c>
      <c r="M46" s="14">
        <f>L46*5</f>
        <v>5</v>
      </c>
      <c r="N46" s="14" t="s">
        <v>808</v>
      </c>
      <c r="O46" s="51" t="s">
        <v>829</v>
      </c>
      <c r="P46" s="15" t="s">
        <v>845</v>
      </c>
      <c r="Q46" s="15">
        <f t="shared" si="2"/>
        <v>0.46600000000000003</v>
      </c>
      <c r="R46" s="14"/>
    </row>
    <row r="47" spans="1:18">
      <c r="A47" s="1"/>
      <c r="B47" s="17">
        <f t="shared" si="0"/>
        <v>40</v>
      </c>
      <c r="C47" s="23" t="s">
        <v>9</v>
      </c>
      <c r="D47" s="20" t="s">
        <v>83</v>
      </c>
      <c r="E47" s="20" t="s">
        <v>238</v>
      </c>
      <c r="F47" s="20" t="s">
        <v>356</v>
      </c>
      <c r="G47" s="20" t="s">
        <v>458</v>
      </c>
      <c r="H47" s="20" t="s">
        <v>552</v>
      </c>
      <c r="I47" s="20" t="s">
        <v>626</v>
      </c>
      <c r="J47" s="20" t="s">
        <v>629</v>
      </c>
      <c r="K47" s="43" t="s">
        <v>626</v>
      </c>
      <c r="L47" s="20">
        <v>3</v>
      </c>
      <c r="M47" s="20">
        <f t="shared" ref="M47" si="21">L47*5</f>
        <v>15</v>
      </c>
      <c r="N47" s="20" t="s">
        <v>805</v>
      </c>
      <c r="O47" s="51" t="s">
        <v>829</v>
      </c>
      <c r="P47" s="21" t="s">
        <v>846</v>
      </c>
      <c r="Q47" s="15">
        <f t="shared" si="2"/>
        <v>0.68799999999999994</v>
      </c>
      <c r="R47" s="20"/>
    </row>
    <row r="48" spans="1:18" ht="24">
      <c r="A48" s="1"/>
      <c r="B48" s="16">
        <f>ROW(B48) - ROW($B$7)</f>
        <v>41</v>
      </c>
      <c r="C48" s="22" t="s">
        <v>12</v>
      </c>
      <c r="D48" s="14" t="s">
        <v>84</v>
      </c>
      <c r="E48" s="14" t="s">
        <v>239</v>
      </c>
      <c r="F48" s="14" t="s">
        <v>362</v>
      </c>
      <c r="G48" s="14" t="s">
        <v>459</v>
      </c>
      <c r="H48" s="14" t="s">
        <v>553</v>
      </c>
      <c r="I48" s="20" t="s">
        <v>626</v>
      </c>
      <c r="J48" s="14" t="s">
        <v>630</v>
      </c>
      <c r="K48" s="43" t="s">
        <v>626</v>
      </c>
      <c r="L48" s="14">
        <v>4</v>
      </c>
      <c r="M48" s="14">
        <f>L48*5</f>
        <v>20</v>
      </c>
      <c r="N48" s="14" t="s">
        <v>807</v>
      </c>
      <c r="O48" s="51" t="s">
        <v>829</v>
      </c>
      <c r="P48" s="15" t="s">
        <v>847</v>
      </c>
      <c r="Q48" s="15">
        <f t="shared" si="2"/>
        <v>0.92999999999999994</v>
      </c>
      <c r="R48" s="14"/>
    </row>
    <row r="49" spans="1:18">
      <c r="A49" s="1"/>
      <c r="B49" s="17">
        <f t="shared" si="0"/>
        <v>42</v>
      </c>
      <c r="C49" s="23" t="s">
        <v>13</v>
      </c>
      <c r="D49" s="20" t="s">
        <v>85</v>
      </c>
      <c r="E49" s="20" t="s">
        <v>240</v>
      </c>
      <c r="F49" s="20" t="s">
        <v>362</v>
      </c>
      <c r="G49" s="20" t="s">
        <v>460</v>
      </c>
      <c r="H49" s="20" t="s">
        <v>554</v>
      </c>
      <c r="I49" s="20" t="s">
        <v>626</v>
      </c>
      <c r="J49" s="20" t="s">
        <v>631</v>
      </c>
      <c r="K49" s="43" t="s">
        <v>626</v>
      </c>
      <c r="L49" s="20">
        <v>4</v>
      </c>
      <c r="M49" s="20">
        <f t="shared" ref="M49" si="22">L49*5</f>
        <v>20</v>
      </c>
      <c r="N49" s="20">
        <v>25</v>
      </c>
      <c r="O49" s="51" t="s">
        <v>829</v>
      </c>
      <c r="P49" s="21" t="s">
        <v>848</v>
      </c>
      <c r="Q49" s="15">
        <f t="shared" si="2"/>
        <v>4.4450000000000003</v>
      </c>
      <c r="R49" s="20"/>
    </row>
    <row r="50" spans="1:18" ht="36">
      <c r="A50" s="1"/>
      <c r="B50" s="16">
        <f>ROW(B50) - ROW($B$7)</f>
        <v>43</v>
      </c>
      <c r="C50" s="22" t="s">
        <v>9</v>
      </c>
      <c r="D50" s="14" t="s">
        <v>86</v>
      </c>
      <c r="E50" s="14" t="s">
        <v>241</v>
      </c>
      <c r="F50" s="14" t="s">
        <v>363</v>
      </c>
      <c r="G50" s="14" t="s">
        <v>461</v>
      </c>
      <c r="H50" s="14" t="s">
        <v>555</v>
      </c>
      <c r="I50" s="20" t="s">
        <v>626</v>
      </c>
      <c r="J50" s="14" t="s">
        <v>632</v>
      </c>
      <c r="K50" s="43" t="s">
        <v>626</v>
      </c>
      <c r="L50" s="14">
        <v>16</v>
      </c>
      <c r="M50" s="14">
        <f>L50*5</f>
        <v>80</v>
      </c>
      <c r="N50" s="14">
        <v>81</v>
      </c>
      <c r="O50" s="51" t="s">
        <v>924</v>
      </c>
      <c r="P50" s="15">
        <v>4.7100000000000003E-2</v>
      </c>
      <c r="Q50" s="15">
        <f t="shared" si="2"/>
        <v>3.8151000000000002</v>
      </c>
      <c r="R50" s="14"/>
    </row>
    <row r="51" spans="1:18">
      <c r="A51" s="1"/>
      <c r="B51" s="17">
        <f t="shared" si="0"/>
        <v>44</v>
      </c>
      <c r="C51" s="23" t="s">
        <v>9</v>
      </c>
      <c r="D51" s="20" t="s">
        <v>87</v>
      </c>
      <c r="E51" s="20" t="s">
        <v>242</v>
      </c>
      <c r="F51" s="20" t="s">
        <v>355</v>
      </c>
      <c r="G51" s="20" t="s">
        <v>462</v>
      </c>
      <c r="H51" s="20" t="s">
        <v>546</v>
      </c>
      <c r="I51" s="20" t="s">
        <v>626</v>
      </c>
      <c r="J51" s="20" t="s">
        <v>633</v>
      </c>
      <c r="K51" s="43" t="s">
        <v>626</v>
      </c>
      <c r="L51" s="20">
        <v>1</v>
      </c>
      <c r="M51" s="20">
        <f t="shared" ref="M51" si="23">L51*5</f>
        <v>5</v>
      </c>
      <c r="N51" s="20" t="s">
        <v>805</v>
      </c>
      <c r="O51" s="51" t="s">
        <v>829</v>
      </c>
      <c r="P51" s="21" t="s">
        <v>849</v>
      </c>
      <c r="Q51" s="15">
        <f t="shared" si="2"/>
        <v>0.53200000000000003</v>
      </c>
      <c r="R51" s="20"/>
    </row>
    <row r="52" spans="1:18">
      <c r="A52" s="1"/>
      <c r="B52" s="16">
        <f>ROW(B52) - ROW($B$7)</f>
        <v>45</v>
      </c>
      <c r="C52" s="22" t="s">
        <v>14</v>
      </c>
      <c r="D52" s="14" t="s">
        <v>88</v>
      </c>
      <c r="E52" s="14" t="s">
        <v>243</v>
      </c>
      <c r="F52" s="14" t="s">
        <v>364</v>
      </c>
      <c r="G52" s="14" t="s">
        <v>463</v>
      </c>
      <c r="H52" s="14" t="s">
        <v>556</v>
      </c>
      <c r="I52" s="20" t="s">
        <v>626</v>
      </c>
      <c r="J52" s="14" t="s">
        <v>634</v>
      </c>
      <c r="K52" s="43" t="s">
        <v>626</v>
      </c>
      <c r="L52" s="14">
        <v>1</v>
      </c>
      <c r="M52" s="14">
        <f>L52*5</f>
        <v>5</v>
      </c>
      <c r="N52" s="14">
        <v>10</v>
      </c>
      <c r="O52" s="51" t="s">
        <v>829</v>
      </c>
      <c r="P52" s="15" t="s">
        <v>850</v>
      </c>
      <c r="Q52" s="15">
        <f t="shared" si="2"/>
        <v>8.0779999999999994</v>
      </c>
      <c r="R52" s="14"/>
    </row>
    <row r="53" spans="1:18" ht="24">
      <c r="A53" s="1"/>
      <c r="B53" s="17">
        <f t="shared" si="0"/>
        <v>46</v>
      </c>
      <c r="C53" s="23" t="s">
        <v>15</v>
      </c>
      <c r="D53" s="20" t="s">
        <v>89</v>
      </c>
      <c r="E53" s="20" t="s">
        <v>244</v>
      </c>
      <c r="F53" s="20" t="s">
        <v>365</v>
      </c>
      <c r="G53" s="20" t="s">
        <v>464</v>
      </c>
      <c r="H53" s="20" t="s">
        <v>557</v>
      </c>
      <c r="I53" s="20" t="s">
        <v>626</v>
      </c>
      <c r="J53" s="20" t="s">
        <v>635</v>
      </c>
      <c r="K53" s="43" t="s">
        <v>626</v>
      </c>
      <c r="L53" s="20">
        <v>1</v>
      </c>
      <c r="M53" s="20">
        <f t="shared" ref="M53" si="24">L53*5</f>
        <v>5</v>
      </c>
      <c r="N53" s="20" t="s">
        <v>805</v>
      </c>
      <c r="O53" s="51" t="s">
        <v>829</v>
      </c>
      <c r="P53" s="21" t="s">
        <v>851</v>
      </c>
      <c r="Q53" s="15">
        <f t="shared" si="2"/>
        <v>0.74</v>
      </c>
      <c r="R53" s="20"/>
    </row>
    <row r="54" spans="1:18">
      <c r="A54" s="1"/>
      <c r="B54" s="16">
        <f>ROW(B54) - ROW($B$7)</f>
        <v>47</v>
      </c>
      <c r="C54" s="22" t="s">
        <v>16</v>
      </c>
      <c r="D54" s="14" t="s">
        <v>90</v>
      </c>
      <c r="E54" s="14" t="s">
        <v>245</v>
      </c>
      <c r="F54" s="14" t="s">
        <v>366</v>
      </c>
      <c r="G54" s="14" t="s">
        <v>465</v>
      </c>
      <c r="H54" s="14" t="s">
        <v>542</v>
      </c>
      <c r="I54" s="20" t="s">
        <v>626</v>
      </c>
      <c r="J54" s="14" t="s">
        <v>636</v>
      </c>
      <c r="K54" s="43" t="s">
        <v>626</v>
      </c>
      <c r="L54" s="14">
        <v>5</v>
      </c>
      <c r="M54" s="14">
        <f>L54*5</f>
        <v>25</v>
      </c>
      <c r="N54" s="14" t="s">
        <v>804</v>
      </c>
      <c r="O54" s="51" t="s">
        <v>829</v>
      </c>
      <c r="P54" s="15" t="s">
        <v>852</v>
      </c>
      <c r="Q54" s="15">
        <f t="shared" si="2"/>
        <v>0.73</v>
      </c>
      <c r="R54" s="14"/>
    </row>
    <row r="55" spans="1:18" ht="36">
      <c r="A55" s="1"/>
      <c r="B55" s="17">
        <f t="shared" si="0"/>
        <v>48</v>
      </c>
      <c r="C55" s="23" t="s">
        <v>16</v>
      </c>
      <c r="D55" s="20" t="s">
        <v>91</v>
      </c>
      <c r="E55" s="20" t="s">
        <v>246</v>
      </c>
      <c r="F55" s="20" t="s">
        <v>366</v>
      </c>
      <c r="G55" s="20" t="s">
        <v>466</v>
      </c>
      <c r="H55" s="20" t="s">
        <v>545</v>
      </c>
      <c r="I55" s="20" t="s">
        <v>626</v>
      </c>
      <c r="J55" s="20" t="s">
        <v>637</v>
      </c>
      <c r="K55" s="44" t="s">
        <v>749</v>
      </c>
      <c r="L55" s="20">
        <v>2</v>
      </c>
      <c r="M55" s="20">
        <f t="shared" ref="M55" si="25">L55*5</f>
        <v>10</v>
      </c>
      <c r="N55" s="20" t="s">
        <v>804</v>
      </c>
      <c r="O55" s="51" t="s">
        <v>829</v>
      </c>
      <c r="P55" s="21" t="s">
        <v>853</v>
      </c>
      <c r="Q55" s="15">
        <f t="shared" si="2"/>
        <v>0.6</v>
      </c>
      <c r="R55" s="20"/>
    </row>
    <row r="56" spans="1:18" ht="24">
      <c r="A56" s="1"/>
      <c r="B56" s="16">
        <f>ROW(B56) - ROW($B$7)</f>
        <v>49</v>
      </c>
      <c r="C56" s="22" t="s">
        <v>17</v>
      </c>
      <c r="D56" s="14" t="s">
        <v>92</v>
      </c>
      <c r="E56" s="14" t="s">
        <v>247</v>
      </c>
      <c r="F56" s="20" t="s">
        <v>786</v>
      </c>
      <c r="G56" s="14" t="s">
        <v>467</v>
      </c>
      <c r="H56" s="14" t="s">
        <v>558</v>
      </c>
      <c r="I56" s="20" t="s">
        <v>626</v>
      </c>
      <c r="J56" s="14" t="s">
        <v>638</v>
      </c>
      <c r="K56" s="43" t="s">
        <v>626</v>
      </c>
      <c r="L56" s="14">
        <v>2</v>
      </c>
      <c r="M56" s="14">
        <f>L56*5</f>
        <v>10</v>
      </c>
      <c r="N56" s="14">
        <v>15</v>
      </c>
      <c r="O56" s="51" t="s">
        <v>829</v>
      </c>
      <c r="P56" s="15" t="s">
        <v>854</v>
      </c>
      <c r="Q56" s="15">
        <f t="shared" si="2"/>
        <v>2.3475000000000001</v>
      </c>
      <c r="R56" s="14"/>
    </row>
    <row r="57" spans="1:18" ht="24">
      <c r="A57" s="1"/>
      <c r="B57" s="17">
        <f t="shared" si="0"/>
        <v>50</v>
      </c>
      <c r="C57" s="23" t="s">
        <v>18</v>
      </c>
      <c r="D57" s="20" t="s">
        <v>93</v>
      </c>
      <c r="E57" s="20" t="s">
        <v>248</v>
      </c>
      <c r="F57" s="20" t="s">
        <v>786</v>
      </c>
      <c r="G57" s="20" t="s">
        <v>468</v>
      </c>
      <c r="H57" s="20" t="s">
        <v>559</v>
      </c>
      <c r="I57" s="20" t="s">
        <v>626</v>
      </c>
      <c r="J57" s="20" t="s">
        <v>468</v>
      </c>
      <c r="K57" s="43" t="s">
        <v>626</v>
      </c>
      <c r="L57" s="20">
        <v>1</v>
      </c>
      <c r="M57" s="20">
        <f t="shared" ref="M57" si="26">L57*5</f>
        <v>5</v>
      </c>
      <c r="N57" s="20" t="s">
        <v>842</v>
      </c>
      <c r="O57" s="51" t="s">
        <v>829</v>
      </c>
      <c r="P57" s="21" t="s">
        <v>855</v>
      </c>
      <c r="Q57" s="15">
        <f t="shared" si="2"/>
        <v>0.76920000000000011</v>
      </c>
      <c r="R57" s="20"/>
    </row>
    <row r="58" spans="1:18" ht="48">
      <c r="A58" s="1"/>
      <c r="B58" s="16">
        <f>ROW(B58) - ROW($B$7)</f>
        <v>51</v>
      </c>
      <c r="C58" s="22" t="s">
        <v>19</v>
      </c>
      <c r="D58" s="14" t="s">
        <v>94</v>
      </c>
      <c r="E58" s="14" t="s">
        <v>249</v>
      </c>
      <c r="F58" s="20" t="s">
        <v>786</v>
      </c>
      <c r="G58" s="14" t="s">
        <v>367</v>
      </c>
      <c r="H58" s="14" t="s">
        <v>560</v>
      </c>
      <c r="I58" s="20" t="s">
        <v>626</v>
      </c>
      <c r="J58" s="14" t="s">
        <v>639</v>
      </c>
      <c r="K58" s="43" t="s">
        <v>626</v>
      </c>
      <c r="L58" s="14">
        <v>2</v>
      </c>
      <c r="M58" s="14">
        <f>L58*5</f>
        <v>10</v>
      </c>
      <c r="N58" s="14">
        <v>15</v>
      </c>
      <c r="O58" s="51" t="s">
        <v>829</v>
      </c>
      <c r="P58" s="15" t="s">
        <v>856</v>
      </c>
      <c r="Q58" s="15">
        <f t="shared" si="2"/>
        <v>2.7765</v>
      </c>
      <c r="R58" s="14"/>
    </row>
    <row r="59" spans="1:18" ht="48">
      <c r="A59" s="1"/>
      <c r="B59" s="17">
        <f t="shared" si="0"/>
        <v>52</v>
      </c>
      <c r="C59" s="23" t="s">
        <v>19</v>
      </c>
      <c r="D59" s="20" t="s">
        <v>95</v>
      </c>
      <c r="E59" s="20" t="s">
        <v>250</v>
      </c>
      <c r="F59" s="20" t="s">
        <v>786</v>
      </c>
      <c r="G59" s="20" t="s">
        <v>368</v>
      </c>
      <c r="H59" s="20" t="s">
        <v>560</v>
      </c>
      <c r="I59" s="20" t="s">
        <v>626</v>
      </c>
      <c r="J59" s="20" t="s">
        <v>640</v>
      </c>
      <c r="K59" s="43" t="s">
        <v>626</v>
      </c>
      <c r="L59" s="20">
        <v>2</v>
      </c>
      <c r="M59" s="20">
        <f t="shared" ref="M59" si="27">L59*5</f>
        <v>10</v>
      </c>
      <c r="N59" s="20">
        <v>15</v>
      </c>
      <c r="O59" s="51" t="s">
        <v>829</v>
      </c>
      <c r="P59" s="21" t="s">
        <v>857</v>
      </c>
      <c r="Q59" s="15">
        <f t="shared" si="2"/>
        <v>2.6865000000000001</v>
      </c>
      <c r="R59" s="20"/>
    </row>
    <row r="60" spans="1:18" ht="48">
      <c r="A60" s="1"/>
      <c r="B60" s="16">
        <f>ROW(B60) - ROW($B$7)</f>
        <v>53</v>
      </c>
      <c r="C60" s="22" t="s">
        <v>19</v>
      </c>
      <c r="D60" s="14" t="s">
        <v>96</v>
      </c>
      <c r="E60" s="14" t="s">
        <v>251</v>
      </c>
      <c r="F60" s="20" t="s">
        <v>786</v>
      </c>
      <c r="G60" s="14" t="s">
        <v>369</v>
      </c>
      <c r="H60" s="14" t="s">
        <v>560</v>
      </c>
      <c r="I60" s="20" t="s">
        <v>626</v>
      </c>
      <c r="J60" s="14" t="s">
        <v>641</v>
      </c>
      <c r="K60" s="43" t="s">
        <v>626</v>
      </c>
      <c r="L60" s="14">
        <v>2</v>
      </c>
      <c r="M60" s="14">
        <f>L60*5</f>
        <v>10</v>
      </c>
      <c r="N60" s="14">
        <v>15</v>
      </c>
      <c r="O60" s="51" t="s">
        <v>829</v>
      </c>
      <c r="P60" s="15" t="s">
        <v>858</v>
      </c>
      <c r="Q60" s="15">
        <f t="shared" si="2"/>
        <v>2.5245000000000002</v>
      </c>
      <c r="R60" s="14"/>
    </row>
    <row r="61" spans="1:18" ht="48">
      <c r="A61" s="1"/>
      <c r="B61" s="17">
        <f t="shared" si="0"/>
        <v>54</v>
      </c>
      <c r="C61" s="23" t="s">
        <v>19</v>
      </c>
      <c r="D61" s="20" t="s">
        <v>97</v>
      </c>
      <c r="E61" s="20" t="s">
        <v>252</v>
      </c>
      <c r="F61" s="20" t="s">
        <v>786</v>
      </c>
      <c r="G61" s="20" t="s">
        <v>370</v>
      </c>
      <c r="H61" s="20" t="s">
        <v>561</v>
      </c>
      <c r="I61" s="20" t="s">
        <v>626</v>
      </c>
      <c r="J61" s="20" t="s">
        <v>642</v>
      </c>
      <c r="K61" s="43" t="s">
        <v>626</v>
      </c>
      <c r="L61" s="20">
        <v>2</v>
      </c>
      <c r="M61" s="20">
        <f t="shared" ref="M61" si="28">L61*5</f>
        <v>10</v>
      </c>
      <c r="N61" s="20">
        <v>15</v>
      </c>
      <c r="O61" s="51" t="s">
        <v>829</v>
      </c>
      <c r="P61" s="21" t="s">
        <v>859</v>
      </c>
      <c r="Q61" s="15">
        <f t="shared" si="2"/>
        <v>2.8725000000000001</v>
      </c>
      <c r="R61" s="20"/>
    </row>
    <row r="62" spans="1:18" ht="48">
      <c r="A62" s="1"/>
      <c r="B62" s="16">
        <f>ROW(B62) - ROW($B$7)</f>
        <v>55</v>
      </c>
      <c r="C62" s="22" t="s">
        <v>20</v>
      </c>
      <c r="D62" s="14" t="s">
        <v>98</v>
      </c>
      <c r="E62" s="14" t="s">
        <v>253</v>
      </c>
      <c r="F62" s="14" t="s">
        <v>371</v>
      </c>
      <c r="G62" s="14" t="s">
        <v>469</v>
      </c>
      <c r="H62" s="14" t="s">
        <v>562</v>
      </c>
      <c r="I62" s="20" t="s">
        <v>626</v>
      </c>
      <c r="J62" s="14" t="s">
        <v>643</v>
      </c>
      <c r="K62" s="43" t="s">
        <v>626</v>
      </c>
      <c r="L62" s="14">
        <v>7</v>
      </c>
      <c r="M62" s="14">
        <f>L62*5</f>
        <v>35</v>
      </c>
      <c r="N62" s="14" t="s">
        <v>830</v>
      </c>
      <c r="O62" s="51" t="s">
        <v>829</v>
      </c>
      <c r="P62" s="15" t="s">
        <v>860</v>
      </c>
      <c r="Q62" s="15">
        <f t="shared" si="2"/>
        <v>1.1600000000000001</v>
      </c>
      <c r="R62" s="14"/>
    </row>
    <row r="63" spans="1:18">
      <c r="A63" s="1"/>
      <c r="B63" s="17">
        <f t="shared" si="0"/>
        <v>56</v>
      </c>
      <c r="C63" s="23" t="s">
        <v>21</v>
      </c>
      <c r="D63" s="20" t="s">
        <v>99</v>
      </c>
      <c r="E63" s="20" t="s">
        <v>254</v>
      </c>
      <c r="F63" s="20" t="s">
        <v>786</v>
      </c>
      <c r="G63" s="20" t="s">
        <v>372</v>
      </c>
      <c r="H63" s="20" t="s">
        <v>563</v>
      </c>
      <c r="I63" s="20" t="s">
        <v>626</v>
      </c>
      <c r="J63" s="20" t="s">
        <v>644</v>
      </c>
      <c r="K63" s="43" t="s">
        <v>626</v>
      </c>
      <c r="L63" s="20">
        <v>1</v>
      </c>
      <c r="M63" s="20">
        <f t="shared" ref="M63" si="29">L63*5</f>
        <v>5</v>
      </c>
      <c r="N63" s="20" t="s">
        <v>806</v>
      </c>
      <c r="O63" s="51" t="s">
        <v>924</v>
      </c>
      <c r="P63" s="21">
        <v>1.242</v>
      </c>
      <c r="Q63" s="15">
        <f t="shared" si="2"/>
        <v>6.21</v>
      </c>
      <c r="R63" s="20"/>
    </row>
    <row r="64" spans="1:18" ht="48">
      <c r="A64" s="1"/>
      <c r="B64" s="16">
        <f>ROW(B64) - ROW($B$7)</f>
        <v>57</v>
      </c>
      <c r="C64" s="22" t="s">
        <v>19</v>
      </c>
      <c r="D64" s="14" t="s">
        <v>100</v>
      </c>
      <c r="E64" s="14" t="s">
        <v>255</v>
      </c>
      <c r="F64" s="20" t="s">
        <v>786</v>
      </c>
      <c r="G64" s="14" t="s">
        <v>373</v>
      </c>
      <c r="H64" s="14" t="s">
        <v>560</v>
      </c>
      <c r="I64" s="20" t="s">
        <v>626</v>
      </c>
      <c r="J64" s="14" t="s">
        <v>645</v>
      </c>
      <c r="K64" s="43" t="s">
        <v>626</v>
      </c>
      <c r="L64" s="14">
        <v>1</v>
      </c>
      <c r="M64" s="14">
        <f>L64*5</f>
        <v>5</v>
      </c>
      <c r="N64" s="14">
        <v>10</v>
      </c>
      <c r="O64" s="51" t="s">
        <v>829</v>
      </c>
      <c r="P64" s="15" t="s">
        <v>861</v>
      </c>
      <c r="Q64" s="15">
        <f t="shared" si="2"/>
        <v>2.6740000000000004</v>
      </c>
      <c r="R64" s="14"/>
    </row>
    <row r="65" spans="1:18">
      <c r="A65" s="1"/>
      <c r="B65" s="17">
        <f t="shared" si="0"/>
        <v>58</v>
      </c>
      <c r="C65" s="23" t="s">
        <v>22</v>
      </c>
      <c r="D65" s="20" t="s">
        <v>101</v>
      </c>
      <c r="E65" s="20" t="s">
        <v>256</v>
      </c>
      <c r="F65" s="20" t="s">
        <v>786</v>
      </c>
      <c r="G65" s="20" t="s">
        <v>470</v>
      </c>
      <c r="H65" s="20" t="s">
        <v>564</v>
      </c>
      <c r="I65" s="20" t="s">
        <v>626</v>
      </c>
      <c r="J65" s="20" t="s">
        <v>646</v>
      </c>
      <c r="K65" s="43" t="s">
        <v>626</v>
      </c>
      <c r="L65" s="20">
        <v>1</v>
      </c>
      <c r="M65" s="20">
        <f t="shared" ref="M65" si="30">L65*5</f>
        <v>5</v>
      </c>
      <c r="N65" s="20" t="s">
        <v>808</v>
      </c>
      <c r="O65" s="51" t="s">
        <v>829</v>
      </c>
      <c r="P65" s="21" t="s">
        <v>862</v>
      </c>
      <c r="Q65" s="15">
        <f t="shared" si="2"/>
        <v>0.44699999999999995</v>
      </c>
      <c r="R65" s="20"/>
    </row>
    <row r="66" spans="1:18" ht="48">
      <c r="A66" s="1"/>
      <c r="B66" s="16">
        <f>ROW(B66) - ROW($B$7)</f>
        <v>59</v>
      </c>
      <c r="C66" s="22" t="s">
        <v>23</v>
      </c>
      <c r="D66" s="14" t="s">
        <v>102</v>
      </c>
      <c r="E66" s="14" t="s">
        <v>257</v>
      </c>
      <c r="F66" s="20" t="s">
        <v>786</v>
      </c>
      <c r="G66" s="14" t="s">
        <v>374</v>
      </c>
      <c r="H66" s="14" t="s">
        <v>565</v>
      </c>
      <c r="I66" s="20" t="s">
        <v>626</v>
      </c>
      <c r="J66" s="14" t="s">
        <v>647</v>
      </c>
      <c r="K66" s="43" t="s">
        <v>626</v>
      </c>
      <c r="L66" s="14">
        <v>1</v>
      </c>
      <c r="M66" s="14">
        <f>L66*5</f>
        <v>5</v>
      </c>
      <c r="N66" s="14">
        <v>6</v>
      </c>
      <c r="O66" s="51" t="s">
        <v>829</v>
      </c>
      <c r="P66" s="15" t="s">
        <v>863</v>
      </c>
      <c r="Q66" s="15">
        <f t="shared" si="2"/>
        <v>0.9708</v>
      </c>
      <c r="R66" s="14"/>
    </row>
    <row r="67" spans="1:18">
      <c r="A67" s="1"/>
      <c r="B67" s="17">
        <f t="shared" si="0"/>
        <v>60</v>
      </c>
      <c r="C67" s="23" t="s">
        <v>24</v>
      </c>
      <c r="D67" s="20" t="s">
        <v>103</v>
      </c>
      <c r="E67" s="20" t="s">
        <v>258</v>
      </c>
      <c r="F67" s="20" t="s">
        <v>786</v>
      </c>
      <c r="G67" s="20" t="s">
        <v>375</v>
      </c>
      <c r="H67" s="20" t="s">
        <v>566</v>
      </c>
      <c r="I67" s="20" t="s">
        <v>626</v>
      </c>
      <c r="J67" s="20" t="s">
        <v>648</v>
      </c>
      <c r="K67" s="43" t="s">
        <v>626</v>
      </c>
      <c r="L67" s="20">
        <v>2</v>
      </c>
      <c r="M67" s="20">
        <f t="shared" ref="M67" si="31">L67*5</f>
        <v>10</v>
      </c>
      <c r="N67" s="20">
        <v>11</v>
      </c>
      <c r="O67" s="51" t="s">
        <v>829</v>
      </c>
      <c r="P67" s="21" t="s">
        <v>864</v>
      </c>
      <c r="Q67" s="15">
        <f t="shared" si="2"/>
        <v>14.227400000000001</v>
      </c>
      <c r="R67" s="20"/>
    </row>
    <row r="68" spans="1:18">
      <c r="A68" s="1"/>
      <c r="B68" s="16">
        <f>ROW(B68) - ROW($B$7)</f>
        <v>61</v>
      </c>
      <c r="C68" s="53" t="s">
        <v>785</v>
      </c>
      <c r="D68" s="52" t="s">
        <v>104</v>
      </c>
      <c r="E68" s="52" t="s">
        <v>259</v>
      </c>
      <c r="F68" s="54" t="s">
        <v>786</v>
      </c>
      <c r="G68" s="52" t="s">
        <v>471</v>
      </c>
      <c r="H68" s="52" t="s">
        <v>567</v>
      </c>
      <c r="I68" s="54" t="s">
        <v>626</v>
      </c>
      <c r="J68" s="52" t="s">
        <v>626</v>
      </c>
      <c r="K68" s="55" t="s">
        <v>626</v>
      </c>
      <c r="L68" s="52">
        <v>1</v>
      </c>
      <c r="M68" s="52">
        <f>L68*5</f>
        <v>5</v>
      </c>
      <c r="N68" s="52">
        <v>1</v>
      </c>
      <c r="O68" s="56" t="s">
        <v>923</v>
      </c>
      <c r="P68" s="57">
        <v>84.874279999999999</v>
      </c>
      <c r="Q68" s="15">
        <f t="shared" si="2"/>
        <v>84.874279999999999</v>
      </c>
      <c r="R68" s="52" t="s">
        <v>925</v>
      </c>
    </row>
    <row r="69" spans="1:18" ht="48">
      <c r="A69" s="1"/>
      <c r="B69" s="17">
        <f t="shared" si="0"/>
        <v>62</v>
      </c>
      <c r="C69" s="23" t="s">
        <v>20</v>
      </c>
      <c r="D69" s="20" t="s">
        <v>105</v>
      </c>
      <c r="E69" s="20" t="s">
        <v>260</v>
      </c>
      <c r="F69" s="20" t="s">
        <v>376</v>
      </c>
      <c r="G69" s="20" t="s">
        <v>472</v>
      </c>
      <c r="H69" s="20" t="s">
        <v>562</v>
      </c>
      <c r="I69" s="20" t="s">
        <v>626</v>
      </c>
      <c r="J69" s="20" t="s">
        <v>649</v>
      </c>
      <c r="K69" s="43" t="s">
        <v>626</v>
      </c>
      <c r="L69" s="20">
        <v>1</v>
      </c>
      <c r="M69" s="20">
        <f t="shared" ref="M69" si="32">L69*5</f>
        <v>5</v>
      </c>
      <c r="N69" s="20" t="s">
        <v>808</v>
      </c>
      <c r="O69" s="51" t="s">
        <v>829</v>
      </c>
      <c r="P69" s="21" t="s">
        <v>866</v>
      </c>
      <c r="Q69" s="15">
        <f t="shared" si="2"/>
        <v>0.4</v>
      </c>
      <c r="R69" s="20"/>
    </row>
    <row r="70" spans="1:18" ht="36">
      <c r="A70" s="1"/>
      <c r="B70" s="16">
        <f>ROW(B70) - ROW($B$7)</f>
        <v>63</v>
      </c>
      <c r="C70" s="22" t="s">
        <v>17</v>
      </c>
      <c r="D70" s="14" t="s">
        <v>106</v>
      </c>
      <c r="E70" s="14" t="s">
        <v>261</v>
      </c>
      <c r="F70" s="20" t="s">
        <v>786</v>
      </c>
      <c r="G70" s="14" t="s">
        <v>377</v>
      </c>
      <c r="H70" s="14" t="s">
        <v>562</v>
      </c>
      <c r="I70" s="20" t="s">
        <v>626</v>
      </c>
      <c r="J70" s="14" t="s">
        <v>650</v>
      </c>
      <c r="K70" s="43" t="s">
        <v>626</v>
      </c>
      <c r="L70" s="14">
        <v>1</v>
      </c>
      <c r="M70" s="14">
        <f>L70*5</f>
        <v>5</v>
      </c>
      <c r="N70" s="14" t="s">
        <v>808</v>
      </c>
      <c r="O70" s="51" t="s">
        <v>829</v>
      </c>
      <c r="P70" s="15" t="s">
        <v>867</v>
      </c>
      <c r="Q70" s="15">
        <f t="shared" si="2"/>
        <v>0.61</v>
      </c>
      <c r="R70" s="14"/>
    </row>
    <row r="71" spans="1:18" ht="60">
      <c r="A71" s="1"/>
      <c r="B71" s="17">
        <f t="shared" si="0"/>
        <v>64</v>
      </c>
      <c r="C71" s="23" t="s">
        <v>25</v>
      </c>
      <c r="D71" s="20" t="s">
        <v>107</v>
      </c>
      <c r="E71" s="20" t="s">
        <v>262</v>
      </c>
      <c r="F71" s="20" t="s">
        <v>786</v>
      </c>
      <c r="G71" s="20" t="s">
        <v>378</v>
      </c>
      <c r="H71" s="20" t="s">
        <v>568</v>
      </c>
      <c r="I71" s="20" t="s">
        <v>626</v>
      </c>
      <c r="J71" s="20" t="s">
        <v>651</v>
      </c>
      <c r="K71" s="43" t="s">
        <v>626</v>
      </c>
      <c r="L71" s="20">
        <v>1</v>
      </c>
      <c r="M71" s="20">
        <f t="shared" ref="M71" si="33">L71*5</f>
        <v>5</v>
      </c>
      <c r="N71" s="20">
        <v>6</v>
      </c>
      <c r="O71" s="51" t="s">
        <v>829</v>
      </c>
      <c r="P71" s="21" t="s">
        <v>868</v>
      </c>
      <c r="Q71" s="15">
        <f t="shared" si="2"/>
        <v>5.5410000000000004</v>
      </c>
      <c r="R71" s="20"/>
    </row>
    <row r="72" spans="1:18" ht="48">
      <c r="A72" s="1"/>
      <c r="B72" s="16">
        <f>ROW(B72) - ROW($B$7)</f>
        <v>65</v>
      </c>
      <c r="C72" s="22" t="s">
        <v>19</v>
      </c>
      <c r="D72" s="14" t="s">
        <v>108</v>
      </c>
      <c r="E72" s="14" t="s">
        <v>263</v>
      </c>
      <c r="F72" s="20" t="s">
        <v>786</v>
      </c>
      <c r="G72" s="14" t="s">
        <v>379</v>
      </c>
      <c r="H72" s="14" t="s">
        <v>561</v>
      </c>
      <c r="I72" s="20" t="s">
        <v>626</v>
      </c>
      <c r="J72" s="14" t="s">
        <v>652</v>
      </c>
      <c r="K72" s="43" t="s">
        <v>626</v>
      </c>
      <c r="L72" s="14">
        <v>2</v>
      </c>
      <c r="M72" s="14">
        <f>L72*5</f>
        <v>10</v>
      </c>
      <c r="N72" s="14">
        <v>15</v>
      </c>
      <c r="O72" s="51" t="s">
        <v>829</v>
      </c>
      <c r="P72" s="15" t="s">
        <v>869</v>
      </c>
      <c r="Q72" s="15">
        <f t="shared" si="2"/>
        <v>4.2584999999999997</v>
      </c>
      <c r="R72" s="14"/>
    </row>
    <row r="73" spans="1:18" ht="48">
      <c r="A73" s="1"/>
      <c r="B73" s="17">
        <f t="shared" si="0"/>
        <v>66</v>
      </c>
      <c r="C73" s="23" t="s">
        <v>19</v>
      </c>
      <c r="D73" s="20" t="s">
        <v>109</v>
      </c>
      <c r="E73" s="20" t="s">
        <v>264</v>
      </c>
      <c r="F73" s="20" t="s">
        <v>786</v>
      </c>
      <c r="G73" s="20" t="s">
        <v>380</v>
      </c>
      <c r="H73" s="20" t="s">
        <v>560</v>
      </c>
      <c r="I73" s="20" t="s">
        <v>626</v>
      </c>
      <c r="J73" s="20" t="s">
        <v>653</v>
      </c>
      <c r="K73" s="43" t="s">
        <v>626</v>
      </c>
      <c r="L73" s="20">
        <v>2</v>
      </c>
      <c r="M73" s="20">
        <f t="shared" ref="M73" si="34">L73*5</f>
        <v>10</v>
      </c>
      <c r="N73" s="20">
        <v>15</v>
      </c>
      <c r="O73" s="51" t="s">
        <v>829</v>
      </c>
      <c r="P73" s="21" t="s">
        <v>870</v>
      </c>
      <c r="Q73" s="15">
        <f t="shared" ref="Q73:Q136" si="35">P73*N73</f>
        <v>3.96</v>
      </c>
      <c r="R73" s="20"/>
    </row>
    <row r="74" spans="1:18" ht="48">
      <c r="A74" s="1"/>
      <c r="B74" s="16">
        <f>ROW(B74) - ROW($B$7)</f>
        <v>67</v>
      </c>
      <c r="C74" s="22" t="s">
        <v>19</v>
      </c>
      <c r="D74" s="14" t="s">
        <v>110</v>
      </c>
      <c r="E74" s="14" t="s">
        <v>265</v>
      </c>
      <c r="F74" s="20" t="s">
        <v>786</v>
      </c>
      <c r="G74" s="14" t="s">
        <v>381</v>
      </c>
      <c r="H74" s="14" t="s">
        <v>560</v>
      </c>
      <c r="I74" s="20" t="s">
        <v>626</v>
      </c>
      <c r="J74" s="14" t="s">
        <v>654</v>
      </c>
      <c r="K74" s="43" t="s">
        <v>626</v>
      </c>
      <c r="L74" s="14">
        <v>3</v>
      </c>
      <c r="M74" s="14">
        <f>L74*5</f>
        <v>15</v>
      </c>
      <c r="N74" s="14">
        <v>20</v>
      </c>
      <c r="O74" s="51" t="s">
        <v>829</v>
      </c>
      <c r="P74" s="15" t="s">
        <v>871</v>
      </c>
      <c r="Q74" s="15">
        <f t="shared" si="35"/>
        <v>5.2459999999999996</v>
      </c>
      <c r="R74" s="14"/>
    </row>
    <row r="75" spans="1:18" ht="36">
      <c r="A75" s="1"/>
      <c r="B75" s="17">
        <f t="shared" si="0"/>
        <v>68</v>
      </c>
      <c r="C75" s="23" t="s">
        <v>26</v>
      </c>
      <c r="D75" s="20" t="s">
        <v>111</v>
      </c>
      <c r="E75" s="20" t="s">
        <v>266</v>
      </c>
      <c r="F75" s="20" t="s">
        <v>786</v>
      </c>
      <c r="G75" s="20" t="s">
        <v>382</v>
      </c>
      <c r="H75" s="20" t="s">
        <v>569</v>
      </c>
      <c r="I75" s="20" t="s">
        <v>626</v>
      </c>
      <c r="J75" s="20" t="s">
        <v>655</v>
      </c>
      <c r="K75" s="43" t="s">
        <v>626</v>
      </c>
      <c r="L75" s="20">
        <v>2</v>
      </c>
      <c r="M75" s="20">
        <f t="shared" ref="M75" si="36">L75*5</f>
        <v>10</v>
      </c>
      <c r="N75" s="20">
        <v>11</v>
      </c>
      <c r="O75" s="51" t="s">
        <v>829</v>
      </c>
      <c r="P75" s="21" t="s">
        <v>872</v>
      </c>
      <c r="Q75" s="15">
        <f t="shared" si="35"/>
        <v>12.6478</v>
      </c>
      <c r="R75" s="20"/>
    </row>
    <row r="76" spans="1:18" ht="48">
      <c r="A76" s="1"/>
      <c r="B76" s="16">
        <f>ROW(B76) - ROW($B$7)</f>
        <v>69</v>
      </c>
      <c r="C76" s="22" t="s">
        <v>19</v>
      </c>
      <c r="D76" s="14" t="s">
        <v>112</v>
      </c>
      <c r="E76" s="14" t="s">
        <v>267</v>
      </c>
      <c r="F76" s="20" t="s">
        <v>786</v>
      </c>
      <c r="G76" s="14" t="s">
        <v>383</v>
      </c>
      <c r="H76" s="14" t="s">
        <v>560</v>
      </c>
      <c r="I76" s="20" t="s">
        <v>626</v>
      </c>
      <c r="J76" s="14" t="s">
        <v>656</v>
      </c>
      <c r="K76" s="43" t="s">
        <v>626</v>
      </c>
      <c r="L76" s="14">
        <v>1</v>
      </c>
      <c r="M76" s="14">
        <f>L76*5</f>
        <v>5</v>
      </c>
      <c r="N76" s="14">
        <v>6</v>
      </c>
      <c r="O76" s="51" t="s">
        <v>829</v>
      </c>
      <c r="P76" s="15" t="s">
        <v>873</v>
      </c>
      <c r="Q76" s="15">
        <f t="shared" si="35"/>
        <v>2.3508</v>
      </c>
      <c r="R76" s="14"/>
    </row>
    <row r="77" spans="1:18" ht="48">
      <c r="A77" s="1"/>
      <c r="B77" s="17">
        <f t="shared" si="0"/>
        <v>70</v>
      </c>
      <c r="C77" s="23" t="s">
        <v>19</v>
      </c>
      <c r="D77" s="20" t="s">
        <v>113</v>
      </c>
      <c r="E77" s="20" t="s">
        <v>268</v>
      </c>
      <c r="F77" s="20" t="s">
        <v>786</v>
      </c>
      <c r="G77" s="20" t="s">
        <v>384</v>
      </c>
      <c r="H77" s="20" t="s">
        <v>560</v>
      </c>
      <c r="I77" s="20" t="s">
        <v>626</v>
      </c>
      <c r="J77" s="20" t="s">
        <v>657</v>
      </c>
      <c r="K77" s="43" t="s">
        <v>626</v>
      </c>
      <c r="L77" s="20">
        <v>2</v>
      </c>
      <c r="M77" s="20">
        <f t="shared" ref="M77" si="37">L77*5</f>
        <v>10</v>
      </c>
      <c r="N77" s="20">
        <v>11</v>
      </c>
      <c r="O77" s="51" t="s">
        <v>829</v>
      </c>
      <c r="P77" s="21" t="s">
        <v>874</v>
      </c>
      <c r="Q77" s="15">
        <f t="shared" si="35"/>
        <v>5.7651000000000003</v>
      </c>
      <c r="R77" s="20"/>
    </row>
    <row r="78" spans="1:18" ht="48">
      <c r="A78" s="1"/>
      <c r="B78" s="16">
        <f>ROW(B78) - ROW($B$7)</f>
        <v>71</v>
      </c>
      <c r="C78" s="22" t="s">
        <v>19</v>
      </c>
      <c r="D78" s="14" t="s">
        <v>114</v>
      </c>
      <c r="E78" s="14" t="s">
        <v>269</v>
      </c>
      <c r="F78" s="20" t="s">
        <v>786</v>
      </c>
      <c r="G78" s="14" t="s">
        <v>385</v>
      </c>
      <c r="H78" s="14" t="s">
        <v>561</v>
      </c>
      <c r="I78" s="20" t="s">
        <v>626</v>
      </c>
      <c r="J78" s="14" t="s">
        <v>658</v>
      </c>
      <c r="K78" s="43" t="s">
        <v>626</v>
      </c>
      <c r="L78" s="14">
        <v>1</v>
      </c>
      <c r="M78" s="14">
        <f>L78*5</f>
        <v>5</v>
      </c>
      <c r="N78" s="14">
        <v>6</v>
      </c>
      <c r="O78" s="51" t="s">
        <v>829</v>
      </c>
      <c r="P78" s="15" t="s">
        <v>875</v>
      </c>
      <c r="Q78" s="15">
        <f t="shared" si="35"/>
        <v>5.7582000000000004</v>
      </c>
      <c r="R78" s="14"/>
    </row>
    <row r="79" spans="1:18" ht="48">
      <c r="A79" s="1"/>
      <c r="B79" s="17">
        <f t="shared" si="0"/>
        <v>72</v>
      </c>
      <c r="C79" s="23" t="s">
        <v>27</v>
      </c>
      <c r="D79" s="20" t="s">
        <v>115</v>
      </c>
      <c r="E79" s="20" t="s">
        <v>270</v>
      </c>
      <c r="F79" s="20" t="s">
        <v>786</v>
      </c>
      <c r="G79" s="20" t="s">
        <v>386</v>
      </c>
      <c r="H79" s="20" t="s">
        <v>560</v>
      </c>
      <c r="I79" s="20" t="s">
        <v>626</v>
      </c>
      <c r="J79" s="20" t="s">
        <v>659</v>
      </c>
      <c r="K79" s="43" t="s">
        <v>626</v>
      </c>
      <c r="L79" s="20">
        <v>2</v>
      </c>
      <c r="M79" s="20">
        <f t="shared" ref="M79" si="38">L79*5</f>
        <v>10</v>
      </c>
      <c r="N79" s="20">
        <v>15</v>
      </c>
      <c r="O79" s="51" t="s">
        <v>829</v>
      </c>
      <c r="P79" s="21" t="s">
        <v>876</v>
      </c>
      <c r="Q79" s="15">
        <f t="shared" si="35"/>
        <v>4.4189999999999996</v>
      </c>
      <c r="R79" s="20"/>
    </row>
    <row r="80" spans="1:18">
      <c r="A80" s="1"/>
      <c r="B80" s="16">
        <f>ROW(B80) - ROW($B$7)</f>
        <v>73</v>
      </c>
      <c r="C80" s="22" t="s">
        <v>28</v>
      </c>
      <c r="D80" s="14" t="s">
        <v>116</v>
      </c>
      <c r="E80" s="14" t="s">
        <v>271</v>
      </c>
      <c r="F80" s="20" t="s">
        <v>786</v>
      </c>
      <c r="G80" s="14" t="s">
        <v>387</v>
      </c>
      <c r="H80" s="14" t="s">
        <v>547</v>
      </c>
      <c r="I80" s="20" t="s">
        <v>626</v>
      </c>
      <c r="J80" s="14" t="s">
        <v>660</v>
      </c>
      <c r="K80" s="43" t="s">
        <v>750</v>
      </c>
      <c r="L80" s="14">
        <v>1</v>
      </c>
      <c r="M80" s="14">
        <f>L80*5</f>
        <v>5</v>
      </c>
      <c r="N80" s="14">
        <v>6</v>
      </c>
      <c r="O80" s="51" t="s">
        <v>829</v>
      </c>
      <c r="P80" s="15" t="s">
        <v>877</v>
      </c>
      <c r="Q80" s="15">
        <f t="shared" si="35"/>
        <v>5.2986000000000004</v>
      </c>
      <c r="R80" s="14"/>
    </row>
    <row r="81" spans="1:18" ht="24">
      <c r="A81" s="1"/>
      <c r="B81" s="17">
        <f t="shared" si="0"/>
        <v>74</v>
      </c>
      <c r="C81" s="23" t="s">
        <v>29</v>
      </c>
      <c r="D81" s="20" t="s">
        <v>117</v>
      </c>
      <c r="E81" s="20" t="s">
        <v>272</v>
      </c>
      <c r="F81" s="20" t="s">
        <v>786</v>
      </c>
      <c r="G81" s="20" t="s">
        <v>388</v>
      </c>
      <c r="H81" s="20" t="s">
        <v>570</v>
      </c>
      <c r="I81" s="20" t="s">
        <v>626</v>
      </c>
      <c r="J81" s="20" t="s">
        <v>661</v>
      </c>
      <c r="K81" s="44" t="s">
        <v>751</v>
      </c>
      <c r="L81" s="20">
        <v>1</v>
      </c>
      <c r="M81" s="20">
        <f t="shared" ref="M81" si="39">L81*5</f>
        <v>5</v>
      </c>
      <c r="N81" s="20" t="s">
        <v>808</v>
      </c>
      <c r="O81" s="51" t="s">
        <v>829</v>
      </c>
      <c r="P81" s="21" t="s">
        <v>878</v>
      </c>
      <c r="Q81" s="15">
        <f t="shared" si="35"/>
        <v>0.53400000000000003</v>
      </c>
      <c r="R81" s="20"/>
    </row>
    <row r="82" spans="1:18" ht="24">
      <c r="A82" s="1"/>
      <c r="B82" s="16">
        <f>ROW(B82) - ROW($B$7)</f>
        <v>75</v>
      </c>
      <c r="C82" s="22" t="s">
        <v>30</v>
      </c>
      <c r="D82" s="14" t="s">
        <v>118</v>
      </c>
      <c r="E82" s="14" t="s">
        <v>273</v>
      </c>
      <c r="F82" s="14" t="s">
        <v>389</v>
      </c>
      <c r="G82" s="14" t="s">
        <v>473</v>
      </c>
      <c r="H82" s="14" t="s">
        <v>571</v>
      </c>
      <c r="I82" s="20" t="s">
        <v>626</v>
      </c>
      <c r="J82" s="14" t="s">
        <v>662</v>
      </c>
      <c r="K82" s="43" t="s">
        <v>626</v>
      </c>
      <c r="L82" s="14">
        <v>7</v>
      </c>
      <c r="M82" s="14">
        <f>L82*5</f>
        <v>35</v>
      </c>
      <c r="N82" s="14" t="s">
        <v>830</v>
      </c>
      <c r="O82" s="51" t="s">
        <v>829</v>
      </c>
      <c r="P82" s="15" t="s">
        <v>879</v>
      </c>
      <c r="Q82" s="15">
        <f t="shared" si="35"/>
        <v>0.88800000000000001</v>
      </c>
      <c r="R82" s="14"/>
    </row>
    <row r="83" spans="1:18" ht="24">
      <c r="A83" s="1"/>
      <c r="B83" s="17">
        <f t="shared" si="0"/>
        <v>76</v>
      </c>
      <c r="C83" s="23" t="s">
        <v>30</v>
      </c>
      <c r="D83" s="20" t="s">
        <v>119</v>
      </c>
      <c r="E83" s="20" t="s">
        <v>274</v>
      </c>
      <c r="F83" s="20" t="s">
        <v>389</v>
      </c>
      <c r="G83" s="20" t="s">
        <v>474</v>
      </c>
      <c r="H83" s="20" t="s">
        <v>571</v>
      </c>
      <c r="I83" s="20" t="s">
        <v>626</v>
      </c>
      <c r="J83" s="20" t="s">
        <v>663</v>
      </c>
      <c r="K83" s="43" t="s">
        <v>626</v>
      </c>
      <c r="L83" s="20">
        <v>1</v>
      </c>
      <c r="M83" s="20">
        <f t="shared" ref="M83" si="40">L83*5</f>
        <v>5</v>
      </c>
      <c r="N83" s="20" t="s">
        <v>805</v>
      </c>
      <c r="O83" s="51" t="s">
        <v>829</v>
      </c>
      <c r="P83" s="21" t="s">
        <v>880</v>
      </c>
      <c r="Q83" s="15">
        <f t="shared" si="35"/>
        <v>0.436</v>
      </c>
      <c r="R83" s="20"/>
    </row>
    <row r="84" spans="1:18" ht="24">
      <c r="A84" s="1"/>
      <c r="B84" s="16">
        <f>ROW(B84) - ROW($B$7)</f>
        <v>77</v>
      </c>
      <c r="C84" s="22" t="s">
        <v>30</v>
      </c>
      <c r="D84" s="14" t="s">
        <v>120</v>
      </c>
      <c r="E84" s="14" t="s">
        <v>275</v>
      </c>
      <c r="F84" s="14" t="s">
        <v>389</v>
      </c>
      <c r="G84" s="14" t="s">
        <v>475</v>
      </c>
      <c r="H84" s="14" t="s">
        <v>571</v>
      </c>
      <c r="I84" s="20" t="s">
        <v>626</v>
      </c>
      <c r="J84" s="14" t="s">
        <v>664</v>
      </c>
      <c r="K84" s="43" t="s">
        <v>626</v>
      </c>
      <c r="L84" s="14">
        <v>2</v>
      </c>
      <c r="M84" s="14">
        <f>L84*5</f>
        <v>10</v>
      </c>
      <c r="N84" s="14" t="s">
        <v>805</v>
      </c>
      <c r="O84" s="51" t="s">
        <v>829</v>
      </c>
      <c r="P84" s="15" t="s">
        <v>881</v>
      </c>
      <c r="Q84" s="15">
        <f t="shared" si="35"/>
        <v>0.42999999999999994</v>
      </c>
      <c r="R84" s="14"/>
    </row>
    <row r="85" spans="1:18" ht="24">
      <c r="A85" s="1"/>
      <c r="B85" s="17">
        <f t="shared" si="0"/>
        <v>78</v>
      </c>
      <c r="C85" s="23" t="s">
        <v>31</v>
      </c>
      <c r="D85" s="20" t="s">
        <v>121</v>
      </c>
      <c r="E85" s="20" t="s">
        <v>276</v>
      </c>
      <c r="F85" s="20" t="s">
        <v>786</v>
      </c>
      <c r="G85" s="20" t="s">
        <v>390</v>
      </c>
      <c r="H85" s="20" t="s">
        <v>572</v>
      </c>
      <c r="I85" s="20" t="s">
        <v>626</v>
      </c>
      <c r="J85" s="20" t="s">
        <v>665</v>
      </c>
      <c r="K85" s="43" t="s">
        <v>626</v>
      </c>
      <c r="L85" s="20">
        <v>10</v>
      </c>
      <c r="M85" s="20">
        <f t="shared" ref="M85" si="41">L85*5</f>
        <v>50</v>
      </c>
      <c r="N85" s="20">
        <v>55</v>
      </c>
      <c r="O85" s="51" t="s">
        <v>829</v>
      </c>
      <c r="P85" s="21" t="s">
        <v>882</v>
      </c>
      <c r="Q85" s="15">
        <f t="shared" si="35"/>
        <v>6.3854999999999995</v>
      </c>
      <c r="R85" s="20"/>
    </row>
    <row r="86" spans="1:18" ht="24">
      <c r="A86" s="1"/>
      <c r="B86" s="16">
        <f>ROW(B86) - ROW($B$7)</f>
        <v>79</v>
      </c>
      <c r="C86" s="22" t="s">
        <v>32</v>
      </c>
      <c r="D86" s="14" t="s">
        <v>122</v>
      </c>
      <c r="E86" s="14" t="s">
        <v>277</v>
      </c>
      <c r="F86" s="14" t="s">
        <v>356</v>
      </c>
      <c r="G86" s="14" t="s">
        <v>476</v>
      </c>
      <c r="H86" s="14" t="s">
        <v>573</v>
      </c>
      <c r="I86" s="20" t="s">
        <v>626</v>
      </c>
      <c r="J86" s="14" t="s">
        <v>666</v>
      </c>
      <c r="K86" s="43" t="s">
        <v>626</v>
      </c>
      <c r="L86" s="14">
        <v>2</v>
      </c>
      <c r="M86" s="14">
        <f>L86*5</f>
        <v>10</v>
      </c>
      <c r="N86" s="14" t="s">
        <v>807</v>
      </c>
      <c r="O86" s="51" t="s">
        <v>829</v>
      </c>
      <c r="P86" s="15" t="s">
        <v>883</v>
      </c>
      <c r="Q86" s="15">
        <f t="shared" si="35"/>
        <v>0.81499999999999995</v>
      </c>
      <c r="R86" s="14"/>
    </row>
    <row r="87" spans="1:18">
      <c r="A87" s="1"/>
      <c r="B87" s="17">
        <f t="shared" si="0"/>
        <v>80</v>
      </c>
      <c r="C87" s="22" t="s">
        <v>32</v>
      </c>
      <c r="D87" s="20" t="s">
        <v>123</v>
      </c>
      <c r="E87" s="20" t="s">
        <v>278</v>
      </c>
      <c r="F87" s="20" t="s">
        <v>391</v>
      </c>
      <c r="G87" s="20" t="s">
        <v>477</v>
      </c>
      <c r="H87" s="20" t="s">
        <v>546</v>
      </c>
      <c r="I87" s="20" t="s">
        <v>626</v>
      </c>
      <c r="J87" s="20" t="s">
        <v>667</v>
      </c>
      <c r="K87" s="43" t="s">
        <v>626</v>
      </c>
      <c r="L87" s="20">
        <v>1</v>
      </c>
      <c r="M87" s="20">
        <f t="shared" ref="M87" si="42">L87*5</f>
        <v>5</v>
      </c>
      <c r="N87" s="20">
        <v>6</v>
      </c>
      <c r="O87" s="51" t="s">
        <v>829</v>
      </c>
      <c r="P87" s="21" t="s">
        <v>884</v>
      </c>
      <c r="Q87" s="15">
        <f t="shared" si="35"/>
        <v>5.25</v>
      </c>
      <c r="R87" s="20"/>
    </row>
    <row r="88" spans="1:18" ht="36">
      <c r="A88" s="1"/>
      <c r="B88" s="16">
        <f>ROW(B88) - ROW($B$7)</f>
        <v>81</v>
      </c>
      <c r="C88" s="22" t="s">
        <v>32</v>
      </c>
      <c r="D88" s="14" t="s">
        <v>124</v>
      </c>
      <c r="E88" s="14" t="s">
        <v>279</v>
      </c>
      <c r="F88" s="14" t="s">
        <v>392</v>
      </c>
      <c r="G88" s="14" t="s">
        <v>478</v>
      </c>
      <c r="H88" s="14" t="s">
        <v>574</v>
      </c>
      <c r="I88" s="20" t="s">
        <v>626</v>
      </c>
      <c r="J88" s="14" t="s">
        <v>668</v>
      </c>
      <c r="K88" s="43" t="s">
        <v>626</v>
      </c>
      <c r="L88" s="14">
        <v>1</v>
      </c>
      <c r="M88" s="14">
        <f>L88*5</f>
        <v>5</v>
      </c>
      <c r="N88" s="14" t="s">
        <v>808</v>
      </c>
      <c r="O88" s="51" t="s">
        <v>829</v>
      </c>
      <c r="P88" s="15" t="s">
        <v>885</v>
      </c>
      <c r="Q88" s="15">
        <f t="shared" si="35"/>
        <v>0.44900000000000001</v>
      </c>
      <c r="R88" s="14"/>
    </row>
    <row r="89" spans="1:18">
      <c r="A89" s="1"/>
      <c r="B89" s="17">
        <f t="shared" si="0"/>
        <v>82</v>
      </c>
      <c r="C89" s="22" t="s">
        <v>32</v>
      </c>
      <c r="D89" s="20" t="s">
        <v>125</v>
      </c>
      <c r="E89" s="20" t="s">
        <v>280</v>
      </c>
      <c r="F89" s="20" t="s">
        <v>393</v>
      </c>
      <c r="G89" s="20" t="s">
        <v>479</v>
      </c>
      <c r="H89" s="20" t="s">
        <v>552</v>
      </c>
      <c r="I89" s="20" t="s">
        <v>626</v>
      </c>
      <c r="J89" s="20" t="s">
        <v>669</v>
      </c>
      <c r="K89" s="43" t="s">
        <v>626</v>
      </c>
      <c r="L89" s="20">
        <v>1</v>
      </c>
      <c r="M89" s="20">
        <f t="shared" ref="M89" si="43">L89*5</f>
        <v>5</v>
      </c>
      <c r="N89" s="20" t="s">
        <v>805</v>
      </c>
      <c r="O89" s="51" t="s">
        <v>829</v>
      </c>
      <c r="P89" s="21" t="s">
        <v>886</v>
      </c>
      <c r="Q89" s="15">
        <f t="shared" si="35"/>
        <v>0.53</v>
      </c>
      <c r="R89" s="20"/>
    </row>
    <row r="90" spans="1:18" ht="24">
      <c r="A90" s="1"/>
      <c r="B90" s="16">
        <f>ROW(B90) - ROW($B$7)</f>
        <v>83</v>
      </c>
      <c r="C90" s="22" t="s">
        <v>33</v>
      </c>
      <c r="D90" s="14" t="s">
        <v>126</v>
      </c>
      <c r="E90" s="14" t="s">
        <v>281</v>
      </c>
      <c r="F90" s="14" t="s">
        <v>356</v>
      </c>
      <c r="G90" s="14" t="s">
        <v>480</v>
      </c>
      <c r="H90" s="14" t="s">
        <v>575</v>
      </c>
      <c r="I90" s="20" t="s">
        <v>626</v>
      </c>
      <c r="J90" s="14" t="s">
        <v>670</v>
      </c>
      <c r="K90" s="43" t="s">
        <v>626</v>
      </c>
      <c r="L90" s="14">
        <v>5</v>
      </c>
      <c r="M90" s="14">
        <f>L90*5</f>
        <v>25</v>
      </c>
      <c r="N90" s="14" t="s">
        <v>830</v>
      </c>
      <c r="O90" s="51" t="s">
        <v>829</v>
      </c>
      <c r="P90" s="15" t="s">
        <v>887</v>
      </c>
      <c r="Q90" s="15">
        <f t="shared" si="35"/>
        <v>0.28000000000000003</v>
      </c>
      <c r="R90" s="14"/>
    </row>
    <row r="91" spans="1:18" ht="24">
      <c r="A91" s="1"/>
      <c r="B91" s="17">
        <f t="shared" si="0"/>
        <v>84</v>
      </c>
      <c r="C91" s="23" t="s">
        <v>32</v>
      </c>
      <c r="D91" s="20" t="s">
        <v>127</v>
      </c>
      <c r="E91" s="20" t="s">
        <v>282</v>
      </c>
      <c r="F91" s="20" t="s">
        <v>356</v>
      </c>
      <c r="G91" s="20" t="s">
        <v>481</v>
      </c>
      <c r="H91" s="20" t="s">
        <v>576</v>
      </c>
      <c r="I91" s="20" t="s">
        <v>626</v>
      </c>
      <c r="J91" s="20" t="s">
        <v>671</v>
      </c>
      <c r="K91" s="43" t="s">
        <v>626</v>
      </c>
      <c r="L91" s="20">
        <v>4</v>
      </c>
      <c r="M91" s="20">
        <f t="shared" ref="M91" si="44">L91*5</f>
        <v>20</v>
      </c>
      <c r="N91" s="20">
        <v>40</v>
      </c>
      <c r="O91" s="51" t="s">
        <v>829</v>
      </c>
      <c r="P91" s="21" t="s">
        <v>888</v>
      </c>
      <c r="Q91" s="15">
        <f t="shared" si="35"/>
        <v>1.0720000000000001</v>
      </c>
      <c r="R91" s="20"/>
    </row>
    <row r="92" spans="1:18">
      <c r="A92" s="1"/>
      <c r="B92" s="16">
        <f>ROW(B92) - ROW($B$7)</f>
        <v>85</v>
      </c>
      <c r="C92" s="22" t="s">
        <v>34</v>
      </c>
      <c r="D92" s="14" t="s">
        <v>128</v>
      </c>
      <c r="E92" s="14" t="s">
        <v>283</v>
      </c>
      <c r="F92" s="14" t="s">
        <v>394</v>
      </c>
      <c r="G92" s="43" t="s">
        <v>796</v>
      </c>
      <c r="H92" s="20" t="s">
        <v>539</v>
      </c>
      <c r="I92" s="20" t="s">
        <v>626</v>
      </c>
      <c r="J92" s="14" t="s">
        <v>672</v>
      </c>
      <c r="K92" s="43" t="s">
        <v>752</v>
      </c>
      <c r="L92" s="14">
        <v>2</v>
      </c>
      <c r="M92" s="14">
        <f>L92*5</f>
        <v>10</v>
      </c>
      <c r="N92" s="14" t="s">
        <v>804</v>
      </c>
      <c r="O92" s="51" t="s">
        <v>829</v>
      </c>
      <c r="P92" s="15" t="s">
        <v>889</v>
      </c>
      <c r="Q92" s="15">
        <f t="shared" si="35"/>
        <v>0.06</v>
      </c>
      <c r="R92" s="14"/>
    </row>
    <row r="93" spans="1:18" ht="108">
      <c r="A93" s="1"/>
      <c r="B93" s="17">
        <f t="shared" si="0"/>
        <v>86</v>
      </c>
      <c r="C93" s="23" t="s">
        <v>34</v>
      </c>
      <c r="D93" s="20" t="s">
        <v>129</v>
      </c>
      <c r="E93" s="20" t="s">
        <v>284</v>
      </c>
      <c r="F93" s="20" t="s">
        <v>394</v>
      </c>
      <c r="G93" s="20" t="s">
        <v>482</v>
      </c>
      <c r="H93" s="20" t="s">
        <v>539</v>
      </c>
      <c r="I93" s="20" t="s">
        <v>626</v>
      </c>
      <c r="J93" s="20" t="s">
        <v>673</v>
      </c>
      <c r="K93" s="44" t="s">
        <v>753</v>
      </c>
      <c r="L93" s="20">
        <v>49</v>
      </c>
      <c r="M93" s="20">
        <f t="shared" ref="M93" si="45">L93*5</f>
        <v>245</v>
      </c>
      <c r="N93" s="20" t="s">
        <v>865</v>
      </c>
      <c r="O93" s="51" t="s">
        <v>829</v>
      </c>
      <c r="P93" s="21" t="s">
        <v>890</v>
      </c>
      <c r="Q93" s="15">
        <f t="shared" si="35"/>
        <v>0.15</v>
      </c>
      <c r="R93" s="20"/>
    </row>
    <row r="94" spans="1:18">
      <c r="A94" s="1"/>
      <c r="B94" s="16">
        <f>ROW(B94) - ROW($B$7)</f>
        <v>87</v>
      </c>
      <c r="C94" s="22" t="s">
        <v>34</v>
      </c>
      <c r="D94" s="14" t="s">
        <v>130</v>
      </c>
      <c r="E94" s="14" t="s">
        <v>285</v>
      </c>
      <c r="F94" s="14" t="s">
        <v>395</v>
      </c>
      <c r="G94" s="14" t="s">
        <v>483</v>
      </c>
      <c r="H94" s="14" t="s">
        <v>539</v>
      </c>
      <c r="I94" s="20" t="s">
        <v>626</v>
      </c>
      <c r="J94" s="14" t="s">
        <v>674</v>
      </c>
      <c r="K94" s="43" t="s">
        <v>754</v>
      </c>
      <c r="L94" s="14">
        <v>2</v>
      </c>
      <c r="M94" s="14">
        <f>L94*5</f>
        <v>10</v>
      </c>
      <c r="N94" s="14" t="s">
        <v>804</v>
      </c>
      <c r="O94" s="51" t="s">
        <v>829</v>
      </c>
      <c r="P94" s="15" t="s">
        <v>891</v>
      </c>
      <c r="Q94" s="15">
        <f t="shared" si="35"/>
        <v>0.12</v>
      </c>
      <c r="R94" s="14"/>
    </row>
    <row r="95" spans="1:18">
      <c r="A95" s="1"/>
      <c r="B95" s="17">
        <f t="shared" si="0"/>
        <v>88</v>
      </c>
      <c r="C95" s="23" t="s">
        <v>34</v>
      </c>
      <c r="D95" s="20" t="s">
        <v>131</v>
      </c>
      <c r="E95" s="20" t="s">
        <v>286</v>
      </c>
      <c r="F95" s="20" t="s">
        <v>395</v>
      </c>
      <c r="G95" s="20" t="s">
        <v>484</v>
      </c>
      <c r="H95" s="20" t="s">
        <v>539</v>
      </c>
      <c r="I95" s="20" t="s">
        <v>626</v>
      </c>
      <c r="J95" s="20" t="s">
        <v>675</v>
      </c>
      <c r="K95" s="44" t="s">
        <v>755</v>
      </c>
      <c r="L95" s="20">
        <v>6</v>
      </c>
      <c r="M95" s="20">
        <f t="shared" ref="M95" si="46">L95*5</f>
        <v>30</v>
      </c>
      <c r="N95" s="20" t="s">
        <v>804</v>
      </c>
      <c r="O95" s="51" t="s">
        <v>829</v>
      </c>
      <c r="P95" s="21" t="s">
        <v>891</v>
      </c>
      <c r="Q95" s="15">
        <f t="shared" si="35"/>
        <v>0.12</v>
      </c>
      <c r="R95" s="20"/>
    </row>
    <row r="96" spans="1:18">
      <c r="A96" s="1"/>
      <c r="B96" s="16">
        <f>ROW(B96) - ROW($B$7)</f>
        <v>89</v>
      </c>
      <c r="C96" s="22" t="s">
        <v>34</v>
      </c>
      <c r="D96" s="14" t="s">
        <v>132</v>
      </c>
      <c r="E96" s="14" t="s">
        <v>287</v>
      </c>
      <c r="F96" s="14" t="s">
        <v>395</v>
      </c>
      <c r="G96" s="14" t="s">
        <v>485</v>
      </c>
      <c r="H96" s="14" t="s">
        <v>539</v>
      </c>
      <c r="I96" s="20" t="s">
        <v>626</v>
      </c>
      <c r="J96" s="14" t="s">
        <v>676</v>
      </c>
      <c r="K96" s="43" t="s">
        <v>756</v>
      </c>
      <c r="L96" s="14">
        <v>2</v>
      </c>
      <c r="M96" s="14">
        <f>L96*5</f>
        <v>10</v>
      </c>
      <c r="N96" s="14" t="s">
        <v>804</v>
      </c>
      <c r="O96" s="51" t="s">
        <v>829</v>
      </c>
      <c r="P96" s="15" t="s">
        <v>891</v>
      </c>
      <c r="Q96" s="15">
        <f t="shared" si="35"/>
        <v>0.12</v>
      </c>
      <c r="R96" s="14"/>
    </row>
    <row r="97" spans="1:18">
      <c r="A97" s="1"/>
      <c r="B97" s="17">
        <f t="shared" si="0"/>
        <v>90</v>
      </c>
      <c r="C97" s="23" t="s">
        <v>35</v>
      </c>
      <c r="D97" s="46" t="s">
        <v>133</v>
      </c>
      <c r="E97" s="46" t="s">
        <v>288</v>
      </c>
      <c r="F97" s="42" t="s">
        <v>394</v>
      </c>
      <c r="G97" s="46" t="s">
        <v>486</v>
      </c>
      <c r="H97" s="46" t="s">
        <v>539</v>
      </c>
      <c r="I97" s="46" t="s">
        <v>626</v>
      </c>
      <c r="J97" s="46" t="s">
        <v>677</v>
      </c>
      <c r="K97" s="45" t="s">
        <v>743</v>
      </c>
      <c r="L97" s="46">
        <v>2</v>
      </c>
      <c r="M97" s="46">
        <f t="shared" ref="M97" si="47">L97*5</f>
        <v>10</v>
      </c>
      <c r="N97" s="46" t="s">
        <v>626</v>
      </c>
      <c r="O97" s="46" t="s">
        <v>626</v>
      </c>
      <c r="P97" s="47" t="s">
        <v>626</v>
      </c>
      <c r="Q97" s="15" t="s">
        <v>626</v>
      </c>
      <c r="R97" s="48" t="s">
        <v>795</v>
      </c>
    </row>
    <row r="98" spans="1:18" ht="409.5">
      <c r="A98" s="1"/>
      <c r="B98" s="16">
        <f>ROW(B98) - ROW($B$7)</f>
        <v>91</v>
      </c>
      <c r="C98" s="22" t="s">
        <v>35</v>
      </c>
      <c r="D98" s="14" t="s">
        <v>134</v>
      </c>
      <c r="E98" s="14" t="s">
        <v>288</v>
      </c>
      <c r="F98" s="14" t="s">
        <v>394</v>
      </c>
      <c r="G98" s="14" t="s">
        <v>486</v>
      </c>
      <c r="H98" s="14" t="s">
        <v>539</v>
      </c>
      <c r="I98" s="14" t="s">
        <v>626</v>
      </c>
      <c r="J98" s="14" t="s">
        <v>677</v>
      </c>
      <c r="K98" s="43" t="s">
        <v>757</v>
      </c>
      <c r="L98" s="14">
        <v>202</v>
      </c>
      <c r="M98" s="14">
        <f>L98*5</f>
        <v>1010</v>
      </c>
      <c r="N98" s="14" t="s">
        <v>892</v>
      </c>
      <c r="O98" s="51" t="s">
        <v>829</v>
      </c>
      <c r="P98" s="15" t="s">
        <v>890</v>
      </c>
      <c r="Q98" s="15">
        <f t="shared" si="35"/>
        <v>0.55000000000000004</v>
      </c>
      <c r="R98" s="14"/>
    </row>
    <row r="99" spans="1:18" ht="24">
      <c r="A99" s="1"/>
      <c r="B99" s="17">
        <f t="shared" si="0"/>
        <v>92</v>
      </c>
      <c r="C99" s="23" t="s">
        <v>34</v>
      </c>
      <c r="D99" s="20" t="s">
        <v>135</v>
      </c>
      <c r="E99" s="20" t="s">
        <v>289</v>
      </c>
      <c r="F99" s="20" t="s">
        <v>394</v>
      </c>
      <c r="G99" s="20" t="s">
        <v>487</v>
      </c>
      <c r="H99" s="20" t="s">
        <v>539</v>
      </c>
      <c r="I99" s="20" t="s">
        <v>626</v>
      </c>
      <c r="J99" s="20" t="s">
        <v>678</v>
      </c>
      <c r="K99" s="44" t="s">
        <v>758</v>
      </c>
      <c r="L99" s="20">
        <v>7</v>
      </c>
      <c r="M99" s="20">
        <f t="shared" ref="M99" si="48">L99*5</f>
        <v>35</v>
      </c>
      <c r="N99" s="20" t="s">
        <v>804</v>
      </c>
      <c r="O99" s="51" t="s">
        <v>829</v>
      </c>
      <c r="P99" s="21" t="s">
        <v>889</v>
      </c>
      <c r="Q99" s="15">
        <f t="shared" si="35"/>
        <v>0.06</v>
      </c>
      <c r="R99" s="20"/>
    </row>
    <row r="100" spans="1:18">
      <c r="A100" s="1"/>
      <c r="B100" s="16">
        <f>ROW(B100) - ROW($B$7)</f>
        <v>93</v>
      </c>
      <c r="C100" s="22" t="s">
        <v>35</v>
      </c>
      <c r="D100" s="14" t="s">
        <v>136</v>
      </c>
      <c r="E100" s="14" t="s">
        <v>290</v>
      </c>
      <c r="F100" s="14" t="s">
        <v>394</v>
      </c>
      <c r="G100" s="14" t="s">
        <v>488</v>
      </c>
      <c r="H100" s="14" t="s">
        <v>539</v>
      </c>
      <c r="I100" s="14" t="s">
        <v>626</v>
      </c>
      <c r="J100" s="14" t="s">
        <v>679</v>
      </c>
      <c r="K100" s="43" t="s">
        <v>759</v>
      </c>
      <c r="L100" s="14">
        <v>7</v>
      </c>
      <c r="M100" s="14">
        <f>L100*5</f>
        <v>35</v>
      </c>
      <c r="N100" s="14" t="s">
        <v>804</v>
      </c>
      <c r="O100" s="51" t="s">
        <v>829</v>
      </c>
      <c r="P100" s="15" t="s">
        <v>889</v>
      </c>
      <c r="Q100" s="15">
        <f t="shared" si="35"/>
        <v>0.06</v>
      </c>
      <c r="R100" s="14"/>
    </row>
    <row r="101" spans="1:18">
      <c r="A101" s="1"/>
      <c r="B101" s="17">
        <f t="shared" si="0"/>
        <v>94</v>
      </c>
      <c r="C101" s="23" t="s">
        <v>35</v>
      </c>
      <c r="D101" s="46" t="s">
        <v>137</v>
      </c>
      <c r="E101" s="46" t="s">
        <v>290</v>
      </c>
      <c r="F101" s="42" t="s">
        <v>394</v>
      </c>
      <c r="G101" s="46" t="s">
        <v>488</v>
      </c>
      <c r="H101" s="46" t="s">
        <v>539</v>
      </c>
      <c r="I101" s="46" t="s">
        <v>626</v>
      </c>
      <c r="J101" s="46" t="s">
        <v>679</v>
      </c>
      <c r="K101" s="45" t="s">
        <v>743</v>
      </c>
      <c r="L101" s="46">
        <v>2</v>
      </c>
      <c r="M101" s="46">
        <f t="shared" ref="M101" si="49">L101*5</f>
        <v>10</v>
      </c>
      <c r="N101" s="46" t="s">
        <v>626</v>
      </c>
      <c r="O101" s="46" t="s">
        <v>626</v>
      </c>
      <c r="P101" s="47" t="s">
        <v>626</v>
      </c>
      <c r="Q101" s="15" t="s">
        <v>626</v>
      </c>
      <c r="R101" s="48" t="s">
        <v>795</v>
      </c>
    </row>
    <row r="102" spans="1:18" ht="72">
      <c r="A102" s="1"/>
      <c r="B102" s="16">
        <f>ROW(B102) - ROW($B$7)</f>
        <v>95</v>
      </c>
      <c r="C102" s="22" t="s">
        <v>34</v>
      </c>
      <c r="D102" s="14" t="s">
        <v>138</v>
      </c>
      <c r="E102" s="14" t="s">
        <v>291</v>
      </c>
      <c r="F102" s="14" t="s">
        <v>394</v>
      </c>
      <c r="G102" s="14" t="s">
        <v>489</v>
      </c>
      <c r="H102" s="14" t="s">
        <v>539</v>
      </c>
      <c r="I102" s="14" t="s">
        <v>626</v>
      </c>
      <c r="J102" s="14" t="s">
        <v>680</v>
      </c>
      <c r="K102" s="43" t="s">
        <v>760</v>
      </c>
      <c r="L102" s="14">
        <v>30</v>
      </c>
      <c r="M102" s="14">
        <f>L102*5</f>
        <v>150</v>
      </c>
      <c r="N102" s="14" t="s">
        <v>893</v>
      </c>
      <c r="O102" s="51" t="s">
        <v>829</v>
      </c>
      <c r="P102" s="15" t="s">
        <v>889</v>
      </c>
      <c r="Q102" s="15">
        <f t="shared" si="35"/>
        <v>0.12</v>
      </c>
      <c r="R102" s="14"/>
    </row>
    <row r="103" spans="1:18" ht="36">
      <c r="A103" s="1"/>
      <c r="B103" s="17">
        <f t="shared" si="0"/>
        <v>96</v>
      </c>
      <c r="C103" s="23" t="s">
        <v>34</v>
      </c>
      <c r="D103" s="20" t="s">
        <v>139</v>
      </c>
      <c r="E103" s="20" t="s">
        <v>292</v>
      </c>
      <c r="F103" s="20" t="s">
        <v>394</v>
      </c>
      <c r="G103" s="20" t="s">
        <v>490</v>
      </c>
      <c r="H103" s="20" t="s">
        <v>577</v>
      </c>
      <c r="I103" s="14" t="s">
        <v>626</v>
      </c>
      <c r="J103" s="20" t="s">
        <v>681</v>
      </c>
      <c r="K103" s="44" t="s">
        <v>761</v>
      </c>
      <c r="L103" s="20">
        <v>8</v>
      </c>
      <c r="M103" s="20">
        <f t="shared" ref="M103" si="50">L103*5</f>
        <v>40</v>
      </c>
      <c r="N103" s="20" t="s">
        <v>804</v>
      </c>
      <c r="O103" s="51" t="s">
        <v>829</v>
      </c>
      <c r="P103" s="21" t="s">
        <v>890</v>
      </c>
      <c r="Q103" s="15">
        <f t="shared" si="35"/>
        <v>0.05</v>
      </c>
      <c r="R103" s="20"/>
    </row>
    <row r="104" spans="1:18" ht="24">
      <c r="A104" s="1"/>
      <c r="B104" s="16">
        <f>ROW(B104) - ROW($B$7)</f>
        <v>97</v>
      </c>
      <c r="C104" s="22" t="s">
        <v>34</v>
      </c>
      <c r="D104" s="14" t="s">
        <v>140</v>
      </c>
      <c r="E104" s="14" t="s">
        <v>293</v>
      </c>
      <c r="F104" s="14" t="s">
        <v>395</v>
      </c>
      <c r="G104" s="14" t="s">
        <v>491</v>
      </c>
      <c r="H104" s="14" t="s">
        <v>539</v>
      </c>
      <c r="I104" s="14" t="s">
        <v>626</v>
      </c>
      <c r="J104" s="14" t="s">
        <v>682</v>
      </c>
      <c r="K104" s="43" t="s">
        <v>749</v>
      </c>
      <c r="L104" s="14">
        <v>7</v>
      </c>
      <c r="M104" s="14">
        <f>L104*5</f>
        <v>35</v>
      </c>
      <c r="N104" s="14" t="s">
        <v>804</v>
      </c>
      <c r="O104" s="51" t="s">
        <v>829</v>
      </c>
      <c r="P104" s="15" t="s">
        <v>891</v>
      </c>
      <c r="Q104" s="15">
        <f t="shared" si="35"/>
        <v>0.12</v>
      </c>
      <c r="R104" s="14"/>
    </row>
    <row r="105" spans="1:18">
      <c r="A105" s="1"/>
      <c r="B105" s="17">
        <f t="shared" si="0"/>
        <v>98</v>
      </c>
      <c r="C105" s="22" t="s">
        <v>34</v>
      </c>
      <c r="D105" s="20" t="s">
        <v>141</v>
      </c>
      <c r="E105" s="20" t="s">
        <v>294</v>
      </c>
      <c r="F105" s="14" t="s">
        <v>394</v>
      </c>
      <c r="G105" s="20" t="s">
        <v>492</v>
      </c>
      <c r="H105" s="20" t="s">
        <v>539</v>
      </c>
      <c r="I105" s="14" t="s">
        <v>626</v>
      </c>
      <c r="J105" s="20" t="s">
        <v>683</v>
      </c>
      <c r="K105" s="43" t="s">
        <v>762</v>
      </c>
      <c r="L105" s="20">
        <v>3</v>
      </c>
      <c r="M105" s="20">
        <f t="shared" ref="M105" si="51">L105*5</f>
        <v>15</v>
      </c>
      <c r="N105" s="20" t="s">
        <v>807</v>
      </c>
      <c r="O105" s="51" t="s">
        <v>829</v>
      </c>
      <c r="P105" s="21" t="s">
        <v>894</v>
      </c>
      <c r="Q105" s="15">
        <f t="shared" si="35"/>
        <v>0.89500000000000002</v>
      </c>
      <c r="R105" s="20"/>
    </row>
    <row r="106" spans="1:18">
      <c r="A106" s="1"/>
      <c r="B106" s="16">
        <f>ROW(B106) - ROW($B$7)</f>
        <v>99</v>
      </c>
      <c r="C106" s="22" t="s">
        <v>34</v>
      </c>
      <c r="D106" s="14" t="s">
        <v>142</v>
      </c>
      <c r="E106" s="14" t="s">
        <v>295</v>
      </c>
      <c r="F106" s="14" t="s">
        <v>394</v>
      </c>
      <c r="G106" s="14" t="s">
        <v>493</v>
      </c>
      <c r="H106" s="14" t="s">
        <v>539</v>
      </c>
      <c r="I106" s="14" t="s">
        <v>626</v>
      </c>
      <c r="J106" s="14" t="s">
        <v>684</v>
      </c>
      <c r="K106" s="43" t="s">
        <v>763</v>
      </c>
      <c r="L106" s="14">
        <v>1</v>
      </c>
      <c r="M106" s="14">
        <f>L106*5</f>
        <v>5</v>
      </c>
      <c r="N106" s="14" t="s">
        <v>804</v>
      </c>
      <c r="O106" s="51" t="s">
        <v>829</v>
      </c>
      <c r="P106" s="15" t="s">
        <v>889</v>
      </c>
      <c r="Q106" s="15">
        <f t="shared" si="35"/>
        <v>0.06</v>
      </c>
      <c r="R106" s="14"/>
    </row>
    <row r="107" spans="1:18">
      <c r="A107" s="1"/>
      <c r="B107" s="17">
        <f t="shared" si="0"/>
        <v>100</v>
      </c>
      <c r="C107" s="23" t="s">
        <v>34</v>
      </c>
      <c r="D107" s="20" t="s">
        <v>143</v>
      </c>
      <c r="E107" s="20" t="s">
        <v>296</v>
      </c>
      <c r="F107" s="20" t="s">
        <v>396</v>
      </c>
      <c r="G107" s="20" t="s">
        <v>494</v>
      </c>
      <c r="H107" s="20" t="s">
        <v>539</v>
      </c>
      <c r="I107" s="14" t="s">
        <v>626</v>
      </c>
      <c r="J107" s="20" t="s">
        <v>685</v>
      </c>
      <c r="K107" s="44" t="s">
        <v>764</v>
      </c>
      <c r="L107" s="20">
        <v>1</v>
      </c>
      <c r="M107" s="20">
        <f t="shared" ref="M107" si="52">L107*5</f>
        <v>5</v>
      </c>
      <c r="N107" s="20" t="s">
        <v>805</v>
      </c>
      <c r="O107" s="51" t="s">
        <v>829</v>
      </c>
      <c r="P107" s="21" t="s">
        <v>895</v>
      </c>
      <c r="Q107" s="15">
        <f t="shared" si="35"/>
        <v>0.72199999999999998</v>
      </c>
      <c r="R107" s="20"/>
    </row>
    <row r="108" spans="1:18">
      <c r="A108" s="1"/>
      <c r="B108" s="16">
        <f>ROW(B108) - ROW($B$7)</f>
        <v>101</v>
      </c>
      <c r="C108" s="23" t="s">
        <v>35</v>
      </c>
      <c r="D108" s="14" t="s">
        <v>144</v>
      </c>
      <c r="E108" s="14" t="s">
        <v>297</v>
      </c>
      <c r="F108" s="20" t="s">
        <v>396</v>
      </c>
      <c r="G108" s="14" t="s">
        <v>495</v>
      </c>
      <c r="H108" s="14" t="s">
        <v>539</v>
      </c>
      <c r="I108" s="14" t="s">
        <v>626</v>
      </c>
      <c r="J108" s="14" t="s">
        <v>686</v>
      </c>
      <c r="K108" s="44" t="s">
        <v>765</v>
      </c>
      <c r="L108" s="14">
        <v>1</v>
      </c>
      <c r="M108" s="14">
        <f>L108*5</f>
        <v>5</v>
      </c>
      <c r="N108" s="14" t="s">
        <v>805</v>
      </c>
      <c r="O108" s="51" t="s">
        <v>829</v>
      </c>
      <c r="P108" s="15" t="s">
        <v>896</v>
      </c>
      <c r="Q108" s="15">
        <f t="shared" si="35"/>
        <v>0.68199999999999994</v>
      </c>
      <c r="R108" s="14"/>
    </row>
    <row r="109" spans="1:18">
      <c r="A109" s="1"/>
      <c r="B109" s="17">
        <f t="shared" si="0"/>
        <v>102</v>
      </c>
      <c r="C109" s="22" t="s">
        <v>35</v>
      </c>
      <c r="D109" s="20" t="s">
        <v>145</v>
      </c>
      <c r="E109" s="20" t="s">
        <v>298</v>
      </c>
      <c r="F109" s="14" t="s">
        <v>394</v>
      </c>
      <c r="G109" s="20" t="s">
        <v>496</v>
      </c>
      <c r="H109" s="20" t="s">
        <v>539</v>
      </c>
      <c r="I109" s="14" t="s">
        <v>626</v>
      </c>
      <c r="J109" s="20" t="s">
        <v>687</v>
      </c>
      <c r="K109" s="43" t="s">
        <v>766</v>
      </c>
      <c r="L109" s="20">
        <v>1</v>
      </c>
      <c r="M109" s="20">
        <f t="shared" ref="M109" si="53">L109*5</f>
        <v>5</v>
      </c>
      <c r="N109" s="20" t="s">
        <v>807</v>
      </c>
      <c r="O109" s="51" t="s">
        <v>829</v>
      </c>
      <c r="P109" s="21" t="s">
        <v>894</v>
      </c>
      <c r="Q109" s="15">
        <f t="shared" si="35"/>
        <v>0.89500000000000002</v>
      </c>
      <c r="R109" s="20"/>
    </row>
    <row r="110" spans="1:18">
      <c r="A110" s="1"/>
      <c r="B110" s="16">
        <f>ROW(B110) - ROW($B$7)</f>
        <v>103</v>
      </c>
      <c r="C110" s="22" t="s">
        <v>35</v>
      </c>
      <c r="D110" s="14" t="s">
        <v>146</v>
      </c>
      <c r="E110" s="14" t="s">
        <v>299</v>
      </c>
      <c r="F110" s="20" t="s">
        <v>394</v>
      </c>
      <c r="G110" s="14" t="s">
        <v>497</v>
      </c>
      <c r="H110" s="14" t="s">
        <v>539</v>
      </c>
      <c r="I110" s="14" t="s">
        <v>626</v>
      </c>
      <c r="J110" s="14" t="s">
        <v>688</v>
      </c>
      <c r="K110" s="44" t="s">
        <v>767</v>
      </c>
      <c r="L110" s="14">
        <v>1</v>
      </c>
      <c r="M110" s="14">
        <f>L110*5</f>
        <v>5</v>
      </c>
      <c r="N110" s="14" t="s">
        <v>804</v>
      </c>
      <c r="O110" s="51" t="s">
        <v>829</v>
      </c>
      <c r="P110" s="15" t="s">
        <v>897</v>
      </c>
      <c r="Q110" s="15">
        <f t="shared" si="35"/>
        <v>6.9999999999999993E-2</v>
      </c>
      <c r="R110" s="14"/>
    </row>
    <row r="111" spans="1:18">
      <c r="A111" s="1"/>
      <c r="B111" s="17">
        <f t="shared" si="0"/>
        <v>104</v>
      </c>
      <c r="C111" s="22" t="s">
        <v>35</v>
      </c>
      <c r="D111" s="20" t="s">
        <v>147</v>
      </c>
      <c r="E111" s="20" t="s">
        <v>300</v>
      </c>
      <c r="F111" s="14" t="s">
        <v>394</v>
      </c>
      <c r="G111" s="20" t="s">
        <v>498</v>
      </c>
      <c r="H111" s="20" t="s">
        <v>539</v>
      </c>
      <c r="I111" s="14" t="s">
        <v>626</v>
      </c>
      <c r="J111" s="20" t="s">
        <v>689</v>
      </c>
      <c r="K111" s="43" t="s">
        <v>768</v>
      </c>
      <c r="L111" s="20">
        <v>4</v>
      </c>
      <c r="M111" s="20">
        <f t="shared" ref="M111" si="54">L111*5</f>
        <v>20</v>
      </c>
      <c r="N111" s="20" t="s">
        <v>804</v>
      </c>
      <c r="O111" s="51" t="s">
        <v>829</v>
      </c>
      <c r="P111" s="21" t="s">
        <v>889</v>
      </c>
      <c r="Q111" s="15">
        <f t="shared" si="35"/>
        <v>0.06</v>
      </c>
      <c r="R111" s="20"/>
    </row>
    <row r="112" spans="1:18">
      <c r="A112" s="1"/>
      <c r="B112" s="16">
        <f>ROW(B112) - ROW($B$7)</f>
        <v>105</v>
      </c>
      <c r="C112" s="22" t="s">
        <v>35</v>
      </c>
      <c r="D112" s="14" t="s">
        <v>148</v>
      </c>
      <c r="E112" s="14" t="s">
        <v>301</v>
      </c>
      <c r="F112" s="20" t="s">
        <v>395</v>
      </c>
      <c r="G112" s="14" t="s">
        <v>499</v>
      </c>
      <c r="H112" s="14" t="s">
        <v>539</v>
      </c>
      <c r="I112" s="14" t="s">
        <v>626</v>
      </c>
      <c r="J112" s="14" t="s">
        <v>690</v>
      </c>
      <c r="K112" s="44" t="s">
        <v>769</v>
      </c>
      <c r="L112" s="14">
        <v>1</v>
      </c>
      <c r="M112" s="14">
        <f>L112*5</f>
        <v>5</v>
      </c>
      <c r="N112" s="14" t="s">
        <v>804</v>
      </c>
      <c r="O112" s="51" t="s">
        <v>829</v>
      </c>
      <c r="P112" s="15" t="s">
        <v>898</v>
      </c>
      <c r="Q112" s="15">
        <f t="shared" si="35"/>
        <v>0.3</v>
      </c>
      <c r="R112" s="14"/>
    </row>
    <row r="113" spans="1:18">
      <c r="A113" s="1"/>
      <c r="B113" s="17">
        <f t="shared" si="0"/>
        <v>106</v>
      </c>
      <c r="C113" s="22" t="s">
        <v>35</v>
      </c>
      <c r="D113" s="20" t="s">
        <v>149</v>
      </c>
      <c r="E113" s="20" t="s">
        <v>302</v>
      </c>
      <c r="F113" s="14" t="s">
        <v>394</v>
      </c>
      <c r="G113" s="20" t="s">
        <v>500</v>
      </c>
      <c r="H113" s="20" t="s">
        <v>539</v>
      </c>
      <c r="I113" s="14" t="s">
        <v>626</v>
      </c>
      <c r="J113" s="20" t="s">
        <v>691</v>
      </c>
      <c r="K113" s="43" t="s">
        <v>770</v>
      </c>
      <c r="L113" s="20">
        <v>1</v>
      </c>
      <c r="M113" s="20">
        <f t="shared" ref="M113" si="55">L113*5</f>
        <v>5</v>
      </c>
      <c r="N113" s="20" t="s">
        <v>804</v>
      </c>
      <c r="O113" s="51" t="s">
        <v>829</v>
      </c>
      <c r="P113" s="21" t="s">
        <v>889</v>
      </c>
      <c r="Q113" s="15">
        <f t="shared" si="35"/>
        <v>0.06</v>
      </c>
      <c r="R113" s="20"/>
    </row>
    <row r="114" spans="1:18" ht="24">
      <c r="A114" s="1"/>
      <c r="B114" s="16">
        <f>ROW(B114) - ROW($B$7)</f>
        <v>107</v>
      </c>
      <c r="C114" s="23" t="s">
        <v>34</v>
      </c>
      <c r="D114" s="14" t="s">
        <v>150</v>
      </c>
      <c r="E114" s="14" t="s">
        <v>303</v>
      </c>
      <c r="F114" s="20" t="s">
        <v>395</v>
      </c>
      <c r="G114" s="14" t="s">
        <v>501</v>
      </c>
      <c r="H114" s="14" t="s">
        <v>539</v>
      </c>
      <c r="I114" s="14" t="s">
        <v>626</v>
      </c>
      <c r="J114" s="14" t="s">
        <v>692</v>
      </c>
      <c r="K114" s="44" t="s">
        <v>771</v>
      </c>
      <c r="L114" s="14">
        <v>12</v>
      </c>
      <c r="M114" s="14">
        <f>L114*5</f>
        <v>60</v>
      </c>
      <c r="N114" s="14" t="s">
        <v>804</v>
      </c>
      <c r="O114" s="51" t="s">
        <v>829</v>
      </c>
      <c r="P114" s="15" t="s">
        <v>827</v>
      </c>
      <c r="Q114" s="15">
        <f t="shared" si="35"/>
        <v>0.11</v>
      </c>
      <c r="R114" s="14"/>
    </row>
    <row r="115" spans="1:18" ht="36">
      <c r="A115" s="1"/>
      <c r="B115" s="17">
        <f t="shared" si="0"/>
        <v>108</v>
      </c>
      <c r="C115" s="22" t="s">
        <v>34</v>
      </c>
      <c r="D115" s="20" t="s">
        <v>151</v>
      </c>
      <c r="E115" s="20" t="s">
        <v>304</v>
      </c>
      <c r="F115" s="14" t="s">
        <v>395</v>
      </c>
      <c r="G115" s="20" t="s">
        <v>502</v>
      </c>
      <c r="H115" s="20" t="s">
        <v>539</v>
      </c>
      <c r="I115" s="14" t="s">
        <v>626</v>
      </c>
      <c r="J115" s="20" t="s">
        <v>693</v>
      </c>
      <c r="K115" s="43" t="s">
        <v>759</v>
      </c>
      <c r="L115" s="20">
        <v>16</v>
      </c>
      <c r="M115" s="20">
        <f t="shared" ref="M115" si="56">L115*5</f>
        <v>80</v>
      </c>
      <c r="N115" s="20" t="s">
        <v>804</v>
      </c>
      <c r="O115" s="51" t="s">
        <v>829</v>
      </c>
      <c r="P115" s="21" t="s">
        <v>827</v>
      </c>
      <c r="Q115" s="15">
        <f t="shared" si="35"/>
        <v>0.11</v>
      </c>
      <c r="R115" s="20"/>
    </row>
    <row r="116" spans="1:18">
      <c r="A116" s="1"/>
      <c r="B116" s="16">
        <f>ROW(B116) - ROW($B$7)</f>
        <v>109</v>
      </c>
      <c r="C116" s="23" t="s">
        <v>34</v>
      </c>
      <c r="D116" s="14" t="s">
        <v>152</v>
      </c>
      <c r="E116" s="14" t="s">
        <v>305</v>
      </c>
      <c r="F116" s="20" t="s">
        <v>395</v>
      </c>
      <c r="G116" s="14" t="s">
        <v>503</v>
      </c>
      <c r="H116" s="14" t="s">
        <v>539</v>
      </c>
      <c r="I116" s="14" t="s">
        <v>626</v>
      </c>
      <c r="J116" s="14" t="s">
        <v>694</v>
      </c>
      <c r="K116" s="44" t="s">
        <v>772</v>
      </c>
      <c r="L116" s="14">
        <v>2</v>
      </c>
      <c r="M116" s="14">
        <f>L116*5</f>
        <v>10</v>
      </c>
      <c r="N116" s="14" t="s">
        <v>804</v>
      </c>
      <c r="O116" s="51" t="s">
        <v>829</v>
      </c>
      <c r="P116" s="15" t="s">
        <v>891</v>
      </c>
      <c r="Q116" s="15">
        <f t="shared" si="35"/>
        <v>0.12</v>
      </c>
      <c r="R116" s="14"/>
    </row>
    <row r="117" spans="1:18" ht="24">
      <c r="A117" s="1"/>
      <c r="B117" s="17">
        <f t="shared" si="0"/>
        <v>110</v>
      </c>
      <c r="C117" s="22" t="s">
        <v>34</v>
      </c>
      <c r="D117" s="20" t="s">
        <v>153</v>
      </c>
      <c r="E117" s="20" t="s">
        <v>306</v>
      </c>
      <c r="F117" s="14" t="s">
        <v>394</v>
      </c>
      <c r="G117" s="20" t="s">
        <v>504</v>
      </c>
      <c r="H117" s="20" t="s">
        <v>539</v>
      </c>
      <c r="I117" s="14" t="s">
        <v>626</v>
      </c>
      <c r="J117" s="20" t="s">
        <v>695</v>
      </c>
      <c r="K117" s="43" t="s">
        <v>773</v>
      </c>
      <c r="L117" s="20">
        <v>11</v>
      </c>
      <c r="M117" s="20">
        <f t="shared" ref="M117" si="57">L117*5</f>
        <v>55</v>
      </c>
      <c r="N117" s="20" t="s">
        <v>804</v>
      </c>
      <c r="O117" s="51" t="s">
        <v>829</v>
      </c>
      <c r="P117" s="21" t="s">
        <v>889</v>
      </c>
      <c r="Q117" s="15">
        <f t="shared" si="35"/>
        <v>0.06</v>
      </c>
      <c r="R117" s="20"/>
    </row>
    <row r="118" spans="1:18">
      <c r="A118" s="1"/>
      <c r="B118" s="16">
        <f>ROW(B118) - ROW($B$7)</f>
        <v>111</v>
      </c>
      <c r="C118" s="22" t="s">
        <v>34</v>
      </c>
      <c r="D118" s="14" t="s">
        <v>154</v>
      </c>
      <c r="E118" s="14" t="s">
        <v>307</v>
      </c>
      <c r="F118" s="20" t="s">
        <v>395</v>
      </c>
      <c r="G118" s="44" t="s">
        <v>797</v>
      </c>
      <c r="H118" s="14" t="s">
        <v>539</v>
      </c>
      <c r="I118" s="14" t="s">
        <v>626</v>
      </c>
      <c r="J118" s="14" t="s">
        <v>801</v>
      </c>
      <c r="K118" s="44" t="s">
        <v>774</v>
      </c>
      <c r="L118" s="14">
        <v>1</v>
      </c>
      <c r="M118" s="14">
        <f>L118*5</f>
        <v>5</v>
      </c>
      <c r="N118" s="14" t="s">
        <v>805</v>
      </c>
      <c r="O118" s="51" t="s">
        <v>829</v>
      </c>
      <c r="P118" s="15" t="s">
        <v>879</v>
      </c>
      <c r="Q118" s="15">
        <f t="shared" si="35"/>
        <v>0.44400000000000001</v>
      </c>
      <c r="R118" s="14"/>
    </row>
    <row r="119" spans="1:18">
      <c r="A119" s="1"/>
      <c r="B119" s="17">
        <f t="shared" si="0"/>
        <v>112</v>
      </c>
      <c r="C119" s="22" t="s">
        <v>34</v>
      </c>
      <c r="D119" s="46" t="s">
        <v>155</v>
      </c>
      <c r="E119" s="46" t="s">
        <v>284</v>
      </c>
      <c r="F119" s="42" t="s">
        <v>394</v>
      </c>
      <c r="G119" s="46" t="s">
        <v>482</v>
      </c>
      <c r="H119" s="46" t="s">
        <v>539</v>
      </c>
      <c r="I119" s="46" t="s">
        <v>626</v>
      </c>
      <c r="J119" s="46" t="s">
        <v>673</v>
      </c>
      <c r="K119" s="45" t="s">
        <v>743</v>
      </c>
      <c r="L119" s="46">
        <v>1</v>
      </c>
      <c r="M119" s="46">
        <f t="shared" ref="M119" si="58">L119*5</f>
        <v>5</v>
      </c>
      <c r="N119" s="46" t="s">
        <v>626</v>
      </c>
      <c r="O119" s="46" t="s">
        <v>626</v>
      </c>
      <c r="P119" s="47" t="s">
        <v>626</v>
      </c>
      <c r="Q119" s="15" t="s">
        <v>626</v>
      </c>
      <c r="R119" s="48" t="s">
        <v>795</v>
      </c>
    </row>
    <row r="120" spans="1:18">
      <c r="A120" s="1"/>
      <c r="B120" s="16">
        <f>ROW(B120) - ROW($B$7)</f>
        <v>113</v>
      </c>
      <c r="C120" s="23" t="s">
        <v>34</v>
      </c>
      <c r="D120" s="46" t="s">
        <v>156</v>
      </c>
      <c r="E120" s="46" t="s">
        <v>308</v>
      </c>
      <c r="F120" s="42" t="s">
        <v>394</v>
      </c>
      <c r="G120" s="46" t="s">
        <v>505</v>
      </c>
      <c r="H120" s="46" t="s">
        <v>539</v>
      </c>
      <c r="I120" s="46" t="s">
        <v>626</v>
      </c>
      <c r="J120" s="46" t="s">
        <v>696</v>
      </c>
      <c r="K120" s="45" t="s">
        <v>743</v>
      </c>
      <c r="L120" s="46">
        <v>1</v>
      </c>
      <c r="M120" s="46">
        <f>L120*5</f>
        <v>5</v>
      </c>
      <c r="N120" s="46" t="s">
        <v>626</v>
      </c>
      <c r="O120" s="46" t="s">
        <v>626</v>
      </c>
      <c r="P120" s="47" t="s">
        <v>626</v>
      </c>
      <c r="Q120" s="15" t="s">
        <v>626</v>
      </c>
      <c r="R120" s="48" t="s">
        <v>795</v>
      </c>
    </row>
    <row r="121" spans="1:18" ht="24">
      <c r="A121" s="1"/>
      <c r="B121" s="17">
        <f t="shared" si="0"/>
        <v>114</v>
      </c>
      <c r="C121" s="22" t="s">
        <v>34</v>
      </c>
      <c r="D121" s="20" t="s">
        <v>157</v>
      </c>
      <c r="E121" s="20" t="s">
        <v>309</v>
      </c>
      <c r="F121" s="14" t="s">
        <v>394</v>
      </c>
      <c r="G121" s="20" t="s">
        <v>506</v>
      </c>
      <c r="H121" s="20" t="s">
        <v>539</v>
      </c>
      <c r="I121" s="20" t="s">
        <v>626</v>
      </c>
      <c r="J121" s="20" t="s">
        <v>697</v>
      </c>
      <c r="K121" s="43" t="s">
        <v>772</v>
      </c>
      <c r="L121" s="20">
        <v>11</v>
      </c>
      <c r="M121" s="20">
        <f t="shared" ref="M121" si="59">L121*5</f>
        <v>55</v>
      </c>
      <c r="N121" s="20" t="s">
        <v>804</v>
      </c>
      <c r="O121" s="51" t="s">
        <v>829</v>
      </c>
      <c r="P121" s="21" t="s">
        <v>889</v>
      </c>
      <c r="Q121" s="15">
        <f t="shared" si="35"/>
        <v>0.06</v>
      </c>
      <c r="R121" s="20"/>
    </row>
    <row r="122" spans="1:18">
      <c r="A122" s="1"/>
      <c r="B122" s="16">
        <f>ROW(B122) - ROW($B$7)</f>
        <v>115</v>
      </c>
      <c r="C122" s="23" t="s">
        <v>34</v>
      </c>
      <c r="D122" s="14" t="s">
        <v>158</v>
      </c>
      <c r="E122" s="14" t="s">
        <v>310</v>
      </c>
      <c r="F122" s="20" t="s">
        <v>394</v>
      </c>
      <c r="G122" s="14" t="s">
        <v>507</v>
      </c>
      <c r="H122" s="14" t="s">
        <v>539</v>
      </c>
      <c r="I122" s="20" t="s">
        <v>626</v>
      </c>
      <c r="J122" s="14" t="s">
        <v>698</v>
      </c>
      <c r="K122" s="44" t="s">
        <v>775</v>
      </c>
      <c r="L122" s="14">
        <v>3</v>
      </c>
      <c r="M122" s="14">
        <f>L122*5</f>
        <v>15</v>
      </c>
      <c r="N122" s="14" t="s">
        <v>804</v>
      </c>
      <c r="O122" s="51" t="s">
        <v>829</v>
      </c>
      <c r="P122" s="15" t="s">
        <v>889</v>
      </c>
      <c r="Q122" s="15">
        <f t="shared" si="35"/>
        <v>0.06</v>
      </c>
      <c r="R122" s="14"/>
    </row>
    <row r="123" spans="1:18">
      <c r="A123" s="1"/>
      <c r="B123" s="17">
        <f t="shared" si="0"/>
        <v>116</v>
      </c>
      <c r="C123" s="22" t="s">
        <v>34</v>
      </c>
      <c r="D123" s="20" t="s">
        <v>159</v>
      </c>
      <c r="E123" s="20" t="s">
        <v>311</v>
      </c>
      <c r="F123" s="14" t="s">
        <v>395</v>
      </c>
      <c r="G123" s="20" t="s">
        <v>508</v>
      </c>
      <c r="H123" s="20" t="s">
        <v>539</v>
      </c>
      <c r="I123" s="20" t="s">
        <v>626</v>
      </c>
      <c r="J123" s="20" t="s">
        <v>699</v>
      </c>
      <c r="K123" s="43" t="s">
        <v>776</v>
      </c>
      <c r="L123" s="20">
        <v>4</v>
      </c>
      <c r="M123" s="20">
        <f t="shared" ref="M123" si="60">L123*5</f>
        <v>20</v>
      </c>
      <c r="N123" s="20" t="s">
        <v>804</v>
      </c>
      <c r="O123" s="51" t="s">
        <v>829</v>
      </c>
      <c r="P123" s="21" t="s">
        <v>826</v>
      </c>
      <c r="Q123" s="15">
        <f t="shared" si="35"/>
        <v>0.1</v>
      </c>
      <c r="R123" s="20"/>
    </row>
    <row r="124" spans="1:18">
      <c r="A124" s="1"/>
      <c r="B124" s="16">
        <f>ROW(B124) - ROW($B$7)</f>
        <v>117</v>
      </c>
      <c r="C124" s="23" t="s">
        <v>34</v>
      </c>
      <c r="D124" s="14" t="s">
        <v>160</v>
      </c>
      <c r="E124" s="14" t="s">
        <v>312</v>
      </c>
      <c r="F124" s="20" t="s">
        <v>394</v>
      </c>
      <c r="G124" s="14" t="s">
        <v>509</v>
      </c>
      <c r="H124" s="14" t="s">
        <v>539</v>
      </c>
      <c r="I124" s="20" t="s">
        <v>626</v>
      </c>
      <c r="J124" s="14" t="s">
        <v>700</v>
      </c>
      <c r="K124" s="44" t="s">
        <v>777</v>
      </c>
      <c r="L124" s="14">
        <v>1</v>
      </c>
      <c r="M124" s="14">
        <f>L124*5</f>
        <v>5</v>
      </c>
      <c r="N124" s="14" t="s">
        <v>807</v>
      </c>
      <c r="O124" s="51" t="s">
        <v>829</v>
      </c>
      <c r="P124" s="15" t="s">
        <v>899</v>
      </c>
      <c r="Q124" s="15">
        <f t="shared" si="35"/>
        <v>0.90500000000000003</v>
      </c>
      <c r="R124" s="14"/>
    </row>
    <row r="125" spans="1:18">
      <c r="A125" s="1"/>
      <c r="B125" s="17">
        <f t="shared" si="0"/>
        <v>118</v>
      </c>
      <c r="C125" s="22" t="s">
        <v>34</v>
      </c>
      <c r="D125" s="46" t="s">
        <v>161</v>
      </c>
      <c r="E125" s="46" t="s">
        <v>291</v>
      </c>
      <c r="F125" s="42" t="s">
        <v>394</v>
      </c>
      <c r="G125" s="46" t="s">
        <v>489</v>
      </c>
      <c r="H125" s="46" t="s">
        <v>539</v>
      </c>
      <c r="I125" s="46" t="s">
        <v>626</v>
      </c>
      <c r="J125" s="46" t="s">
        <v>680</v>
      </c>
      <c r="K125" s="45" t="s">
        <v>743</v>
      </c>
      <c r="L125" s="46">
        <v>1</v>
      </c>
      <c r="M125" s="46">
        <f t="shared" ref="M125" si="61">L125*5</f>
        <v>5</v>
      </c>
      <c r="N125" s="46" t="s">
        <v>626</v>
      </c>
      <c r="O125" s="46" t="s">
        <v>626</v>
      </c>
      <c r="P125" s="47" t="s">
        <v>626</v>
      </c>
      <c r="Q125" s="15" t="s">
        <v>626</v>
      </c>
      <c r="R125" s="48" t="s">
        <v>795</v>
      </c>
    </row>
    <row r="126" spans="1:18">
      <c r="A126" s="1"/>
      <c r="B126" s="16">
        <f>ROW(B126) - ROW($B$7)</f>
        <v>119</v>
      </c>
      <c r="C126" s="22" t="s">
        <v>34</v>
      </c>
      <c r="D126" s="14" t="s">
        <v>162</v>
      </c>
      <c r="E126" s="14" t="s">
        <v>313</v>
      </c>
      <c r="F126" s="14" t="s">
        <v>394</v>
      </c>
      <c r="G126" s="14" t="s">
        <v>510</v>
      </c>
      <c r="H126" s="14" t="s">
        <v>539</v>
      </c>
      <c r="I126" s="14" t="s">
        <v>626</v>
      </c>
      <c r="J126" s="14" t="s">
        <v>701</v>
      </c>
      <c r="K126" s="43" t="s">
        <v>778</v>
      </c>
      <c r="L126" s="14">
        <v>4</v>
      </c>
      <c r="M126" s="14">
        <f>L126*5</f>
        <v>20</v>
      </c>
      <c r="N126" s="14" t="s">
        <v>804</v>
      </c>
      <c r="O126" s="51" t="s">
        <v>829</v>
      </c>
      <c r="P126" s="15" t="s">
        <v>889</v>
      </c>
      <c r="Q126" s="15">
        <f t="shared" si="35"/>
        <v>0.06</v>
      </c>
      <c r="R126" s="14"/>
    </row>
    <row r="127" spans="1:18" ht="36">
      <c r="A127" s="1"/>
      <c r="B127" s="17">
        <f t="shared" si="0"/>
        <v>120</v>
      </c>
      <c r="C127" s="23" t="s">
        <v>34</v>
      </c>
      <c r="D127" s="20" t="s">
        <v>163</v>
      </c>
      <c r="E127" s="20" t="s">
        <v>314</v>
      </c>
      <c r="F127" s="20" t="s">
        <v>394</v>
      </c>
      <c r="G127" s="20" t="s">
        <v>511</v>
      </c>
      <c r="H127" s="20" t="s">
        <v>539</v>
      </c>
      <c r="I127" s="14" t="s">
        <v>626</v>
      </c>
      <c r="J127" s="20" t="s">
        <v>702</v>
      </c>
      <c r="K127" s="44" t="s">
        <v>779</v>
      </c>
      <c r="L127" s="20">
        <v>12</v>
      </c>
      <c r="M127" s="20">
        <f t="shared" ref="M127" si="62">L127*5</f>
        <v>60</v>
      </c>
      <c r="N127" s="20" t="s">
        <v>804</v>
      </c>
      <c r="O127" s="51" t="s">
        <v>829</v>
      </c>
      <c r="P127" s="21" t="s">
        <v>897</v>
      </c>
      <c r="Q127" s="15">
        <f t="shared" si="35"/>
        <v>6.9999999999999993E-2</v>
      </c>
      <c r="R127" s="20"/>
    </row>
    <row r="128" spans="1:18">
      <c r="A128" s="1"/>
      <c r="B128" s="16">
        <f>ROW(B128) - ROW($B$7)</f>
        <v>121</v>
      </c>
      <c r="C128" s="22" t="s">
        <v>34</v>
      </c>
      <c r="D128" s="14" t="s">
        <v>164</v>
      </c>
      <c r="E128" s="14" t="s">
        <v>315</v>
      </c>
      <c r="F128" s="14" t="s">
        <v>395</v>
      </c>
      <c r="G128" s="14" t="s">
        <v>512</v>
      </c>
      <c r="H128" s="14" t="s">
        <v>539</v>
      </c>
      <c r="I128" s="14" t="s">
        <v>626</v>
      </c>
      <c r="J128" s="14" t="s">
        <v>703</v>
      </c>
      <c r="K128" s="43" t="s">
        <v>749</v>
      </c>
      <c r="L128" s="14">
        <v>4</v>
      </c>
      <c r="M128" s="14">
        <f>L128*5</f>
        <v>20</v>
      </c>
      <c r="N128" s="14" t="s">
        <v>804</v>
      </c>
      <c r="O128" s="51" t="s">
        <v>829</v>
      </c>
      <c r="P128" s="15" t="s">
        <v>826</v>
      </c>
      <c r="Q128" s="15">
        <f t="shared" si="35"/>
        <v>0.1</v>
      </c>
      <c r="R128" s="14"/>
    </row>
    <row r="129" spans="1:18">
      <c r="A129" s="1"/>
      <c r="B129" s="17">
        <f t="shared" si="0"/>
        <v>122</v>
      </c>
      <c r="C129" s="23" t="s">
        <v>34</v>
      </c>
      <c r="D129" s="20" t="s">
        <v>165</v>
      </c>
      <c r="E129" s="20" t="s">
        <v>316</v>
      </c>
      <c r="F129" s="20" t="s">
        <v>394</v>
      </c>
      <c r="G129" s="20" t="s">
        <v>513</v>
      </c>
      <c r="H129" s="20" t="s">
        <v>539</v>
      </c>
      <c r="I129" s="14" t="s">
        <v>626</v>
      </c>
      <c r="J129" s="20" t="s">
        <v>704</v>
      </c>
      <c r="K129" s="44" t="s">
        <v>780</v>
      </c>
      <c r="L129" s="20">
        <v>1</v>
      </c>
      <c r="M129" s="20">
        <f t="shared" ref="M129" si="63">L129*5</f>
        <v>5</v>
      </c>
      <c r="N129" s="20" t="s">
        <v>808</v>
      </c>
      <c r="O129" s="51" t="s">
        <v>829</v>
      </c>
      <c r="P129" s="21" t="s">
        <v>900</v>
      </c>
      <c r="Q129" s="15">
        <f t="shared" si="35"/>
        <v>0.378</v>
      </c>
      <c r="R129" s="20"/>
    </row>
    <row r="130" spans="1:18">
      <c r="A130" s="1"/>
      <c r="B130" s="16">
        <f>ROW(B130) - ROW($B$7)</f>
        <v>123</v>
      </c>
      <c r="C130" s="22" t="s">
        <v>34</v>
      </c>
      <c r="D130" s="14" t="s">
        <v>166</v>
      </c>
      <c r="E130" s="14" t="s">
        <v>317</v>
      </c>
      <c r="F130" s="14" t="s">
        <v>394</v>
      </c>
      <c r="G130" s="43" t="s">
        <v>798</v>
      </c>
      <c r="H130" s="20" t="s">
        <v>539</v>
      </c>
      <c r="I130" s="14" t="s">
        <v>626</v>
      </c>
      <c r="J130" s="14" t="s">
        <v>705</v>
      </c>
      <c r="K130" s="43" t="s">
        <v>781</v>
      </c>
      <c r="L130" s="14">
        <v>1</v>
      </c>
      <c r="M130" s="14">
        <f>L130*5</f>
        <v>5</v>
      </c>
      <c r="N130" s="14" t="s">
        <v>804</v>
      </c>
      <c r="O130" s="51" t="s">
        <v>829</v>
      </c>
      <c r="P130" s="15" t="s">
        <v>889</v>
      </c>
      <c r="Q130" s="15">
        <f t="shared" si="35"/>
        <v>0.06</v>
      </c>
      <c r="R130" s="14"/>
    </row>
    <row r="131" spans="1:18" ht="24">
      <c r="A131" s="1"/>
      <c r="B131" s="17">
        <f t="shared" si="0"/>
        <v>124</v>
      </c>
      <c r="C131" s="23" t="s">
        <v>36</v>
      </c>
      <c r="D131" s="20" t="s">
        <v>167</v>
      </c>
      <c r="E131" s="20" t="s">
        <v>318</v>
      </c>
      <c r="F131" s="20" t="s">
        <v>786</v>
      </c>
      <c r="G131" s="20" t="s">
        <v>397</v>
      </c>
      <c r="H131" s="20" t="s">
        <v>578</v>
      </c>
      <c r="I131" s="14" t="s">
        <v>626</v>
      </c>
      <c r="J131" s="20" t="s">
        <v>706</v>
      </c>
      <c r="K131" s="44" t="s">
        <v>626</v>
      </c>
      <c r="L131" s="20">
        <v>9</v>
      </c>
      <c r="M131" s="20">
        <f t="shared" ref="M131" si="64">L131*5</f>
        <v>45</v>
      </c>
      <c r="N131" s="20">
        <v>50</v>
      </c>
      <c r="O131" s="51" t="s">
        <v>829</v>
      </c>
      <c r="P131" s="21" t="s">
        <v>901</v>
      </c>
      <c r="Q131" s="15">
        <f t="shared" si="35"/>
        <v>7.35</v>
      </c>
      <c r="R131" s="20"/>
    </row>
    <row r="132" spans="1:18" ht="36">
      <c r="A132" s="1"/>
      <c r="B132" s="16">
        <f>ROW(B132) - ROW($B$7)</f>
        <v>125</v>
      </c>
      <c r="C132" s="22" t="s">
        <v>37</v>
      </c>
      <c r="D132" s="14" t="s">
        <v>168</v>
      </c>
      <c r="E132" s="14" t="s">
        <v>319</v>
      </c>
      <c r="F132" s="20" t="s">
        <v>786</v>
      </c>
      <c r="G132" s="14" t="s">
        <v>398</v>
      </c>
      <c r="H132" s="14" t="s">
        <v>568</v>
      </c>
      <c r="I132" s="14" t="s">
        <v>626</v>
      </c>
      <c r="J132" s="14" t="s">
        <v>707</v>
      </c>
      <c r="K132" s="44" t="s">
        <v>626</v>
      </c>
      <c r="L132" s="14">
        <v>1</v>
      </c>
      <c r="M132" s="14">
        <f>L132*5</f>
        <v>5</v>
      </c>
      <c r="N132" s="14">
        <v>6</v>
      </c>
      <c r="O132" s="51" t="s">
        <v>829</v>
      </c>
      <c r="P132" s="15" t="s">
        <v>902</v>
      </c>
      <c r="Q132" s="15">
        <f t="shared" si="35"/>
        <v>4.3794000000000004</v>
      </c>
      <c r="R132" s="14"/>
    </row>
    <row r="133" spans="1:18" ht="48">
      <c r="A133" s="1"/>
      <c r="B133" s="17">
        <f t="shared" si="0"/>
        <v>126</v>
      </c>
      <c r="C133" s="23" t="s">
        <v>36</v>
      </c>
      <c r="D133" s="20" t="s">
        <v>169</v>
      </c>
      <c r="E133" s="20" t="s">
        <v>320</v>
      </c>
      <c r="F133" s="20" t="s">
        <v>786</v>
      </c>
      <c r="G133" s="20" t="s">
        <v>514</v>
      </c>
      <c r="H133" s="20" t="s">
        <v>579</v>
      </c>
      <c r="I133" s="14" t="s">
        <v>626</v>
      </c>
      <c r="J133" s="20" t="s">
        <v>708</v>
      </c>
      <c r="K133" s="44" t="s">
        <v>626</v>
      </c>
      <c r="L133" s="20">
        <v>1</v>
      </c>
      <c r="M133" s="20">
        <f t="shared" ref="M133" si="65">L133*5</f>
        <v>5</v>
      </c>
      <c r="N133" s="20">
        <v>6</v>
      </c>
      <c r="O133" s="51" t="s">
        <v>829</v>
      </c>
      <c r="P133" s="21" t="s">
        <v>903</v>
      </c>
      <c r="Q133" s="15">
        <f t="shared" si="35"/>
        <v>4.1466000000000003</v>
      </c>
      <c r="R133" s="20"/>
    </row>
    <row r="134" spans="1:18" ht="36">
      <c r="A134" s="1"/>
      <c r="B134" s="16">
        <f>ROW(B134) - ROW($B$7)</f>
        <v>127</v>
      </c>
      <c r="C134" s="22" t="s">
        <v>38</v>
      </c>
      <c r="D134" s="14" t="s">
        <v>170</v>
      </c>
      <c r="E134" s="14" t="s">
        <v>321</v>
      </c>
      <c r="F134" s="20" t="s">
        <v>786</v>
      </c>
      <c r="G134" s="14" t="s">
        <v>399</v>
      </c>
      <c r="H134" s="14" t="s">
        <v>580</v>
      </c>
      <c r="I134" s="14" t="s">
        <v>626</v>
      </c>
      <c r="J134" s="14" t="s">
        <v>709</v>
      </c>
      <c r="K134" s="44" t="s">
        <v>626</v>
      </c>
      <c r="L134" s="14">
        <v>1</v>
      </c>
      <c r="M134" s="14">
        <f>L134*5</f>
        <v>5</v>
      </c>
      <c r="N134" s="14">
        <v>6</v>
      </c>
      <c r="O134" s="51" t="s">
        <v>829</v>
      </c>
      <c r="P134" s="15" t="s">
        <v>904</v>
      </c>
      <c r="Q134" s="15">
        <f t="shared" si="35"/>
        <v>2.1162000000000001</v>
      </c>
      <c r="R134" s="14"/>
    </row>
    <row r="135" spans="1:18">
      <c r="A135" s="1"/>
      <c r="B135" s="17">
        <f t="shared" si="0"/>
        <v>128</v>
      </c>
      <c r="C135" s="23" t="s">
        <v>39</v>
      </c>
      <c r="D135" s="20" t="s">
        <v>171</v>
      </c>
      <c r="E135" s="20" t="s">
        <v>322</v>
      </c>
      <c r="F135" s="20" t="s">
        <v>786</v>
      </c>
      <c r="G135" s="20" t="s">
        <v>515</v>
      </c>
      <c r="H135" s="20" t="s">
        <v>581</v>
      </c>
      <c r="I135" s="14" t="s">
        <v>626</v>
      </c>
      <c r="J135" s="20" t="s">
        <v>710</v>
      </c>
      <c r="K135" s="44" t="s">
        <v>626</v>
      </c>
      <c r="L135" s="20">
        <v>2</v>
      </c>
      <c r="M135" s="20">
        <f t="shared" ref="M135" si="66">L135*5</f>
        <v>10</v>
      </c>
      <c r="N135" s="20">
        <v>11</v>
      </c>
      <c r="O135" s="51" t="s">
        <v>829</v>
      </c>
      <c r="P135" s="21" t="s">
        <v>905</v>
      </c>
      <c r="Q135" s="15">
        <f t="shared" si="35"/>
        <v>3.0371000000000001</v>
      </c>
      <c r="R135" s="20"/>
    </row>
    <row r="136" spans="1:18" ht="24">
      <c r="A136" s="1"/>
      <c r="B136" s="16">
        <f>ROW(B136) - ROW($B$7)</f>
        <v>129</v>
      </c>
      <c r="C136" s="22" t="s">
        <v>40</v>
      </c>
      <c r="D136" s="14" t="s">
        <v>172</v>
      </c>
      <c r="E136" s="14" t="s">
        <v>323</v>
      </c>
      <c r="F136" s="14" t="s">
        <v>400</v>
      </c>
      <c r="G136" s="14" t="s">
        <v>516</v>
      </c>
      <c r="H136" s="14" t="s">
        <v>582</v>
      </c>
      <c r="I136" s="14" t="s">
        <v>626</v>
      </c>
      <c r="J136" s="14" t="s">
        <v>802</v>
      </c>
      <c r="K136" s="44" t="s">
        <v>626</v>
      </c>
      <c r="L136" s="14">
        <v>2</v>
      </c>
      <c r="M136" s="14">
        <f>L136*5</f>
        <v>10</v>
      </c>
      <c r="N136" s="14">
        <v>11</v>
      </c>
      <c r="O136" s="51" t="s">
        <v>829</v>
      </c>
      <c r="P136" s="15" t="s">
        <v>906</v>
      </c>
      <c r="Q136" s="15">
        <f t="shared" si="35"/>
        <v>18.613099999999999</v>
      </c>
      <c r="R136" s="14"/>
    </row>
    <row r="137" spans="1:18">
      <c r="A137" s="1"/>
      <c r="B137" s="17">
        <f t="shared" si="0"/>
        <v>130</v>
      </c>
      <c r="C137" s="23" t="s">
        <v>40</v>
      </c>
      <c r="D137" s="20" t="s">
        <v>173</v>
      </c>
      <c r="E137" s="20" t="s">
        <v>324</v>
      </c>
      <c r="F137" s="20" t="s">
        <v>401</v>
      </c>
      <c r="G137" s="20" t="s">
        <v>517</v>
      </c>
      <c r="H137" s="20" t="s">
        <v>583</v>
      </c>
      <c r="I137" s="14" t="s">
        <v>626</v>
      </c>
      <c r="J137" s="20" t="s">
        <v>711</v>
      </c>
      <c r="K137" s="44" t="s">
        <v>626</v>
      </c>
      <c r="L137" s="20">
        <v>1</v>
      </c>
      <c r="M137" s="20">
        <f t="shared" ref="M137" si="67">L137*5</f>
        <v>5</v>
      </c>
      <c r="N137" s="20">
        <v>6</v>
      </c>
      <c r="O137" s="51" t="s">
        <v>829</v>
      </c>
      <c r="P137" s="21" t="s">
        <v>907</v>
      </c>
      <c r="Q137" s="15">
        <f t="shared" ref="Q137:Q161" si="68">P137*N137</f>
        <v>31.292999999999999</v>
      </c>
      <c r="R137" s="20"/>
    </row>
    <row r="138" spans="1:18">
      <c r="A138" s="1"/>
      <c r="B138" s="16">
        <f>ROW(B138) - ROW($B$7)</f>
        <v>131</v>
      </c>
      <c r="C138" s="22" t="s">
        <v>40</v>
      </c>
      <c r="D138" s="14" t="s">
        <v>174</v>
      </c>
      <c r="E138" s="14" t="s">
        <v>325</v>
      </c>
      <c r="F138" s="14" t="s">
        <v>402</v>
      </c>
      <c r="G138" s="14" t="s">
        <v>518</v>
      </c>
      <c r="H138" s="14" t="s">
        <v>584</v>
      </c>
      <c r="I138" s="14" t="s">
        <v>626</v>
      </c>
      <c r="J138" s="14" t="s">
        <v>712</v>
      </c>
      <c r="K138" s="44" t="s">
        <v>626</v>
      </c>
      <c r="L138" s="14">
        <v>1</v>
      </c>
      <c r="M138" s="14">
        <f>L138*5</f>
        <v>5</v>
      </c>
      <c r="N138" s="14">
        <v>6</v>
      </c>
      <c r="O138" s="51" t="s">
        <v>924</v>
      </c>
      <c r="P138" s="15">
        <v>0.91349999999999998</v>
      </c>
      <c r="Q138" s="15">
        <f t="shared" si="68"/>
        <v>5.4809999999999999</v>
      </c>
      <c r="R138" s="14"/>
    </row>
    <row r="139" spans="1:18" ht="36">
      <c r="A139" s="1"/>
      <c r="B139" s="17">
        <f t="shared" si="0"/>
        <v>132</v>
      </c>
      <c r="C139" s="23" t="s">
        <v>11</v>
      </c>
      <c r="D139" s="20" t="s">
        <v>175</v>
      </c>
      <c r="E139" s="20" t="s">
        <v>326</v>
      </c>
      <c r="F139" s="20" t="s">
        <v>403</v>
      </c>
      <c r="G139" s="20" t="s">
        <v>519</v>
      </c>
      <c r="H139" s="20" t="s">
        <v>552</v>
      </c>
      <c r="I139" s="14" t="s">
        <v>626</v>
      </c>
      <c r="J139" s="20" t="s">
        <v>713</v>
      </c>
      <c r="K139" s="44" t="s">
        <v>626</v>
      </c>
      <c r="L139" s="20">
        <v>3</v>
      </c>
      <c r="M139" s="20">
        <f t="shared" ref="M139" si="69">L139*5</f>
        <v>15</v>
      </c>
      <c r="N139" s="20" t="s">
        <v>805</v>
      </c>
      <c r="O139" s="51" t="s">
        <v>829</v>
      </c>
      <c r="P139" s="21" t="s">
        <v>908</v>
      </c>
      <c r="Q139" s="15">
        <f t="shared" si="68"/>
        <v>0.66</v>
      </c>
      <c r="R139" s="20"/>
    </row>
    <row r="140" spans="1:18" ht="36">
      <c r="A140" s="1"/>
      <c r="B140" s="16">
        <f>ROW(B140) - ROW($B$7)</f>
        <v>133</v>
      </c>
      <c r="C140" s="22" t="s">
        <v>40</v>
      </c>
      <c r="D140" s="14" t="s">
        <v>176</v>
      </c>
      <c r="E140" s="14" t="s">
        <v>327</v>
      </c>
      <c r="F140" s="20" t="s">
        <v>786</v>
      </c>
      <c r="G140" s="14" t="s">
        <v>404</v>
      </c>
      <c r="H140" s="14" t="s">
        <v>585</v>
      </c>
      <c r="I140" s="14" t="s">
        <v>626</v>
      </c>
      <c r="J140" s="14" t="s">
        <v>714</v>
      </c>
      <c r="K140" s="44" t="s">
        <v>626</v>
      </c>
      <c r="L140" s="14">
        <v>8</v>
      </c>
      <c r="M140" s="14">
        <f>L140*5</f>
        <v>40</v>
      </c>
      <c r="N140" s="14">
        <v>50</v>
      </c>
      <c r="O140" s="51" t="s">
        <v>829</v>
      </c>
      <c r="P140" s="15" t="s">
        <v>909</v>
      </c>
      <c r="Q140" s="15">
        <f t="shared" si="68"/>
        <v>3.2300000000000004</v>
      </c>
      <c r="R140" s="14"/>
    </row>
    <row r="141" spans="1:18" ht="24">
      <c r="A141" s="1"/>
      <c r="B141" s="17">
        <f t="shared" si="0"/>
        <v>134</v>
      </c>
      <c r="C141" s="23" t="s">
        <v>40</v>
      </c>
      <c r="D141" s="20" t="s">
        <v>177</v>
      </c>
      <c r="E141" s="20" t="s">
        <v>328</v>
      </c>
      <c r="F141" s="20" t="s">
        <v>405</v>
      </c>
      <c r="G141" s="20" t="s">
        <v>520</v>
      </c>
      <c r="H141" s="20" t="s">
        <v>584</v>
      </c>
      <c r="I141" s="14" t="s">
        <v>626</v>
      </c>
      <c r="J141" s="20" t="s">
        <v>715</v>
      </c>
      <c r="K141" s="44" t="s">
        <v>626</v>
      </c>
      <c r="L141" s="20">
        <v>4</v>
      </c>
      <c r="M141" s="20">
        <f t="shared" ref="M141" si="70">L141*5</f>
        <v>20</v>
      </c>
      <c r="N141" s="20">
        <v>21</v>
      </c>
      <c r="O141" s="51" t="s">
        <v>829</v>
      </c>
      <c r="P141" s="21" t="s">
        <v>910</v>
      </c>
      <c r="Q141" s="15">
        <f t="shared" si="68"/>
        <v>22.965599999999998</v>
      </c>
      <c r="R141" s="20"/>
    </row>
    <row r="142" spans="1:18">
      <c r="A142" s="1"/>
      <c r="B142" s="16">
        <f>ROW(B142) - ROW($B$7)</f>
        <v>135</v>
      </c>
      <c r="C142" s="22" t="s">
        <v>40</v>
      </c>
      <c r="D142" s="14" t="s">
        <v>178</v>
      </c>
      <c r="E142" s="14" t="s">
        <v>329</v>
      </c>
      <c r="F142" s="14" t="s">
        <v>406</v>
      </c>
      <c r="G142" s="14" t="s">
        <v>521</v>
      </c>
      <c r="H142" s="14" t="s">
        <v>584</v>
      </c>
      <c r="I142" s="14" t="s">
        <v>626</v>
      </c>
      <c r="J142" s="14" t="s">
        <v>716</v>
      </c>
      <c r="K142" s="44" t="s">
        <v>626</v>
      </c>
      <c r="L142" s="14">
        <v>2</v>
      </c>
      <c r="M142" s="14">
        <f>L142*5</f>
        <v>10</v>
      </c>
      <c r="N142" s="14">
        <v>15</v>
      </c>
      <c r="O142" s="51" t="s">
        <v>829</v>
      </c>
      <c r="P142" s="15" t="s">
        <v>911</v>
      </c>
      <c r="Q142" s="15">
        <f t="shared" si="68"/>
        <v>2.2424999999999997</v>
      </c>
      <c r="R142" s="14"/>
    </row>
    <row r="143" spans="1:18" ht="24">
      <c r="A143" s="1"/>
      <c r="B143" s="17">
        <f t="shared" si="0"/>
        <v>136</v>
      </c>
      <c r="C143" s="23" t="s">
        <v>40</v>
      </c>
      <c r="D143" s="20" t="s">
        <v>179</v>
      </c>
      <c r="E143" s="20" t="s">
        <v>330</v>
      </c>
      <c r="F143" s="20" t="s">
        <v>403</v>
      </c>
      <c r="G143" s="20" t="s">
        <v>522</v>
      </c>
      <c r="H143" s="20" t="s">
        <v>584</v>
      </c>
      <c r="I143" s="14" t="s">
        <v>626</v>
      </c>
      <c r="J143" s="20" t="s">
        <v>717</v>
      </c>
      <c r="K143" s="44" t="s">
        <v>626</v>
      </c>
      <c r="L143" s="20">
        <v>1</v>
      </c>
      <c r="M143" s="20">
        <f t="shared" ref="M143" si="71">L143*5</f>
        <v>5</v>
      </c>
      <c r="N143" s="20">
        <v>6</v>
      </c>
      <c r="O143" s="51" t="s">
        <v>829</v>
      </c>
      <c r="P143" s="21" t="s">
        <v>912</v>
      </c>
      <c r="Q143" s="15">
        <f t="shared" si="68"/>
        <v>4.0998000000000001</v>
      </c>
      <c r="R143" s="20"/>
    </row>
    <row r="144" spans="1:18">
      <c r="A144" s="1"/>
      <c r="B144" s="16">
        <f>ROW(B144) - ROW($B$7)</f>
        <v>137</v>
      </c>
      <c r="C144" s="22" t="s">
        <v>40</v>
      </c>
      <c r="D144" s="14" t="s">
        <v>180</v>
      </c>
      <c r="E144" s="14" t="s">
        <v>331</v>
      </c>
      <c r="F144" s="14" t="s">
        <v>407</v>
      </c>
      <c r="G144" s="14" t="s">
        <v>523</v>
      </c>
      <c r="H144" s="14" t="s">
        <v>584</v>
      </c>
      <c r="I144" s="14" t="s">
        <v>626</v>
      </c>
      <c r="J144" s="14" t="s">
        <v>626</v>
      </c>
      <c r="K144" s="44" t="s">
        <v>626</v>
      </c>
      <c r="L144" s="14">
        <v>1</v>
      </c>
      <c r="M144" s="14">
        <f>L144*5</f>
        <v>5</v>
      </c>
      <c r="N144" s="14">
        <v>6</v>
      </c>
      <c r="O144" s="51" t="s">
        <v>923</v>
      </c>
      <c r="P144" s="15">
        <v>23</v>
      </c>
      <c r="Q144" s="15">
        <f t="shared" si="68"/>
        <v>138</v>
      </c>
      <c r="R144" s="14"/>
    </row>
    <row r="145" spans="1:18">
      <c r="A145" s="1"/>
      <c r="B145" s="17">
        <f t="shared" si="0"/>
        <v>138</v>
      </c>
      <c r="C145" s="23" t="s">
        <v>40</v>
      </c>
      <c r="D145" s="20" t="s">
        <v>181</v>
      </c>
      <c r="E145" s="20" t="s">
        <v>332</v>
      </c>
      <c r="F145" s="20" t="s">
        <v>408</v>
      </c>
      <c r="G145" s="20" t="s">
        <v>524</v>
      </c>
      <c r="H145" s="20" t="s">
        <v>551</v>
      </c>
      <c r="I145" s="14" t="s">
        <v>626</v>
      </c>
      <c r="J145" s="20" t="s">
        <v>718</v>
      </c>
      <c r="K145" s="44" t="s">
        <v>626</v>
      </c>
      <c r="L145" s="20">
        <v>1</v>
      </c>
      <c r="M145" s="20">
        <f t="shared" ref="M145" si="72">L145*5</f>
        <v>5</v>
      </c>
      <c r="N145" s="20">
        <v>6</v>
      </c>
      <c r="O145" s="51" t="s">
        <v>924</v>
      </c>
      <c r="P145" s="21">
        <v>1.0353000000000001</v>
      </c>
      <c r="Q145" s="15">
        <f t="shared" si="68"/>
        <v>6.2118000000000002</v>
      </c>
      <c r="R145" s="20"/>
    </row>
    <row r="146" spans="1:18">
      <c r="A146" s="1"/>
      <c r="B146" s="16">
        <f>ROW(B146) - ROW($B$7)</f>
        <v>139</v>
      </c>
      <c r="C146" s="22" t="s">
        <v>40</v>
      </c>
      <c r="D146" s="14" t="s">
        <v>182</v>
      </c>
      <c r="E146" s="14" t="s">
        <v>333</v>
      </c>
      <c r="F146" s="14" t="s">
        <v>409</v>
      </c>
      <c r="G146" s="14" t="s">
        <v>525</v>
      </c>
      <c r="H146" s="14" t="s">
        <v>586</v>
      </c>
      <c r="I146" s="14" t="s">
        <v>626</v>
      </c>
      <c r="J146" s="14" t="s">
        <v>719</v>
      </c>
      <c r="K146" s="44" t="s">
        <v>626</v>
      </c>
      <c r="L146" s="14">
        <v>1</v>
      </c>
      <c r="M146" s="14">
        <f>L146*5</f>
        <v>5</v>
      </c>
      <c r="N146" s="14">
        <v>6</v>
      </c>
      <c r="O146" s="51" t="s">
        <v>829</v>
      </c>
      <c r="P146" s="15" t="s">
        <v>913</v>
      </c>
      <c r="Q146" s="15">
        <f t="shared" si="68"/>
        <v>23.764800000000001</v>
      </c>
      <c r="R146" s="14"/>
    </row>
    <row r="147" spans="1:18" ht="24">
      <c r="A147" s="1"/>
      <c r="B147" s="17">
        <f t="shared" si="0"/>
        <v>140</v>
      </c>
      <c r="C147" s="23" t="s">
        <v>40</v>
      </c>
      <c r="D147" s="20" t="s">
        <v>183</v>
      </c>
      <c r="E147" s="20" t="s">
        <v>334</v>
      </c>
      <c r="F147" s="20" t="s">
        <v>405</v>
      </c>
      <c r="G147" s="20" t="s">
        <v>526</v>
      </c>
      <c r="H147" s="20" t="s">
        <v>586</v>
      </c>
      <c r="I147" s="14" t="s">
        <v>626</v>
      </c>
      <c r="J147" s="20" t="s">
        <v>720</v>
      </c>
      <c r="K147" s="44" t="s">
        <v>626</v>
      </c>
      <c r="L147" s="20">
        <v>1</v>
      </c>
      <c r="M147" s="20">
        <f t="shared" ref="M147" si="73">L147*5</f>
        <v>5</v>
      </c>
      <c r="N147" s="20">
        <v>6</v>
      </c>
      <c r="O147" s="51" t="s">
        <v>829</v>
      </c>
      <c r="P147" s="21" t="s">
        <v>914</v>
      </c>
      <c r="Q147" s="15">
        <f t="shared" si="68"/>
        <v>1.2000000000000002</v>
      </c>
      <c r="R147" s="20"/>
    </row>
    <row r="148" spans="1:18">
      <c r="A148" s="1"/>
      <c r="B148" s="16">
        <f>ROW(B148) - ROW($B$7)</f>
        <v>141</v>
      </c>
      <c r="C148" s="22" t="s">
        <v>40</v>
      </c>
      <c r="D148" s="14" t="s">
        <v>184</v>
      </c>
      <c r="E148" s="14" t="s">
        <v>335</v>
      </c>
      <c r="F148" s="14" t="s">
        <v>410</v>
      </c>
      <c r="G148" s="14" t="s">
        <v>527</v>
      </c>
      <c r="H148" s="14" t="s">
        <v>551</v>
      </c>
      <c r="I148" s="14" t="s">
        <v>626</v>
      </c>
      <c r="J148" s="14" t="s">
        <v>721</v>
      </c>
      <c r="K148" s="44" t="s">
        <v>626</v>
      </c>
      <c r="L148" s="14">
        <v>1</v>
      </c>
      <c r="M148" s="14">
        <f>L148*5</f>
        <v>5</v>
      </c>
      <c r="N148" s="14">
        <v>6</v>
      </c>
      <c r="O148" s="51" t="s">
        <v>829</v>
      </c>
      <c r="P148" s="15" t="s">
        <v>915</v>
      </c>
      <c r="Q148" s="15">
        <f t="shared" si="68"/>
        <v>29.367599999999996</v>
      </c>
      <c r="R148" s="14"/>
    </row>
    <row r="149" spans="1:18">
      <c r="A149" s="1"/>
      <c r="B149" s="17">
        <f t="shared" si="0"/>
        <v>142</v>
      </c>
      <c r="C149" s="23" t="s">
        <v>40</v>
      </c>
      <c r="D149" s="20" t="s">
        <v>185</v>
      </c>
      <c r="E149" s="20" t="s">
        <v>336</v>
      </c>
      <c r="F149" s="20" t="s">
        <v>411</v>
      </c>
      <c r="G149" s="20" t="s">
        <v>528</v>
      </c>
      <c r="H149" s="20" t="s">
        <v>551</v>
      </c>
      <c r="I149" s="14" t="s">
        <v>626</v>
      </c>
      <c r="J149" s="20" t="s">
        <v>722</v>
      </c>
      <c r="K149" s="44" t="s">
        <v>626</v>
      </c>
      <c r="L149" s="20">
        <v>1</v>
      </c>
      <c r="M149" s="20">
        <f t="shared" ref="M149" si="74">L149*5</f>
        <v>5</v>
      </c>
      <c r="N149" s="20">
        <v>6</v>
      </c>
      <c r="O149" s="51" t="s">
        <v>829</v>
      </c>
      <c r="P149" s="21" t="s">
        <v>916</v>
      </c>
      <c r="Q149" s="15">
        <f t="shared" si="68"/>
        <v>2.6471999999999998</v>
      </c>
      <c r="R149" s="20"/>
    </row>
    <row r="150" spans="1:18">
      <c r="A150" s="1"/>
      <c r="B150" s="16">
        <f>ROW(B150) - ROW($B$7)</f>
        <v>143</v>
      </c>
      <c r="C150" s="22" t="s">
        <v>40</v>
      </c>
      <c r="D150" s="14" t="s">
        <v>186</v>
      </c>
      <c r="E150" s="14" t="s">
        <v>337</v>
      </c>
      <c r="F150" s="14" t="s">
        <v>412</v>
      </c>
      <c r="G150" s="14" t="s">
        <v>529</v>
      </c>
      <c r="H150" s="14" t="s">
        <v>584</v>
      </c>
      <c r="I150" s="14" t="s">
        <v>626</v>
      </c>
      <c r="J150" s="14" t="s">
        <v>626</v>
      </c>
      <c r="K150" s="44" t="s">
        <v>626</v>
      </c>
      <c r="L150" s="14">
        <v>2</v>
      </c>
      <c r="M150" s="14">
        <f>L150*5</f>
        <v>10</v>
      </c>
      <c r="N150" s="14">
        <v>11</v>
      </c>
      <c r="O150" s="51" t="s">
        <v>923</v>
      </c>
      <c r="P150" s="15">
        <v>2.3628200000000001</v>
      </c>
      <c r="Q150" s="15">
        <f t="shared" si="68"/>
        <v>25.991020000000002</v>
      </c>
      <c r="R150" s="14"/>
    </row>
    <row r="151" spans="1:18" ht="24">
      <c r="A151" s="1"/>
      <c r="B151" s="17">
        <f t="shared" si="0"/>
        <v>144</v>
      </c>
      <c r="C151" s="23" t="s">
        <v>40</v>
      </c>
      <c r="D151" s="20" t="s">
        <v>187</v>
      </c>
      <c r="E151" s="20" t="s">
        <v>328</v>
      </c>
      <c r="F151" s="20" t="s">
        <v>405</v>
      </c>
      <c r="G151" s="20" t="s">
        <v>530</v>
      </c>
      <c r="H151" s="20" t="s">
        <v>584</v>
      </c>
      <c r="I151" s="14" t="s">
        <v>626</v>
      </c>
      <c r="J151" s="20" t="s">
        <v>723</v>
      </c>
      <c r="K151" s="44" t="s">
        <v>626</v>
      </c>
      <c r="L151" s="20">
        <v>3</v>
      </c>
      <c r="M151" s="20">
        <f t="shared" ref="M151" si="75">L151*5</f>
        <v>15</v>
      </c>
      <c r="N151" s="20">
        <v>16</v>
      </c>
      <c r="O151" s="51" t="s">
        <v>924</v>
      </c>
      <c r="P151" s="21">
        <v>4.3289999999999997</v>
      </c>
      <c r="Q151" s="15">
        <f t="shared" si="68"/>
        <v>69.263999999999996</v>
      </c>
      <c r="R151" s="20"/>
    </row>
    <row r="152" spans="1:18">
      <c r="A152" s="1"/>
      <c r="B152" s="16">
        <f>ROW(B152) - ROW($B$7)</f>
        <v>145</v>
      </c>
      <c r="C152" s="22" t="s">
        <v>40</v>
      </c>
      <c r="D152" s="14" t="s">
        <v>188</v>
      </c>
      <c r="E152" s="14" t="s">
        <v>338</v>
      </c>
      <c r="F152" s="14" t="s">
        <v>413</v>
      </c>
      <c r="G152" s="14" t="s">
        <v>531</v>
      </c>
      <c r="H152" s="14" t="s">
        <v>586</v>
      </c>
      <c r="I152" s="14" t="s">
        <v>626</v>
      </c>
      <c r="J152" s="14" t="s">
        <v>626</v>
      </c>
      <c r="K152" s="44" t="s">
        <v>626</v>
      </c>
      <c r="L152" s="14">
        <v>1</v>
      </c>
      <c r="M152" s="14">
        <f>L152*5</f>
        <v>5</v>
      </c>
      <c r="N152" s="14">
        <v>6</v>
      </c>
      <c r="O152" s="51" t="s">
        <v>923</v>
      </c>
      <c r="P152" s="15">
        <v>13.25</v>
      </c>
      <c r="Q152" s="15">
        <f t="shared" si="68"/>
        <v>79.5</v>
      </c>
      <c r="R152" s="14"/>
    </row>
    <row r="153" spans="1:18">
      <c r="A153" s="1"/>
      <c r="B153" s="17">
        <f t="shared" si="0"/>
        <v>146</v>
      </c>
      <c r="C153" s="22" t="s">
        <v>40</v>
      </c>
      <c r="D153" s="20" t="s">
        <v>189</v>
      </c>
      <c r="E153" s="20" t="s">
        <v>339</v>
      </c>
      <c r="F153" s="20" t="s">
        <v>414</v>
      </c>
      <c r="G153" s="20" t="s">
        <v>414</v>
      </c>
      <c r="H153" s="20" t="s">
        <v>550</v>
      </c>
      <c r="I153" s="14" t="s">
        <v>626</v>
      </c>
      <c r="J153" s="20" t="s">
        <v>803</v>
      </c>
      <c r="K153" s="44" t="s">
        <v>626</v>
      </c>
      <c r="L153" s="20">
        <v>1</v>
      </c>
      <c r="M153" s="20">
        <f t="shared" ref="M153" si="76">L153*5</f>
        <v>5</v>
      </c>
      <c r="N153" s="20">
        <v>6</v>
      </c>
      <c r="O153" s="51" t="s">
        <v>829</v>
      </c>
      <c r="P153" s="21" t="s">
        <v>917</v>
      </c>
      <c r="Q153" s="15">
        <f t="shared" si="68"/>
        <v>2.6874000000000002</v>
      </c>
      <c r="R153" s="20"/>
    </row>
    <row r="154" spans="1:18">
      <c r="A154" s="1"/>
      <c r="B154" s="16">
        <f>ROW(B154) - ROW($B$7)</f>
        <v>147</v>
      </c>
      <c r="C154" s="22" t="s">
        <v>40</v>
      </c>
      <c r="D154" s="14" t="s">
        <v>190</v>
      </c>
      <c r="E154" s="14" t="s">
        <v>340</v>
      </c>
      <c r="F154" s="14" t="s">
        <v>415</v>
      </c>
      <c r="G154" s="14" t="s">
        <v>532</v>
      </c>
      <c r="H154" s="14" t="s">
        <v>584</v>
      </c>
      <c r="I154" s="14" t="s">
        <v>626</v>
      </c>
      <c r="J154" s="14" t="s">
        <v>724</v>
      </c>
      <c r="K154" s="44" t="s">
        <v>626</v>
      </c>
      <c r="L154" s="14">
        <v>1</v>
      </c>
      <c r="M154" s="14">
        <f>L154*5</f>
        <v>5</v>
      </c>
      <c r="N154" s="14">
        <v>6</v>
      </c>
      <c r="O154" s="51" t="s">
        <v>829</v>
      </c>
      <c r="P154" s="15" t="s">
        <v>918</v>
      </c>
      <c r="Q154" s="15">
        <f t="shared" si="68"/>
        <v>15.6294</v>
      </c>
      <c r="R154" s="14"/>
    </row>
    <row r="155" spans="1:18" ht="24">
      <c r="A155" s="1"/>
      <c r="B155" s="17">
        <f t="shared" si="0"/>
        <v>148</v>
      </c>
      <c r="C155" s="23" t="s">
        <v>40</v>
      </c>
      <c r="D155" s="20" t="s">
        <v>191</v>
      </c>
      <c r="E155" s="20" t="s">
        <v>341</v>
      </c>
      <c r="F155" s="20" t="s">
        <v>416</v>
      </c>
      <c r="G155" s="20" t="s">
        <v>533</v>
      </c>
      <c r="H155" s="20" t="s">
        <v>587</v>
      </c>
      <c r="I155" s="14" t="s">
        <v>626</v>
      </c>
      <c r="J155" s="20" t="s">
        <v>725</v>
      </c>
      <c r="K155" s="44" t="s">
        <v>626</v>
      </c>
      <c r="L155" s="20">
        <v>1</v>
      </c>
      <c r="M155" s="20">
        <f t="shared" ref="M155" si="77">L155*5</f>
        <v>5</v>
      </c>
      <c r="N155" s="20">
        <v>6</v>
      </c>
      <c r="O155" s="51" t="s">
        <v>829</v>
      </c>
      <c r="P155" s="21" t="s">
        <v>919</v>
      </c>
      <c r="Q155" s="15">
        <f t="shared" si="68"/>
        <v>15.8886</v>
      </c>
      <c r="R155" s="20"/>
    </row>
    <row r="156" spans="1:18" ht="36">
      <c r="A156" s="1"/>
      <c r="B156" s="16">
        <f>ROW(B156) - ROW($B$7)</f>
        <v>149</v>
      </c>
      <c r="C156" s="22" t="s">
        <v>40</v>
      </c>
      <c r="D156" s="14" t="s">
        <v>192</v>
      </c>
      <c r="E156" s="14" t="s">
        <v>342</v>
      </c>
      <c r="F156" s="14" t="s">
        <v>403</v>
      </c>
      <c r="G156" s="14" t="s">
        <v>534</v>
      </c>
      <c r="H156" s="14" t="s">
        <v>588</v>
      </c>
      <c r="I156" s="14" t="s">
        <v>626</v>
      </c>
      <c r="J156" s="14" t="s">
        <v>726</v>
      </c>
      <c r="K156" s="44" t="s">
        <v>626</v>
      </c>
      <c r="L156" s="14">
        <v>1</v>
      </c>
      <c r="M156" s="14">
        <f>L156*5</f>
        <v>5</v>
      </c>
      <c r="N156" s="14" t="s">
        <v>808</v>
      </c>
      <c r="O156" s="51" t="s">
        <v>829</v>
      </c>
      <c r="P156" s="15" t="s">
        <v>920</v>
      </c>
      <c r="Q156" s="15">
        <f t="shared" si="68"/>
        <v>0.55399999999999994</v>
      </c>
      <c r="R156" s="14"/>
    </row>
    <row r="157" spans="1:18">
      <c r="A157" s="1"/>
      <c r="B157" s="17">
        <f t="shared" si="0"/>
        <v>150</v>
      </c>
      <c r="C157" s="23" t="s">
        <v>41</v>
      </c>
      <c r="D157" s="20" t="s">
        <v>193</v>
      </c>
      <c r="E157" s="20" t="s">
        <v>343</v>
      </c>
      <c r="F157" s="20" t="s">
        <v>417</v>
      </c>
      <c r="G157" s="20" t="s">
        <v>535</v>
      </c>
      <c r="H157" s="20" t="s">
        <v>589</v>
      </c>
      <c r="I157" s="14" t="s">
        <v>626</v>
      </c>
      <c r="J157" s="20" t="s">
        <v>626</v>
      </c>
      <c r="K157" s="44" t="s">
        <v>782</v>
      </c>
      <c r="L157" s="20">
        <v>1</v>
      </c>
      <c r="M157" s="20">
        <f t="shared" ref="M157" si="78">L157*5</f>
        <v>5</v>
      </c>
      <c r="N157" s="20">
        <v>6</v>
      </c>
      <c r="O157" s="51" t="s">
        <v>923</v>
      </c>
      <c r="P157" s="21">
        <v>3.38</v>
      </c>
      <c r="Q157" s="15">
        <f t="shared" si="68"/>
        <v>20.28</v>
      </c>
      <c r="R157" s="20"/>
    </row>
    <row r="158" spans="1:18">
      <c r="A158" s="1"/>
      <c r="B158" s="16">
        <f>ROW(B158) - ROW($B$7)</f>
        <v>151</v>
      </c>
      <c r="C158" s="22" t="s">
        <v>42</v>
      </c>
      <c r="D158" s="46" t="s">
        <v>194</v>
      </c>
      <c r="E158" s="46" t="s">
        <v>344</v>
      </c>
      <c r="F158" s="42" t="s">
        <v>786</v>
      </c>
      <c r="G158" s="46" t="s">
        <v>418</v>
      </c>
      <c r="H158" s="46" t="s">
        <v>590</v>
      </c>
      <c r="I158" s="46" t="s">
        <v>626</v>
      </c>
      <c r="J158" s="46" t="s">
        <v>727</v>
      </c>
      <c r="K158" s="45" t="s">
        <v>743</v>
      </c>
      <c r="L158" s="46">
        <v>1</v>
      </c>
      <c r="M158" s="46">
        <f>L158*5</f>
        <v>5</v>
      </c>
      <c r="N158" s="46" t="s">
        <v>626</v>
      </c>
      <c r="O158" s="46" t="s">
        <v>626</v>
      </c>
      <c r="P158" s="47" t="s">
        <v>626</v>
      </c>
      <c r="Q158" s="15" t="s">
        <v>626</v>
      </c>
      <c r="R158" s="48" t="s">
        <v>795</v>
      </c>
    </row>
    <row r="159" spans="1:18">
      <c r="A159" s="1"/>
      <c r="B159" s="17">
        <f t="shared" si="0"/>
        <v>152</v>
      </c>
      <c r="C159" s="23" t="s">
        <v>42</v>
      </c>
      <c r="D159" s="20" t="s">
        <v>195</v>
      </c>
      <c r="E159" s="20" t="s">
        <v>344</v>
      </c>
      <c r="F159" s="20" t="s">
        <v>786</v>
      </c>
      <c r="G159" s="20" t="s">
        <v>418</v>
      </c>
      <c r="H159" s="20" t="s">
        <v>590</v>
      </c>
      <c r="I159" s="20" t="s">
        <v>626</v>
      </c>
      <c r="J159" s="20" t="s">
        <v>727</v>
      </c>
      <c r="K159" s="44" t="s">
        <v>782</v>
      </c>
      <c r="L159" s="20">
        <v>1</v>
      </c>
      <c r="M159" s="20">
        <f t="shared" ref="M159" si="79">L159*5</f>
        <v>5</v>
      </c>
      <c r="N159" s="20">
        <v>10</v>
      </c>
      <c r="O159" s="51" t="s">
        <v>829</v>
      </c>
      <c r="P159" s="21" t="s">
        <v>921</v>
      </c>
      <c r="Q159" s="15">
        <f t="shared" si="68"/>
        <v>2.3280000000000003</v>
      </c>
      <c r="R159" s="20"/>
    </row>
    <row r="160" spans="1:18">
      <c r="A160" s="1"/>
      <c r="B160" s="16">
        <f>ROW(B160) - ROW($B$7)</f>
        <v>153</v>
      </c>
      <c r="C160" s="23" t="s">
        <v>42</v>
      </c>
      <c r="D160" s="14" t="s">
        <v>196</v>
      </c>
      <c r="E160" s="14" t="s">
        <v>345</v>
      </c>
      <c r="F160" s="14" t="s">
        <v>786</v>
      </c>
      <c r="G160" s="14" t="s">
        <v>536</v>
      </c>
      <c r="H160" s="14" t="s">
        <v>591</v>
      </c>
      <c r="I160" s="20" t="s">
        <v>626</v>
      </c>
      <c r="J160" s="14" t="s">
        <v>728</v>
      </c>
      <c r="K160" s="43" t="s">
        <v>783</v>
      </c>
      <c r="L160" s="14">
        <v>1</v>
      </c>
      <c r="M160" s="14">
        <f>L160*5</f>
        <v>5</v>
      </c>
      <c r="N160" s="14">
        <v>10</v>
      </c>
      <c r="O160" s="51" t="s">
        <v>829</v>
      </c>
      <c r="P160" s="15" t="s">
        <v>922</v>
      </c>
      <c r="Q160" s="15">
        <f t="shared" si="68"/>
        <v>2.5580000000000003</v>
      </c>
      <c r="R160" s="14"/>
    </row>
    <row r="161" spans="1:18" ht="24.75" thickBot="1">
      <c r="A161" s="1"/>
      <c r="B161" s="17">
        <f t="shared" si="0"/>
        <v>154</v>
      </c>
      <c r="C161" s="23" t="s">
        <v>42</v>
      </c>
      <c r="D161" s="20" t="s">
        <v>197</v>
      </c>
      <c r="E161" s="20" t="s">
        <v>346</v>
      </c>
      <c r="F161" s="20" t="s">
        <v>419</v>
      </c>
      <c r="G161" s="20" t="s">
        <v>537</v>
      </c>
      <c r="H161" s="20" t="s">
        <v>592</v>
      </c>
      <c r="I161" s="20" t="s">
        <v>626</v>
      </c>
      <c r="J161" s="20" t="s">
        <v>626</v>
      </c>
      <c r="K161" s="44" t="s">
        <v>782</v>
      </c>
      <c r="L161" s="20">
        <v>1</v>
      </c>
      <c r="M161" s="20">
        <f t="shared" ref="M161" si="80">L161*5</f>
        <v>5</v>
      </c>
      <c r="N161" s="20">
        <v>6</v>
      </c>
      <c r="O161" s="51" t="s">
        <v>923</v>
      </c>
      <c r="P161" s="21">
        <v>0.2046</v>
      </c>
      <c r="Q161" s="15">
        <f t="shared" si="68"/>
        <v>1.2276</v>
      </c>
      <c r="R161" s="20"/>
    </row>
    <row r="162" spans="1:18" ht="19.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59" t="s">
        <v>3</v>
      </c>
      <c r="O162" s="60"/>
      <c r="P162" s="60"/>
      <c r="Q162" s="18">
        <f>SUM(Q8:Q161)</f>
        <v>852.90790000000015</v>
      </c>
      <c r="R162" s="1"/>
    </row>
    <row r="163" spans="1:18" ht="19.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59" t="s">
        <v>4</v>
      </c>
      <c r="O163" s="60"/>
      <c r="P163" s="60"/>
      <c r="Q163" s="19">
        <f>Q162/5</f>
        <v>170.58158000000003</v>
      </c>
      <c r="R163" s="1"/>
    </row>
    <row r="175" spans="1:18">
      <c r="M175" s="38"/>
    </row>
  </sheetData>
  <mergeCells count="3">
    <mergeCell ref="K1:R1"/>
    <mergeCell ref="N162:P162"/>
    <mergeCell ref="N163:P163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  <hyperlink ref="O16" r:id="rId9"/>
    <hyperlink ref="O17" r:id="rId10"/>
    <hyperlink ref="O18" r:id="rId11"/>
    <hyperlink ref="O19" r:id="rId12"/>
    <hyperlink ref="O20" r:id="rId13"/>
    <hyperlink ref="O21" r:id="rId14"/>
    <hyperlink ref="O22" r:id="rId15"/>
    <hyperlink ref="O23" r:id="rId16"/>
    <hyperlink ref="O24" r:id="rId17"/>
    <hyperlink ref="O25" r:id="rId18"/>
    <hyperlink ref="O26" r:id="rId19"/>
    <hyperlink ref="O27" r:id="rId20"/>
    <hyperlink ref="O29" r:id="rId21"/>
    <hyperlink ref="O30" r:id="rId22"/>
    <hyperlink ref="O31" r:id="rId23"/>
    <hyperlink ref="O32" r:id="rId24"/>
    <hyperlink ref="O33" r:id="rId25"/>
    <hyperlink ref="O34" r:id="rId26"/>
    <hyperlink ref="O35" r:id="rId27"/>
    <hyperlink ref="O36" r:id="rId28"/>
    <hyperlink ref="O37" r:id="rId29"/>
    <hyperlink ref="O38" r:id="rId30"/>
    <hyperlink ref="O40" r:id="rId31"/>
    <hyperlink ref="O44" r:id="rId32"/>
    <hyperlink ref="O45" r:id="rId33"/>
    <hyperlink ref="O46" r:id="rId34"/>
    <hyperlink ref="O47" r:id="rId35"/>
    <hyperlink ref="O48" r:id="rId36"/>
    <hyperlink ref="O49" r:id="rId37"/>
    <hyperlink ref="O50" r:id="rId38"/>
    <hyperlink ref="O51" r:id="rId39"/>
    <hyperlink ref="O52" r:id="rId40"/>
    <hyperlink ref="O53" r:id="rId41"/>
    <hyperlink ref="O54" r:id="rId42"/>
    <hyperlink ref="O55" r:id="rId43"/>
    <hyperlink ref="O56" r:id="rId44"/>
    <hyperlink ref="O57" r:id="rId45"/>
    <hyperlink ref="O58" r:id="rId46"/>
    <hyperlink ref="O59" r:id="rId47"/>
    <hyperlink ref="O60" r:id="rId48"/>
    <hyperlink ref="O61" r:id="rId49"/>
    <hyperlink ref="O62" r:id="rId50"/>
    <hyperlink ref="O63" r:id="rId51"/>
    <hyperlink ref="O64" r:id="rId52"/>
    <hyperlink ref="O65" r:id="rId53"/>
    <hyperlink ref="O66" r:id="rId54"/>
    <hyperlink ref="O67" r:id="rId55"/>
    <hyperlink ref="O69" r:id="rId56" display="url"/>
    <hyperlink ref="O98" r:id="rId57"/>
    <hyperlink ref="O99" r:id="rId58"/>
    <hyperlink ref="O100" r:id="rId59"/>
    <hyperlink ref="O102" r:id="rId60"/>
    <hyperlink ref="O103" r:id="rId61"/>
    <hyperlink ref="O104" r:id="rId62"/>
    <hyperlink ref="O105" r:id="rId63"/>
    <hyperlink ref="O106" r:id="rId64"/>
    <hyperlink ref="O107" r:id="rId65"/>
    <hyperlink ref="O108" r:id="rId66"/>
    <hyperlink ref="O109" r:id="rId67"/>
    <hyperlink ref="O110" r:id="rId68"/>
    <hyperlink ref="O111" r:id="rId69"/>
    <hyperlink ref="O112" r:id="rId70"/>
    <hyperlink ref="O113" r:id="rId71"/>
    <hyperlink ref="O114" r:id="rId72"/>
    <hyperlink ref="O115" r:id="rId73"/>
    <hyperlink ref="O116" r:id="rId74"/>
    <hyperlink ref="O117" r:id="rId75"/>
    <hyperlink ref="O118" r:id="rId76"/>
    <hyperlink ref="O121" r:id="rId77"/>
    <hyperlink ref="O122" r:id="rId78"/>
    <hyperlink ref="O123" r:id="rId79"/>
    <hyperlink ref="O124" r:id="rId80"/>
    <hyperlink ref="O126" r:id="rId81"/>
    <hyperlink ref="O127" r:id="rId82"/>
    <hyperlink ref="O128" r:id="rId83"/>
    <hyperlink ref="O129" r:id="rId84"/>
    <hyperlink ref="O130" r:id="rId85"/>
    <hyperlink ref="O131" r:id="rId86"/>
    <hyperlink ref="O132" r:id="rId87"/>
    <hyperlink ref="O133" r:id="rId88"/>
    <hyperlink ref="O134" r:id="rId89"/>
    <hyperlink ref="O135" r:id="rId90"/>
    <hyperlink ref="O136" r:id="rId91"/>
    <hyperlink ref="O137" r:id="rId92"/>
    <hyperlink ref="O138" r:id="rId93"/>
    <hyperlink ref="O139" r:id="rId94"/>
    <hyperlink ref="O140" r:id="rId95"/>
    <hyperlink ref="O141" r:id="rId96"/>
    <hyperlink ref="O142" r:id="rId97"/>
    <hyperlink ref="O143" r:id="rId98"/>
    <hyperlink ref="O144" r:id="rId99"/>
    <hyperlink ref="O145" r:id="rId100"/>
    <hyperlink ref="O146" r:id="rId101"/>
    <hyperlink ref="O147" r:id="rId102"/>
    <hyperlink ref="O148" r:id="rId103"/>
    <hyperlink ref="O149" r:id="rId104"/>
    <hyperlink ref="O150" r:id="rId105"/>
    <hyperlink ref="O151" r:id="rId106"/>
    <hyperlink ref="O153" r:id="rId107"/>
    <hyperlink ref="O154" r:id="rId108"/>
    <hyperlink ref="O156" r:id="rId109"/>
    <hyperlink ref="O157" r:id="rId110"/>
    <hyperlink ref="O159" r:id="rId111"/>
    <hyperlink ref="O160" r:id="rId112"/>
    <hyperlink ref="O155" r:id="rId113"/>
    <hyperlink ref="O152" r:id="rId114"/>
    <hyperlink ref="O43" r:id="rId115"/>
    <hyperlink ref="O68" r:id="rId116"/>
    <hyperlink ref="O39" r:id="rId117"/>
    <hyperlink ref="O41" r:id="rId118"/>
    <hyperlink ref="O42" r:id="rId119"/>
    <hyperlink ref="O71" r:id="rId120"/>
    <hyperlink ref="O70" r:id="rId121"/>
    <hyperlink ref="O72" r:id="rId122"/>
    <hyperlink ref="O73" r:id="rId123"/>
    <hyperlink ref="O74" r:id="rId124"/>
    <hyperlink ref="O75" r:id="rId125"/>
    <hyperlink ref="O76" r:id="rId126"/>
    <hyperlink ref="O77" r:id="rId127"/>
    <hyperlink ref="O78" r:id="rId128"/>
    <hyperlink ref="O79" r:id="rId129"/>
    <hyperlink ref="O80" r:id="rId130"/>
    <hyperlink ref="O81" r:id="rId131"/>
    <hyperlink ref="O82" r:id="rId132"/>
    <hyperlink ref="O83" r:id="rId133"/>
    <hyperlink ref="O84" r:id="rId134"/>
    <hyperlink ref="O85" r:id="rId135"/>
    <hyperlink ref="O86" r:id="rId136"/>
    <hyperlink ref="O87" r:id="rId137"/>
    <hyperlink ref="O88" r:id="rId138"/>
    <hyperlink ref="O89" r:id="rId139"/>
    <hyperlink ref="O90" r:id="rId140"/>
    <hyperlink ref="O91" r:id="rId141"/>
    <hyperlink ref="O92" r:id="rId142"/>
    <hyperlink ref="O93" r:id="rId143"/>
    <hyperlink ref="O94" r:id="rId144"/>
    <hyperlink ref="O95" r:id="rId145"/>
    <hyperlink ref="O96" r:id="rId146"/>
  </hyperlinks>
  <pageMargins left="0.7" right="0.7" top="0.75" bottom="0.75" header="0.3" footer="0.3"/>
  <pageSetup paperSize="9" orientation="portrait" r:id="rId1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"/>
  <sheetViews>
    <sheetView tabSelected="1" topLeftCell="D133" workbookViewId="0">
      <selection activeCell="O145" sqref="O145:P145"/>
    </sheetView>
  </sheetViews>
  <sheetFormatPr defaultRowHeight="15"/>
  <cols>
    <col min="2" max="2" width="4" bestFit="1" customWidth="1"/>
    <col min="3" max="3" width="16.85546875" customWidth="1"/>
    <col min="4" max="4" width="33.7109375" customWidth="1"/>
    <col min="5" max="5" width="22.85546875" customWidth="1"/>
    <col min="6" max="6" width="14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8.57031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1.140625" customWidth="1"/>
    <col min="16" max="16" width="18.7109375" bestFit="1" customWidth="1"/>
    <col min="17" max="17" width="19.28515625" bestFit="1" customWidth="1"/>
    <col min="18" max="18" width="14.5703125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8"/>
      <c r="L1" s="58"/>
      <c r="M1" s="58"/>
      <c r="N1" s="58"/>
      <c r="O1" s="58"/>
      <c r="P1" s="58"/>
      <c r="Q1" s="58"/>
      <c r="R1" s="58"/>
    </row>
    <row r="2" spans="1:18" ht="32.25" thickBot="1">
      <c r="A2" s="1"/>
      <c r="B2" s="7"/>
      <c r="C2" s="13"/>
      <c r="D2" s="4" t="s">
        <v>0</v>
      </c>
      <c r="E2" s="4"/>
      <c r="F2" s="40" t="s">
        <v>926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5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6</v>
      </c>
      <c r="D7" s="12" t="s">
        <v>43</v>
      </c>
      <c r="E7" s="12" t="s">
        <v>198</v>
      </c>
      <c r="F7" s="12" t="s">
        <v>347</v>
      </c>
      <c r="G7" s="12" t="s">
        <v>420</v>
      </c>
      <c r="H7" s="12" t="s">
        <v>538</v>
      </c>
      <c r="I7" s="12" t="s">
        <v>788</v>
      </c>
      <c r="J7" s="12" t="s">
        <v>593</v>
      </c>
      <c r="K7" s="12" t="s">
        <v>787</v>
      </c>
      <c r="L7" s="12" t="s">
        <v>784</v>
      </c>
      <c r="M7" s="12" t="s">
        <v>927</v>
      </c>
      <c r="N7" s="12" t="s">
        <v>928</v>
      </c>
      <c r="O7" s="12" t="s">
        <v>791</v>
      </c>
      <c r="P7" s="12" t="s">
        <v>929</v>
      </c>
      <c r="Q7" s="12" t="s">
        <v>930</v>
      </c>
      <c r="R7" s="12" t="s">
        <v>794</v>
      </c>
    </row>
    <row r="8" spans="1:18" s="50" customFormat="1">
      <c r="A8" s="49"/>
      <c r="B8" s="16">
        <f>ROW(B8) - ROW($B$7)</f>
        <v>1</v>
      </c>
      <c r="C8" s="22" t="s">
        <v>7</v>
      </c>
      <c r="D8" s="14" t="s">
        <v>44</v>
      </c>
      <c r="E8" s="14" t="s">
        <v>199</v>
      </c>
      <c r="F8" s="14" t="s">
        <v>348</v>
      </c>
      <c r="G8" s="14" t="s">
        <v>421</v>
      </c>
      <c r="H8" s="14" t="s">
        <v>539</v>
      </c>
      <c r="I8" s="14" t="s">
        <v>626</v>
      </c>
      <c r="J8" s="14" t="s">
        <v>594</v>
      </c>
      <c r="K8" s="43" t="s">
        <v>729</v>
      </c>
      <c r="L8" s="14">
        <v>6</v>
      </c>
      <c r="M8" s="14">
        <f>L8*25</f>
        <v>150</v>
      </c>
      <c r="N8" s="14" t="s">
        <v>893</v>
      </c>
      <c r="O8" s="51" t="s">
        <v>829</v>
      </c>
      <c r="P8" s="15" t="s">
        <v>809</v>
      </c>
      <c r="Q8" s="15">
        <f>P8*N8</f>
        <v>0.76</v>
      </c>
      <c r="R8" s="14"/>
    </row>
    <row r="9" spans="1:18" s="50" customFormat="1">
      <c r="A9" s="49"/>
      <c r="B9" s="17">
        <f t="shared" ref="B9:B161" si="0">ROW(B9) - ROW($B$7)</f>
        <v>2</v>
      </c>
      <c r="C9" s="23" t="s">
        <v>8</v>
      </c>
      <c r="D9" s="20" t="s">
        <v>45</v>
      </c>
      <c r="E9" s="20" t="s">
        <v>200</v>
      </c>
      <c r="F9" s="20" t="s">
        <v>349</v>
      </c>
      <c r="G9" s="20" t="s">
        <v>422</v>
      </c>
      <c r="H9" s="20" t="s">
        <v>539</v>
      </c>
      <c r="I9" s="14" t="s">
        <v>626</v>
      </c>
      <c r="J9" s="20" t="s">
        <v>595</v>
      </c>
      <c r="K9" s="44" t="s">
        <v>730</v>
      </c>
      <c r="L9" s="20">
        <v>3</v>
      </c>
      <c r="M9" s="14">
        <f t="shared" ref="M9:M72" si="1">L9*25</f>
        <v>75</v>
      </c>
      <c r="N9" s="20" t="s">
        <v>841</v>
      </c>
      <c r="O9" s="51" t="s">
        <v>829</v>
      </c>
      <c r="P9" s="21" t="s">
        <v>810</v>
      </c>
      <c r="Q9" s="15">
        <f t="shared" ref="Q9:Q72" si="2">P9*N9</f>
        <v>2.8560000000000003</v>
      </c>
      <c r="R9" s="20"/>
    </row>
    <row r="10" spans="1:18" s="50" customFormat="1">
      <c r="A10" s="49"/>
      <c r="B10" s="16">
        <f>ROW(B10) - ROW($B$7)</f>
        <v>3</v>
      </c>
      <c r="C10" s="22" t="s">
        <v>7</v>
      </c>
      <c r="D10" s="14" t="s">
        <v>46</v>
      </c>
      <c r="E10" s="14" t="s">
        <v>201</v>
      </c>
      <c r="F10" s="14" t="s">
        <v>350</v>
      </c>
      <c r="G10" s="14" t="s">
        <v>423</v>
      </c>
      <c r="H10" s="14" t="s">
        <v>539</v>
      </c>
      <c r="I10" s="14" t="s">
        <v>626</v>
      </c>
      <c r="J10" s="14" t="s">
        <v>596</v>
      </c>
      <c r="K10" s="43" t="s">
        <v>731</v>
      </c>
      <c r="L10" s="14">
        <v>3</v>
      </c>
      <c r="M10" s="14">
        <f t="shared" si="1"/>
        <v>75</v>
      </c>
      <c r="N10" s="14">
        <v>80</v>
      </c>
      <c r="O10" s="51" t="s">
        <v>829</v>
      </c>
      <c r="P10" s="15" t="s">
        <v>934</v>
      </c>
      <c r="Q10" s="15">
        <f t="shared" si="2"/>
        <v>10.4</v>
      </c>
      <c r="R10" s="14"/>
    </row>
    <row r="11" spans="1:18" s="50" customFormat="1" ht="120">
      <c r="A11" s="49"/>
      <c r="B11" s="17">
        <f t="shared" si="0"/>
        <v>4</v>
      </c>
      <c r="C11" s="23" t="s">
        <v>7</v>
      </c>
      <c r="D11" s="20" t="s">
        <v>47</v>
      </c>
      <c r="E11" s="20" t="s">
        <v>202</v>
      </c>
      <c r="F11" s="20" t="s">
        <v>348</v>
      </c>
      <c r="G11" s="20" t="s">
        <v>424</v>
      </c>
      <c r="H11" s="20" t="s">
        <v>539</v>
      </c>
      <c r="I11" s="14" t="s">
        <v>626</v>
      </c>
      <c r="J11" s="20" t="s">
        <v>597</v>
      </c>
      <c r="K11" s="44" t="s">
        <v>732</v>
      </c>
      <c r="L11" s="20">
        <v>78</v>
      </c>
      <c r="M11" s="14">
        <f t="shared" si="1"/>
        <v>1950</v>
      </c>
      <c r="N11" s="20" t="s">
        <v>931</v>
      </c>
      <c r="O11" s="51" t="s">
        <v>829</v>
      </c>
      <c r="P11" s="21" t="s">
        <v>935</v>
      </c>
      <c r="Q11" s="15">
        <f t="shared" si="2"/>
        <v>2.6</v>
      </c>
      <c r="R11" s="20"/>
    </row>
    <row r="12" spans="1:18" s="50" customFormat="1">
      <c r="A12" s="49"/>
      <c r="B12" s="16">
        <f>ROW(B12) - ROW($B$7)</f>
        <v>5</v>
      </c>
      <c r="C12" s="23" t="s">
        <v>7</v>
      </c>
      <c r="D12" s="14" t="s">
        <v>48</v>
      </c>
      <c r="E12" s="14" t="s">
        <v>203</v>
      </c>
      <c r="F12" s="20" t="s">
        <v>348</v>
      </c>
      <c r="G12" s="14" t="s">
        <v>425</v>
      </c>
      <c r="H12" s="14" t="s">
        <v>539</v>
      </c>
      <c r="I12" s="14" t="s">
        <v>626</v>
      </c>
      <c r="J12" s="14" t="s">
        <v>598</v>
      </c>
      <c r="K12" s="44" t="s">
        <v>730</v>
      </c>
      <c r="L12" s="14">
        <v>7</v>
      </c>
      <c r="M12" s="14">
        <f t="shared" si="1"/>
        <v>175</v>
      </c>
      <c r="N12" s="14" t="s">
        <v>893</v>
      </c>
      <c r="O12" s="51" t="s">
        <v>829</v>
      </c>
      <c r="P12" s="15" t="s">
        <v>813</v>
      </c>
      <c r="Q12" s="15">
        <f t="shared" si="2"/>
        <v>3.2199999999999998</v>
      </c>
      <c r="R12" s="14"/>
    </row>
    <row r="13" spans="1:18" s="50" customFormat="1" ht="24">
      <c r="A13" s="49"/>
      <c r="B13" s="17">
        <f t="shared" si="0"/>
        <v>6</v>
      </c>
      <c r="C13" s="23" t="s">
        <v>7</v>
      </c>
      <c r="D13" s="20" t="s">
        <v>49</v>
      </c>
      <c r="E13" s="20" t="s">
        <v>204</v>
      </c>
      <c r="F13" s="14" t="s">
        <v>351</v>
      </c>
      <c r="G13" s="20" t="s">
        <v>426</v>
      </c>
      <c r="H13" s="20" t="s">
        <v>540</v>
      </c>
      <c r="I13" s="14" t="s">
        <v>626</v>
      </c>
      <c r="J13" s="20" t="s">
        <v>599</v>
      </c>
      <c r="K13" s="43" t="s">
        <v>733</v>
      </c>
      <c r="L13" s="20">
        <v>1</v>
      </c>
      <c r="M13" s="14">
        <f t="shared" si="1"/>
        <v>25</v>
      </c>
      <c r="N13" s="20">
        <v>30</v>
      </c>
      <c r="O13" s="51" t="s">
        <v>829</v>
      </c>
      <c r="P13" s="21" t="s">
        <v>814</v>
      </c>
      <c r="Q13" s="15">
        <f t="shared" si="2"/>
        <v>7.3140000000000001</v>
      </c>
      <c r="R13" s="20"/>
    </row>
    <row r="14" spans="1:18" s="50" customFormat="1" ht="48">
      <c r="A14" s="49"/>
      <c r="B14" s="16">
        <f>ROW(B14) - ROW($B$7)</f>
        <v>7</v>
      </c>
      <c r="C14" s="23" t="s">
        <v>7</v>
      </c>
      <c r="D14" s="14" t="s">
        <v>50</v>
      </c>
      <c r="E14" s="14" t="s">
        <v>205</v>
      </c>
      <c r="F14" s="20" t="s">
        <v>786</v>
      </c>
      <c r="G14" s="14" t="s">
        <v>352</v>
      </c>
      <c r="H14" s="14" t="s">
        <v>541</v>
      </c>
      <c r="I14" s="14" t="s">
        <v>626</v>
      </c>
      <c r="J14" s="14" t="s">
        <v>600</v>
      </c>
      <c r="K14" s="44" t="s">
        <v>734</v>
      </c>
      <c r="L14" s="14">
        <v>1</v>
      </c>
      <c r="M14" s="14">
        <f t="shared" si="1"/>
        <v>25</v>
      </c>
      <c r="N14" s="14" t="s">
        <v>830</v>
      </c>
      <c r="O14" s="51" t="s">
        <v>829</v>
      </c>
      <c r="P14" s="15" t="s">
        <v>815</v>
      </c>
      <c r="Q14" s="15">
        <f t="shared" si="2"/>
        <v>1.0920000000000001</v>
      </c>
      <c r="R14" s="14"/>
    </row>
    <row r="15" spans="1:18" s="50" customFormat="1" ht="24">
      <c r="A15" s="49"/>
      <c r="B15" s="17">
        <f t="shared" si="0"/>
        <v>8</v>
      </c>
      <c r="C15" s="23" t="s">
        <v>7</v>
      </c>
      <c r="D15" s="20" t="s">
        <v>51</v>
      </c>
      <c r="E15" s="20" t="s">
        <v>206</v>
      </c>
      <c r="F15" s="14" t="s">
        <v>349</v>
      </c>
      <c r="G15" s="20" t="s">
        <v>427</v>
      </c>
      <c r="H15" s="20" t="s">
        <v>539</v>
      </c>
      <c r="I15" s="14" t="s">
        <v>626</v>
      </c>
      <c r="J15" s="20" t="s">
        <v>601</v>
      </c>
      <c r="K15" s="43" t="s">
        <v>735</v>
      </c>
      <c r="L15" s="20">
        <v>1</v>
      </c>
      <c r="M15" s="14">
        <f t="shared" si="1"/>
        <v>25</v>
      </c>
      <c r="N15" s="20" t="s">
        <v>807</v>
      </c>
      <c r="O15" s="51" t="s">
        <v>829</v>
      </c>
      <c r="P15" s="21" t="s">
        <v>816</v>
      </c>
      <c r="Q15" s="15">
        <f t="shared" si="2"/>
        <v>0.61</v>
      </c>
      <c r="R15" s="20"/>
    </row>
    <row r="16" spans="1:18" s="50" customFormat="1">
      <c r="A16" s="49"/>
      <c r="B16" s="16">
        <f>ROW(B16) - ROW($B$7)</f>
        <v>9</v>
      </c>
      <c r="C16" s="23" t="s">
        <v>7</v>
      </c>
      <c r="D16" s="14" t="s">
        <v>52</v>
      </c>
      <c r="E16" s="14" t="s">
        <v>207</v>
      </c>
      <c r="F16" s="20" t="s">
        <v>349</v>
      </c>
      <c r="G16" s="14" t="s">
        <v>428</v>
      </c>
      <c r="H16" s="14" t="s">
        <v>542</v>
      </c>
      <c r="I16" s="14" t="s">
        <v>626</v>
      </c>
      <c r="J16" s="14" t="s">
        <v>602</v>
      </c>
      <c r="K16" s="44" t="s">
        <v>731</v>
      </c>
      <c r="L16" s="14">
        <v>2</v>
      </c>
      <c r="M16" s="14">
        <f t="shared" si="1"/>
        <v>50</v>
      </c>
      <c r="N16" s="14">
        <v>55</v>
      </c>
      <c r="O16" s="51" t="s">
        <v>829</v>
      </c>
      <c r="P16" s="15" t="s">
        <v>936</v>
      </c>
      <c r="Q16" s="15">
        <f t="shared" si="2"/>
        <v>5.4670000000000005</v>
      </c>
      <c r="R16" s="14"/>
    </row>
    <row r="17" spans="1:18" s="50" customFormat="1">
      <c r="A17" s="49"/>
      <c r="B17" s="17">
        <f t="shared" si="0"/>
        <v>10</v>
      </c>
      <c r="C17" s="23" t="s">
        <v>7</v>
      </c>
      <c r="D17" s="20" t="s">
        <v>53</v>
      </c>
      <c r="E17" s="20" t="s">
        <v>208</v>
      </c>
      <c r="F17" s="14" t="s">
        <v>350</v>
      </c>
      <c r="G17" s="20" t="s">
        <v>429</v>
      </c>
      <c r="H17" s="20" t="s">
        <v>543</v>
      </c>
      <c r="I17" s="14" t="s">
        <v>626</v>
      </c>
      <c r="J17" s="20" t="s">
        <v>603</v>
      </c>
      <c r="K17" s="43" t="s">
        <v>729</v>
      </c>
      <c r="L17" s="20">
        <v>3</v>
      </c>
      <c r="M17" s="14">
        <f t="shared" si="1"/>
        <v>75</v>
      </c>
      <c r="N17" s="20" t="s">
        <v>804</v>
      </c>
      <c r="O17" s="51" t="s">
        <v>829</v>
      </c>
      <c r="P17" s="21" t="s">
        <v>818</v>
      </c>
      <c r="Q17" s="15">
        <f t="shared" si="2"/>
        <v>0.37</v>
      </c>
      <c r="R17" s="20"/>
    </row>
    <row r="18" spans="1:18" s="50" customFormat="1" ht="24">
      <c r="A18" s="49"/>
      <c r="B18" s="16">
        <f>ROW(B18) - ROW($B$7)</f>
        <v>11</v>
      </c>
      <c r="C18" s="23" t="s">
        <v>7</v>
      </c>
      <c r="D18" s="14" t="s">
        <v>54</v>
      </c>
      <c r="E18" s="14" t="s">
        <v>209</v>
      </c>
      <c r="F18" s="20" t="s">
        <v>350</v>
      </c>
      <c r="G18" s="44" t="s">
        <v>799</v>
      </c>
      <c r="H18" s="14" t="s">
        <v>543</v>
      </c>
      <c r="I18" s="14" t="s">
        <v>626</v>
      </c>
      <c r="J18" s="14" t="s">
        <v>604</v>
      </c>
      <c r="K18" s="44" t="s">
        <v>732</v>
      </c>
      <c r="L18" s="14">
        <v>9</v>
      </c>
      <c r="M18" s="14">
        <f t="shared" si="1"/>
        <v>225</v>
      </c>
      <c r="N18" s="14" t="s">
        <v>865</v>
      </c>
      <c r="O18" s="51" t="s">
        <v>829</v>
      </c>
      <c r="P18" s="15" t="s">
        <v>819</v>
      </c>
      <c r="Q18" s="15">
        <f t="shared" si="2"/>
        <v>1.68</v>
      </c>
      <c r="R18" s="14"/>
    </row>
    <row r="19" spans="1:18" s="50" customFormat="1">
      <c r="A19" s="49"/>
      <c r="B19" s="17">
        <f t="shared" si="0"/>
        <v>12</v>
      </c>
      <c r="C19" s="23" t="s">
        <v>7</v>
      </c>
      <c r="D19" s="20" t="s">
        <v>55</v>
      </c>
      <c r="E19" s="20" t="s">
        <v>210</v>
      </c>
      <c r="F19" s="14" t="s">
        <v>353</v>
      </c>
      <c r="G19" s="20" t="s">
        <v>430</v>
      </c>
      <c r="H19" s="20" t="s">
        <v>544</v>
      </c>
      <c r="I19" s="14" t="s">
        <v>626</v>
      </c>
      <c r="J19" s="20" t="s">
        <v>605</v>
      </c>
      <c r="K19" s="43" t="s">
        <v>730</v>
      </c>
      <c r="L19" s="20">
        <v>1</v>
      </c>
      <c r="M19" s="14">
        <f t="shared" si="1"/>
        <v>25</v>
      </c>
      <c r="N19" s="20" t="s">
        <v>932</v>
      </c>
      <c r="O19" s="51" t="s">
        <v>829</v>
      </c>
      <c r="P19" s="21" t="s">
        <v>820</v>
      </c>
      <c r="Q19" s="15">
        <f t="shared" si="2"/>
        <v>1.3199999999999998</v>
      </c>
      <c r="R19" s="20"/>
    </row>
    <row r="20" spans="1:18" s="50" customFormat="1" ht="24">
      <c r="A20" s="49"/>
      <c r="B20" s="16">
        <f>ROW(B20) - ROW($B$7)</f>
        <v>13</v>
      </c>
      <c r="C20" s="23" t="s">
        <v>7</v>
      </c>
      <c r="D20" s="14" t="s">
        <v>56</v>
      </c>
      <c r="E20" s="14" t="s">
        <v>211</v>
      </c>
      <c r="F20" s="20" t="s">
        <v>350</v>
      </c>
      <c r="G20" s="14" t="s">
        <v>431</v>
      </c>
      <c r="H20" s="14" t="s">
        <v>539</v>
      </c>
      <c r="I20" s="14" t="s">
        <v>626</v>
      </c>
      <c r="J20" s="14" t="s">
        <v>606</v>
      </c>
      <c r="K20" s="44" t="s">
        <v>736</v>
      </c>
      <c r="L20" s="14">
        <v>2</v>
      </c>
      <c r="M20" s="14">
        <f t="shared" si="1"/>
        <v>50</v>
      </c>
      <c r="N20" s="14">
        <v>100</v>
      </c>
      <c r="O20" s="51" t="s">
        <v>829</v>
      </c>
      <c r="P20" s="15" t="s">
        <v>821</v>
      </c>
      <c r="Q20" s="15">
        <f t="shared" si="2"/>
        <v>0.74</v>
      </c>
      <c r="R20" s="14"/>
    </row>
    <row r="21" spans="1:18" s="50" customFormat="1">
      <c r="A21" s="49"/>
      <c r="B21" s="17">
        <f t="shared" si="0"/>
        <v>14</v>
      </c>
      <c r="C21" s="23" t="s">
        <v>7</v>
      </c>
      <c r="D21" s="20" t="s">
        <v>57</v>
      </c>
      <c r="E21" s="20" t="s">
        <v>212</v>
      </c>
      <c r="F21" s="14" t="s">
        <v>353</v>
      </c>
      <c r="G21" s="20" t="s">
        <v>432</v>
      </c>
      <c r="H21" s="20" t="s">
        <v>542</v>
      </c>
      <c r="I21" s="14" t="s">
        <v>626</v>
      </c>
      <c r="J21" s="20" t="s">
        <v>607</v>
      </c>
      <c r="K21" s="43" t="s">
        <v>734</v>
      </c>
      <c r="L21" s="20">
        <v>3</v>
      </c>
      <c r="M21" s="14">
        <f t="shared" si="1"/>
        <v>75</v>
      </c>
      <c r="N21" s="20">
        <v>80</v>
      </c>
      <c r="O21" s="51" t="s">
        <v>829</v>
      </c>
      <c r="P21" s="21" t="s">
        <v>937</v>
      </c>
      <c r="Q21" s="15">
        <f t="shared" si="2"/>
        <v>17.951999999999998</v>
      </c>
      <c r="R21" s="20"/>
    </row>
    <row r="22" spans="1:18" s="50" customFormat="1" ht="24">
      <c r="A22" s="49"/>
      <c r="B22" s="16">
        <f>ROW(B22) - ROW($B$7)</f>
        <v>15</v>
      </c>
      <c r="C22" s="23" t="s">
        <v>7</v>
      </c>
      <c r="D22" s="14" t="s">
        <v>58</v>
      </c>
      <c r="E22" s="14" t="s">
        <v>213</v>
      </c>
      <c r="F22" s="20" t="s">
        <v>348</v>
      </c>
      <c r="G22" s="14" t="s">
        <v>433</v>
      </c>
      <c r="H22" s="14" t="s">
        <v>539</v>
      </c>
      <c r="I22" s="14" t="s">
        <v>626</v>
      </c>
      <c r="J22" s="14" t="s">
        <v>608</v>
      </c>
      <c r="K22" s="44" t="s">
        <v>737</v>
      </c>
      <c r="L22" s="14">
        <v>1</v>
      </c>
      <c r="M22" s="14">
        <f t="shared" si="1"/>
        <v>25</v>
      </c>
      <c r="N22" s="14" t="s">
        <v>804</v>
      </c>
      <c r="O22" s="51" t="s">
        <v>829</v>
      </c>
      <c r="P22" s="15" t="s">
        <v>823</v>
      </c>
      <c r="Q22" s="15">
        <f t="shared" si="2"/>
        <v>0.15</v>
      </c>
      <c r="R22" s="14"/>
    </row>
    <row r="23" spans="1:18" s="50" customFormat="1">
      <c r="A23" s="49"/>
      <c r="B23" s="17">
        <f t="shared" si="0"/>
        <v>16</v>
      </c>
      <c r="C23" s="23" t="s">
        <v>7</v>
      </c>
      <c r="D23" s="20" t="s">
        <v>59</v>
      </c>
      <c r="E23" s="20" t="s">
        <v>214</v>
      </c>
      <c r="F23" s="14" t="s">
        <v>349</v>
      </c>
      <c r="G23" s="20" t="s">
        <v>434</v>
      </c>
      <c r="H23" s="20" t="s">
        <v>539</v>
      </c>
      <c r="I23" s="14" t="s">
        <v>626</v>
      </c>
      <c r="J23" s="20" t="s">
        <v>609</v>
      </c>
      <c r="K23" s="43" t="s">
        <v>738</v>
      </c>
      <c r="L23" s="20">
        <v>4</v>
      </c>
      <c r="M23" s="14">
        <f t="shared" si="1"/>
        <v>100</v>
      </c>
      <c r="N23" s="20">
        <v>200</v>
      </c>
      <c r="O23" s="51" t="s">
        <v>829</v>
      </c>
      <c r="P23" s="21" t="s">
        <v>938</v>
      </c>
      <c r="Q23" s="15">
        <f t="shared" si="2"/>
        <v>11.020000000000001</v>
      </c>
      <c r="R23" s="20"/>
    </row>
    <row r="24" spans="1:18" s="50" customFormat="1" ht="24">
      <c r="A24" s="49"/>
      <c r="B24" s="16">
        <f>ROW(B24) - ROW($B$7)</f>
        <v>17</v>
      </c>
      <c r="C24" s="23" t="s">
        <v>7</v>
      </c>
      <c r="D24" s="14" t="s">
        <v>60</v>
      </c>
      <c r="E24" s="14" t="s">
        <v>215</v>
      </c>
      <c r="F24" s="20" t="s">
        <v>353</v>
      </c>
      <c r="G24" s="14" t="s">
        <v>435</v>
      </c>
      <c r="H24" s="14" t="s">
        <v>539</v>
      </c>
      <c r="I24" s="14" t="s">
        <v>626</v>
      </c>
      <c r="J24" s="14" t="s">
        <v>610</v>
      </c>
      <c r="K24" s="44" t="s">
        <v>739</v>
      </c>
      <c r="L24" s="14">
        <v>2</v>
      </c>
      <c r="M24" s="14">
        <f t="shared" si="1"/>
        <v>50</v>
      </c>
      <c r="N24" s="14">
        <v>100</v>
      </c>
      <c r="O24" s="51" t="s">
        <v>829</v>
      </c>
      <c r="P24" s="15" t="s">
        <v>825</v>
      </c>
      <c r="Q24" s="15">
        <f t="shared" si="2"/>
        <v>1.1900000000000002</v>
      </c>
      <c r="R24" s="14"/>
    </row>
    <row r="25" spans="1:18" s="50" customFormat="1" ht="24">
      <c r="A25" s="49"/>
      <c r="B25" s="17">
        <f t="shared" si="0"/>
        <v>18</v>
      </c>
      <c r="C25" s="23" t="s">
        <v>7</v>
      </c>
      <c r="D25" s="20" t="s">
        <v>61</v>
      </c>
      <c r="E25" s="20" t="s">
        <v>216</v>
      </c>
      <c r="F25" s="14" t="s">
        <v>348</v>
      </c>
      <c r="G25" s="20" t="s">
        <v>436</v>
      </c>
      <c r="H25" s="20" t="s">
        <v>539</v>
      </c>
      <c r="I25" s="14" t="s">
        <v>626</v>
      </c>
      <c r="J25" s="20" t="s">
        <v>611</v>
      </c>
      <c r="K25" s="43" t="s">
        <v>740</v>
      </c>
      <c r="L25" s="20">
        <v>1</v>
      </c>
      <c r="M25" s="14">
        <f t="shared" si="1"/>
        <v>25</v>
      </c>
      <c r="N25" s="20" t="s">
        <v>804</v>
      </c>
      <c r="O25" s="51" t="s">
        <v>829</v>
      </c>
      <c r="P25" s="21" t="s">
        <v>826</v>
      </c>
      <c r="Q25" s="15">
        <f t="shared" si="2"/>
        <v>0.1</v>
      </c>
      <c r="R25" s="20"/>
    </row>
    <row r="26" spans="1:18" s="50" customFormat="1" ht="24">
      <c r="A26" s="49"/>
      <c r="B26" s="16">
        <f>ROW(B26) - ROW($B$7)</f>
        <v>19</v>
      </c>
      <c r="C26" s="23" t="s">
        <v>7</v>
      </c>
      <c r="D26" s="14" t="s">
        <v>62</v>
      </c>
      <c r="E26" s="14" t="s">
        <v>217</v>
      </c>
      <c r="F26" s="20" t="s">
        <v>348</v>
      </c>
      <c r="G26" s="14" t="s">
        <v>437</v>
      </c>
      <c r="H26" s="14" t="s">
        <v>539</v>
      </c>
      <c r="I26" s="14" t="s">
        <v>626</v>
      </c>
      <c r="J26" s="14" t="s">
        <v>612</v>
      </c>
      <c r="K26" s="44" t="s">
        <v>741</v>
      </c>
      <c r="L26" s="14">
        <v>1</v>
      </c>
      <c r="M26" s="14">
        <f t="shared" si="1"/>
        <v>25</v>
      </c>
      <c r="N26" s="14" t="s">
        <v>804</v>
      </c>
      <c r="O26" s="51" t="s">
        <v>829</v>
      </c>
      <c r="P26" s="15" t="s">
        <v>827</v>
      </c>
      <c r="Q26" s="15">
        <f t="shared" si="2"/>
        <v>0.11</v>
      </c>
      <c r="R26" s="14"/>
    </row>
    <row r="27" spans="1:18" s="50" customFormat="1" ht="24">
      <c r="A27" s="49"/>
      <c r="B27" s="17">
        <f t="shared" si="0"/>
        <v>20</v>
      </c>
      <c r="C27" s="23" t="s">
        <v>7</v>
      </c>
      <c r="D27" s="20" t="s">
        <v>63</v>
      </c>
      <c r="E27" s="20" t="s">
        <v>218</v>
      </c>
      <c r="F27" s="14" t="s">
        <v>348</v>
      </c>
      <c r="G27" s="20" t="s">
        <v>438</v>
      </c>
      <c r="H27" s="20" t="s">
        <v>539</v>
      </c>
      <c r="I27" s="14" t="s">
        <v>626</v>
      </c>
      <c r="J27" s="20" t="s">
        <v>613</v>
      </c>
      <c r="K27" s="43" t="s">
        <v>742</v>
      </c>
      <c r="L27" s="20">
        <v>1</v>
      </c>
      <c r="M27" s="14">
        <f t="shared" si="1"/>
        <v>25</v>
      </c>
      <c r="N27" s="20" t="s">
        <v>804</v>
      </c>
      <c r="O27" s="51" t="s">
        <v>829</v>
      </c>
      <c r="P27" s="21" t="s">
        <v>826</v>
      </c>
      <c r="Q27" s="15">
        <f t="shared" si="2"/>
        <v>0.1</v>
      </c>
      <c r="R27" s="20"/>
    </row>
    <row r="28" spans="1:18" s="50" customFormat="1" ht="24">
      <c r="A28" s="49"/>
      <c r="B28" s="16">
        <f>ROW(B28) - ROW($B$7)</f>
        <v>21</v>
      </c>
      <c r="C28" s="23" t="s">
        <v>7</v>
      </c>
      <c r="D28" s="46" t="s">
        <v>64</v>
      </c>
      <c r="E28" s="46" t="s">
        <v>219</v>
      </c>
      <c r="F28" s="42" t="s">
        <v>348</v>
      </c>
      <c r="G28" s="46" t="s">
        <v>439</v>
      </c>
      <c r="H28" s="46" t="s">
        <v>542</v>
      </c>
      <c r="I28" s="46" t="s">
        <v>626</v>
      </c>
      <c r="J28" s="46" t="s">
        <v>614</v>
      </c>
      <c r="K28" s="45" t="s">
        <v>743</v>
      </c>
      <c r="L28" s="46">
        <v>2</v>
      </c>
      <c r="M28" s="46">
        <f t="shared" si="1"/>
        <v>50</v>
      </c>
      <c r="N28" s="46" t="s">
        <v>626</v>
      </c>
      <c r="O28" s="46" t="s">
        <v>626</v>
      </c>
      <c r="P28" s="47" t="s">
        <v>626</v>
      </c>
      <c r="Q28" s="15" t="s">
        <v>626</v>
      </c>
      <c r="R28" s="48" t="s">
        <v>795</v>
      </c>
    </row>
    <row r="29" spans="1:18" s="50" customFormat="1">
      <c r="A29" s="49"/>
      <c r="B29" s="17">
        <f t="shared" si="0"/>
        <v>22</v>
      </c>
      <c r="C29" s="23" t="s">
        <v>7</v>
      </c>
      <c r="D29" s="20" t="s">
        <v>65</v>
      </c>
      <c r="E29" s="20" t="s">
        <v>220</v>
      </c>
      <c r="F29" s="14" t="s">
        <v>348</v>
      </c>
      <c r="G29" s="20" t="s">
        <v>440</v>
      </c>
      <c r="H29" s="20" t="s">
        <v>542</v>
      </c>
      <c r="I29" s="20" t="s">
        <v>626</v>
      </c>
      <c r="J29" s="20" t="s">
        <v>615</v>
      </c>
      <c r="K29" s="43" t="s">
        <v>744</v>
      </c>
      <c r="L29" s="20">
        <v>2</v>
      </c>
      <c r="M29" s="14">
        <f t="shared" si="1"/>
        <v>50</v>
      </c>
      <c r="N29" s="14">
        <v>100</v>
      </c>
      <c r="O29" s="51" t="s">
        <v>829</v>
      </c>
      <c r="P29" s="21" t="s">
        <v>831</v>
      </c>
      <c r="Q29" s="15">
        <f t="shared" si="2"/>
        <v>1.76</v>
      </c>
      <c r="R29" s="20"/>
    </row>
    <row r="30" spans="1:18" s="50" customFormat="1" ht="24">
      <c r="A30" s="49"/>
      <c r="B30" s="16">
        <f>ROW(B30) - ROW($B$7)</f>
        <v>23</v>
      </c>
      <c r="C30" s="23" t="s">
        <v>7</v>
      </c>
      <c r="D30" s="14" t="s">
        <v>66</v>
      </c>
      <c r="E30" s="14" t="s">
        <v>221</v>
      </c>
      <c r="F30" s="20" t="s">
        <v>354</v>
      </c>
      <c r="G30" s="14" t="s">
        <v>441</v>
      </c>
      <c r="H30" s="14" t="s">
        <v>539</v>
      </c>
      <c r="I30" s="20" t="s">
        <v>626</v>
      </c>
      <c r="J30" s="14" t="s">
        <v>616</v>
      </c>
      <c r="K30" s="44" t="s">
        <v>745</v>
      </c>
      <c r="L30" s="14">
        <v>4</v>
      </c>
      <c r="M30" s="14">
        <f t="shared" si="1"/>
        <v>100</v>
      </c>
      <c r="N30" s="20">
        <v>200</v>
      </c>
      <c r="O30" s="51" t="s">
        <v>829</v>
      </c>
      <c r="P30" s="15" t="s">
        <v>826</v>
      </c>
      <c r="Q30" s="15">
        <f t="shared" si="2"/>
        <v>0.2</v>
      </c>
      <c r="R30" s="14"/>
    </row>
    <row r="31" spans="1:18" s="50" customFormat="1" ht="48">
      <c r="A31" s="49"/>
      <c r="B31" s="17">
        <f t="shared" si="0"/>
        <v>24</v>
      </c>
      <c r="C31" s="23" t="s">
        <v>7</v>
      </c>
      <c r="D31" s="20" t="s">
        <v>67</v>
      </c>
      <c r="E31" s="20" t="s">
        <v>222</v>
      </c>
      <c r="F31" s="14" t="s">
        <v>348</v>
      </c>
      <c r="G31" s="20" t="s">
        <v>442</v>
      </c>
      <c r="H31" s="20" t="s">
        <v>545</v>
      </c>
      <c r="I31" s="20" t="s">
        <v>626</v>
      </c>
      <c r="J31" s="20" t="s">
        <v>617</v>
      </c>
      <c r="K31" s="43" t="s">
        <v>746</v>
      </c>
      <c r="L31" s="20">
        <v>1</v>
      </c>
      <c r="M31" s="14">
        <f t="shared" si="1"/>
        <v>25</v>
      </c>
      <c r="N31" s="14" t="s">
        <v>804</v>
      </c>
      <c r="O31" s="51" t="s">
        <v>829</v>
      </c>
      <c r="P31" s="21" t="s">
        <v>832</v>
      </c>
      <c r="Q31" s="15">
        <f t="shared" si="2"/>
        <v>0.44</v>
      </c>
      <c r="R31" s="20"/>
    </row>
    <row r="32" spans="1:18" s="50" customFormat="1" ht="24">
      <c r="A32" s="49"/>
      <c r="B32" s="16">
        <f>ROW(B32) - ROW($B$7)</f>
        <v>25</v>
      </c>
      <c r="C32" s="23" t="s">
        <v>7</v>
      </c>
      <c r="D32" s="14" t="s">
        <v>68</v>
      </c>
      <c r="E32" s="14" t="s">
        <v>223</v>
      </c>
      <c r="F32" s="20" t="s">
        <v>348</v>
      </c>
      <c r="G32" s="14" t="s">
        <v>443</v>
      </c>
      <c r="H32" s="14" t="s">
        <v>542</v>
      </c>
      <c r="I32" s="20" t="s">
        <v>626</v>
      </c>
      <c r="J32" s="14" t="s">
        <v>618</v>
      </c>
      <c r="K32" s="44" t="s">
        <v>747</v>
      </c>
      <c r="L32" s="14">
        <v>8</v>
      </c>
      <c r="M32" s="14">
        <f t="shared" si="1"/>
        <v>200</v>
      </c>
      <c r="N32" s="20">
        <v>300</v>
      </c>
      <c r="O32" s="51" t="s">
        <v>829</v>
      </c>
      <c r="P32" s="15" t="s">
        <v>833</v>
      </c>
      <c r="Q32" s="15">
        <f t="shared" si="2"/>
        <v>0.6</v>
      </c>
      <c r="R32" s="14"/>
    </row>
    <row r="33" spans="1:18" s="50" customFormat="1" ht="24">
      <c r="A33" s="49"/>
      <c r="B33" s="17">
        <f t="shared" si="0"/>
        <v>26</v>
      </c>
      <c r="C33" s="22" t="s">
        <v>7</v>
      </c>
      <c r="D33" s="20" t="s">
        <v>69</v>
      </c>
      <c r="E33" s="20" t="s">
        <v>224</v>
      </c>
      <c r="F33" s="14" t="s">
        <v>348</v>
      </c>
      <c r="G33" s="20" t="s">
        <v>444</v>
      </c>
      <c r="H33" s="20" t="s">
        <v>539</v>
      </c>
      <c r="I33" s="20" t="s">
        <v>626</v>
      </c>
      <c r="J33" s="20" t="s">
        <v>619</v>
      </c>
      <c r="K33" s="43" t="s">
        <v>735</v>
      </c>
      <c r="L33" s="20">
        <v>2</v>
      </c>
      <c r="M33" s="14">
        <f t="shared" si="1"/>
        <v>50</v>
      </c>
      <c r="N33" s="14" t="s">
        <v>804</v>
      </c>
      <c r="O33" s="51" t="s">
        <v>829</v>
      </c>
      <c r="P33" s="21" t="s">
        <v>834</v>
      </c>
      <c r="Q33" s="15">
        <f t="shared" si="2"/>
        <v>0.27999999999999997</v>
      </c>
      <c r="R33" s="20"/>
    </row>
    <row r="34" spans="1:18" s="50" customFormat="1" ht="24">
      <c r="A34" s="49"/>
      <c r="B34" s="16">
        <f>ROW(B34) - ROW($B$7)</f>
        <v>27</v>
      </c>
      <c r="C34" s="22" t="s">
        <v>7</v>
      </c>
      <c r="D34" s="14" t="s">
        <v>70</v>
      </c>
      <c r="E34" s="14" t="s">
        <v>225</v>
      </c>
      <c r="F34" s="14" t="s">
        <v>348</v>
      </c>
      <c r="G34" s="14" t="s">
        <v>445</v>
      </c>
      <c r="H34" s="14" t="s">
        <v>539</v>
      </c>
      <c r="I34" s="20" t="s">
        <v>626</v>
      </c>
      <c r="J34" s="14" t="s">
        <v>620</v>
      </c>
      <c r="K34" s="43" t="s">
        <v>748</v>
      </c>
      <c r="L34" s="14">
        <v>2</v>
      </c>
      <c r="M34" s="14">
        <f t="shared" si="1"/>
        <v>50</v>
      </c>
      <c r="N34" s="20" t="s">
        <v>804</v>
      </c>
      <c r="O34" s="51" t="s">
        <v>829</v>
      </c>
      <c r="P34" s="15" t="s">
        <v>835</v>
      </c>
      <c r="Q34" s="15">
        <f t="shared" si="2"/>
        <v>0.21</v>
      </c>
      <c r="R34" s="14"/>
    </row>
    <row r="35" spans="1:18" s="50" customFormat="1">
      <c r="A35" s="49"/>
      <c r="B35" s="17">
        <f t="shared" si="0"/>
        <v>28</v>
      </c>
      <c r="C35" s="23" t="s">
        <v>7</v>
      </c>
      <c r="D35" s="20" t="s">
        <v>71</v>
      </c>
      <c r="E35" s="20" t="s">
        <v>226</v>
      </c>
      <c r="F35" s="20" t="s">
        <v>349</v>
      </c>
      <c r="G35" s="20" t="s">
        <v>446</v>
      </c>
      <c r="H35" s="20" t="s">
        <v>544</v>
      </c>
      <c r="I35" s="20" t="s">
        <v>626</v>
      </c>
      <c r="J35" s="20" t="s">
        <v>621</v>
      </c>
      <c r="K35" s="44" t="s">
        <v>731</v>
      </c>
      <c r="L35" s="20">
        <v>3</v>
      </c>
      <c r="M35" s="14">
        <f t="shared" si="1"/>
        <v>75</v>
      </c>
      <c r="N35" s="14" t="s">
        <v>841</v>
      </c>
      <c r="O35" s="51" t="s">
        <v>829</v>
      </c>
      <c r="P35" s="21" t="s">
        <v>836</v>
      </c>
      <c r="Q35" s="15">
        <f t="shared" si="2"/>
        <v>4.16</v>
      </c>
      <c r="R35" s="20"/>
    </row>
    <row r="36" spans="1:18" s="50" customFormat="1" ht="24">
      <c r="A36" s="49"/>
      <c r="B36" s="16">
        <f>ROW(B36) - ROW($B$7)</f>
        <v>29</v>
      </c>
      <c r="C36" s="22" t="s">
        <v>9</v>
      </c>
      <c r="D36" s="14" t="s">
        <v>72</v>
      </c>
      <c r="E36" s="14" t="s">
        <v>227</v>
      </c>
      <c r="F36" s="14" t="s">
        <v>355</v>
      </c>
      <c r="G36" s="14" t="s">
        <v>447</v>
      </c>
      <c r="H36" s="14" t="s">
        <v>546</v>
      </c>
      <c r="I36" s="20" t="s">
        <v>626</v>
      </c>
      <c r="J36" s="14" t="s">
        <v>622</v>
      </c>
      <c r="K36" s="43" t="s">
        <v>626</v>
      </c>
      <c r="L36" s="14">
        <v>8</v>
      </c>
      <c r="M36" s="14">
        <f t="shared" si="1"/>
        <v>200</v>
      </c>
      <c r="N36" s="20">
        <v>250</v>
      </c>
      <c r="O36" s="51" t="s">
        <v>829</v>
      </c>
      <c r="P36" s="15" t="s">
        <v>837</v>
      </c>
      <c r="Q36" s="15">
        <f t="shared" si="2"/>
        <v>3.5</v>
      </c>
      <c r="R36" s="14"/>
    </row>
    <row r="37" spans="1:18" s="50" customFormat="1" ht="24">
      <c r="A37" s="49"/>
      <c r="B37" s="17">
        <f t="shared" si="0"/>
        <v>30</v>
      </c>
      <c r="C37" s="23" t="s">
        <v>10</v>
      </c>
      <c r="D37" s="20" t="s">
        <v>73</v>
      </c>
      <c r="E37" s="20" t="s">
        <v>228</v>
      </c>
      <c r="F37" s="20" t="s">
        <v>356</v>
      </c>
      <c r="G37" s="20" t="s">
        <v>448</v>
      </c>
      <c r="H37" s="20" t="s">
        <v>547</v>
      </c>
      <c r="I37" s="20" t="s">
        <v>626</v>
      </c>
      <c r="J37" s="20" t="s">
        <v>623</v>
      </c>
      <c r="K37" s="43" t="s">
        <v>626</v>
      </c>
      <c r="L37" s="20">
        <v>8</v>
      </c>
      <c r="M37" s="14">
        <f t="shared" si="1"/>
        <v>200</v>
      </c>
      <c r="N37" s="14">
        <v>205</v>
      </c>
      <c r="O37" s="51" t="s">
        <v>829</v>
      </c>
      <c r="P37" s="21" t="s">
        <v>933</v>
      </c>
      <c r="Q37" s="15">
        <f t="shared" si="2"/>
        <v>18.593499999999999</v>
      </c>
      <c r="R37" s="20"/>
    </row>
    <row r="38" spans="1:18" s="50" customFormat="1" ht="24">
      <c r="A38" s="49"/>
      <c r="B38" s="16">
        <f>ROW(B38) - ROW($B$7)</f>
        <v>31</v>
      </c>
      <c r="C38" s="22" t="s">
        <v>9</v>
      </c>
      <c r="D38" s="14" t="s">
        <v>74</v>
      </c>
      <c r="E38" s="14" t="s">
        <v>229</v>
      </c>
      <c r="F38" s="14" t="s">
        <v>357</v>
      </c>
      <c r="G38" s="14" t="s">
        <v>449</v>
      </c>
      <c r="H38" s="14" t="s">
        <v>546</v>
      </c>
      <c r="I38" s="20" t="s">
        <v>626</v>
      </c>
      <c r="J38" s="14" t="s">
        <v>624</v>
      </c>
      <c r="K38" s="43" t="s">
        <v>626</v>
      </c>
      <c r="L38" s="14">
        <v>1</v>
      </c>
      <c r="M38" s="14">
        <f t="shared" si="1"/>
        <v>25</v>
      </c>
      <c r="N38" s="20">
        <v>30</v>
      </c>
      <c r="O38" s="51" t="s">
        <v>829</v>
      </c>
      <c r="P38" s="15" t="s">
        <v>839</v>
      </c>
      <c r="Q38" s="15">
        <f t="shared" si="2"/>
        <v>3.8489999999999998</v>
      </c>
      <c r="R38" s="14"/>
    </row>
    <row r="39" spans="1:18" s="50" customFormat="1" ht="36">
      <c r="A39" s="49"/>
      <c r="B39" s="17">
        <f t="shared" si="0"/>
        <v>32</v>
      </c>
      <c r="C39" s="23" t="s">
        <v>11</v>
      </c>
      <c r="D39" s="20" t="s">
        <v>75</v>
      </c>
      <c r="E39" s="20" t="s">
        <v>230</v>
      </c>
      <c r="F39" s="20" t="s">
        <v>355</v>
      </c>
      <c r="G39" s="20" t="s">
        <v>450</v>
      </c>
      <c r="H39" s="20" t="s">
        <v>548</v>
      </c>
      <c r="I39" s="20" t="s">
        <v>626</v>
      </c>
      <c r="J39" s="20" t="s">
        <v>626</v>
      </c>
      <c r="K39" s="43" t="s">
        <v>626</v>
      </c>
      <c r="L39" s="20">
        <v>1</v>
      </c>
      <c r="M39" s="14">
        <f t="shared" si="1"/>
        <v>25</v>
      </c>
      <c r="N39" s="14">
        <v>30</v>
      </c>
      <c r="O39" s="51" t="s">
        <v>980</v>
      </c>
      <c r="P39" s="21">
        <v>0.35</v>
      </c>
      <c r="Q39" s="15">
        <f t="shared" si="2"/>
        <v>10.5</v>
      </c>
      <c r="R39" s="20"/>
    </row>
    <row r="40" spans="1:18" s="50" customFormat="1" ht="24">
      <c r="A40" s="49"/>
      <c r="B40" s="16">
        <f>ROW(B40) - ROW($B$7)</f>
        <v>33</v>
      </c>
      <c r="C40" s="22" t="s">
        <v>10</v>
      </c>
      <c r="D40" s="14" t="s">
        <v>76</v>
      </c>
      <c r="E40" s="14" t="s">
        <v>231</v>
      </c>
      <c r="F40" s="14" t="s">
        <v>357</v>
      </c>
      <c r="G40" s="14" t="s">
        <v>451</v>
      </c>
      <c r="H40" s="14" t="s">
        <v>546</v>
      </c>
      <c r="I40" s="20" t="s">
        <v>626</v>
      </c>
      <c r="J40" s="14" t="s">
        <v>625</v>
      </c>
      <c r="K40" s="43" t="s">
        <v>626</v>
      </c>
      <c r="L40" s="14">
        <v>1</v>
      </c>
      <c r="M40" s="14">
        <f t="shared" si="1"/>
        <v>25</v>
      </c>
      <c r="N40" s="20">
        <v>30</v>
      </c>
      <c r="O40" s="51" t="s">
        <v>829</v>
      </c>
      <c r="P40" s="15" t="s">
        <v>840</v>
      </c>
      <c r="Q40" s="15">
        <f t="shared" si="2"/>
        <v>4.1550000000000002</v>
      </c>
      <c r="R40" s="14"/>
    </row>
    <row r="41" spans="1:18" s="50" customFormat="1" ht="36">
      <c r="A41" s="49"/>
      <c r="B41" s="17">
        <f t="shared" si="0"/>
        <v>34</v>
      </c>
      <c r="C41" s="23" t="s">
        <v>11</v>
      </c>
      <c r="D41" s="20" t="s">
        <v>77</v>
      </c>
      <c r="E41" s="20" t="s">
        <v>232</v>
      </c>
      <c r="F41" s="20" t="s">
        <v>355</v>
      </c>
      <c r="G41" s="20" t="s">
        <v>452</v>
      </c>
      <c r="H41" s="20" t="s">
        <v>548</v>
      </c>
      <c r="I41" s="20" t="s">
        <v>626</v>
      </c>
      <c r="J41" s="20" t="s">
        <v>626</v>
      </c>
      <c r="K41" s="43" t="s">
        <v>626</v>
      </c>
      <c r="L41" s="20">
        <v>5</v>
      </c>
      <c r="M41" s="14">
        <f t="shared" si="1"/>
        <v>125</v>
      </c>
      <c r="N41" s="14">
        <v>130</v>
      </c>
      <c r="O41" s="51" t="s">
        <v>980</v>
      </c>
      <c r="P41" s="21">
        <v>0.35</v>
      </c>
      <c r="Q41" s="15">
        <f t="shared" si="2"/>
        <v>45.5</v>
      </c>
      <c r="R41" s="20"/>
    </row>
    <row r="42" spans="1:18" s="50" customFormat="1" ht="24">
      <c r="A42" s="49"/>
      <c r="B42" s="16">
        <f>ROW(B42) - ROW($B$7)</f>
        <v>35</v>
      </c>
      <c r="C42" s="22" t="s">
        <v>9</v>
      </c>
      <c r="D42" s="14" t="s">
        <v>78</v>
      </c>
      <c r="E42" s="14" t="s">
        <v>233</v>
      </c>
      <c r="F42" s="14" t="s">
        <v>355</v>
      </c>
      <c r="G42" s="14" t="s">
        <v>453</v>
      </c>
      <c r="H42" s="14" t="s">
        <v>549</v>
      </c>
      <c r="I42" s="20" t="s">
        <v>626</v>
      </c>
      <c r="J42" s="14" t="s">
        <v>626</v>
      </c>
      <c r="K42" s="43" t="s">
        <v>626</v>
      </c>
      <c r="L42" s="14">
        <v>13</v>
      </c>
      <c r="M42" s="14">
        <f t="shared" si="1"/>
        <v>325</v>
      </c>
      <c r="N42" s="14">
        <v>330</v>
      </c>
      <c r="O42" s="51" t="s">
        <v>980</v>
      </c>
      <c r="P42" s="15">
        <v>0.35</v>
      </c>
      <c r="Q42" s="15">
        <f t="shared" si="2"/>
        <v>115.49999999999999</v>
      </c>
      <c r="R42" s="14"/>
    </row>
    <row r="43" spans="1:18" s="50" customFormat="1" ht="24">
      <c r="A43" s="49"/>
      <c r="B43" s="17">
        <f t="shared" si="0"/>
        <v>36</v>
      </c>
      <c r="C43" s="23" t="s">
        <v>11</v>
      </c>
      <c r="D43" s="20" t="s">
        <v>79</v>
      </c>
      <c r="E43" s="20" t="s">
        <v>234</v>
      </c>
      <c r="F43" s="20" t="s">
        <v>358</v>
      </c>
      <c r="G43" s="20" t="s">
        <v>454</v>
      </c>
      <c r="H43" s="20" t="s">
        <v>550</v>
      </c>
      <c r="I43" s="20" t="s">
        <v>626</v>
      </c>
      <c r="J43" s="20" t="s">
        <v>626</v>
      </c>
      <c r="K43" s="43" t="s">
        <v>626</v>
      </c>
      <c r="L43" s="20">
        <v>5</v>
      </c>
      <c r="M43" s="14">
        <f t="shared" si="1"/>
        <v>125</v>
      </c>
      <c r="N43" s="20">
        <v>130</v>
      </c>
      <c r="O43" s="51" t="s">
        <v>923</v>
      </c>
      <c r="P43" s="21">
        <v>4.2840000000000003E-2</v>
      </c>
      <c r="Q43" s="15">
        <f t="shared" si="2"/>
        <v>5.5692000000000004</v>
      </c>
      <c r="R43" s="20"/>
    </row>
    <row r="44" spans="1:18" s="50" customFormat="1" ht="24">
      <c r="A44" s="49"/>
      <c r="B44" s="16">
        <f>ROW(B44) - ROW($B$7)</f>
        <v>37</v>
      </c>
      <c r="C44" s="22" t="s">
        <v>10</v>
      </c>
      <c r="D44" s="14" t="s">
        <v>80</v>
      </c>
      <c r="E44" s="14" t="s">
        <v>235</v>
      </c>
      <c r="F44" s="14" t="s">
        <v>359</v>
      </c>
      <c r="G44" s="14" t="s">
        <v>455</v>
      </c>
      <c r="H44" s="14" t="s">
        <v>551</v>
      </c>
      <c r="I44" s="20" t="s">
        <v>626</v>
      </c>
      <c r="J44" s="14" t="s">
        <v>627</v>
      </c>
      <c r="K44" s="43" t="s">
        <v>626</v>
      </c>
      <c r="L44" s="14">
        <v>1</v>
      </c>
      <c r="M44" s="14">
        <f t="shared" si="1"/>
        <v>25</v>
      </c>
      <c r="N44" s="14">
        <v>30</v>
      </c>
      <c r="O44" s="51" t="s">
        <v>829</v>
      </c>
      <c r="P44" s="15" t="s">
        <v>843</v>
      </c>
      <c r="Q44" s="15">
        <f t="shared" si="2"/>
        <v>4.3019999999999996</v>
      </c>
      <c r="R44" s="14"/>
    </row>
    <row r="45" spans="1:18" s="50" customFormat="1" ht="24">
      <c r="A45" s="49"/>
      <c r="B45" s="17">
        <f t="shared" si="0"/>
        <v>38</v>
      </c>
      <c r="C45" s="23" t="s">
        <v>10</v>
      </c>
      <c r="D45" s="20" t="s">
        <v>81</v>
      </c>
      <c r="E45" s="20" t="s">
        <v>236</v>
      </c>
      <c r="F45" s="20" t="s">
        <v>360</v>
      </c>
      <c r="G45" s="20" t="s">
        <v>456</v>
      </c>
      <c r="H45" s="20" t="s">
        <v>551</v>
      </c>
      <c r="I45" s="20" t="s">
        <v>626</v>
      </c>
      <c r="J45" s="20" t="s">
        <v>628</v>
      </c>
      <c r="K45" s="43" t="s">
        <v>626</v>
      </c>
      <c r="L45" s="20">
        <v>1</v>
      </c>
      <c r="M45" s="14">
        <f t="shared" si="1"/>
        <v>25</v>
      </c>
      <c r="N45" s="20">
        <v>30</v>
      </c>
      <c r="O45" s="51" t="s">
        <v>829</v>
      </c>
      <c r="P45" s="21" t="s">
        <v>844</v>
      </c>
      <c r="Q45" s="15">
        <f t="shared" si="2"/>
        <v>4.9470000000000001</v>
      </c>
      <c r="R45" s="20"/>
    </row>
    <row r="46" spans="1:18" s="50" customFormat="1" ht="24">
      <c r="A46" s="49"/>
      <c r="B46" s="16">
        <f>ROW(B46) - ROW($B$7)</f>
        <v>39</v>
      </c>
      <c r="C46" s="23" t="s">
        <v>10</v>
      </c>
      <c r="D46" s="14" t="s">
        <v>82</v>
      </c>
      <c r="E46" s="14" t="s">
        <v>237</v>
      </c>
      <c r="F46" s="14" t="s">
        <v>361</v>
      </c>
      <c r="G46" s="14" t="s">
        <v>457</v>
      </c>
      <c r="H46" s="14" t="s">
        <v>551</v>
      </c>
      <c r="I46" s="20" t="s">
        <v>626</v>
      </c>
      <c r="J46" s="14" t="s">
        <v>800</v>
      </c>
      <c r="K46" s="43" t="s">
        <v>626</v>
      </c>
      <c r="L46" s="14">
        <v>1</v>
      </c>
      <c r="M46" s="14">
        <f t="shared" si="1"/>
        <v>25</v>
      </c>
      <c r="N46" s="14" t="s">
        <v>932</v>
      </c>
      <c r="O46" s="51" t="s">
        <v>829</v>
      </c>
      <c r="P46" s="15" t="s">
        <v>845</v>
      </c>
      <c r="Q46" s="15">
        <f t="shared" si="2"/>
        <v>1.3980000000000001</v>
      </c>
      <c r="R46" s="14"/>
    </row>
    <row r="47" spans="1:18" s="50" customFormat="1">
      <c r="A47" s="49"/>
      <c r="B47" s="17">
        <f t="shared" si="0"/>
        <v>40</v>
      </c>
      <c r="C47" s="23" t="s">
        <v>9</v>
      </c>
      <c r="D47" s="20" t="s">
        <v>83</v>
      </c>
      <c r="E47" s="20" t="s">
        <v>238</v>
      </c>
      <c r="F47" s="20" t="s">
        <v>356</v>
      </c>
      <c r="G47" s="20" t="s">
        <v>458</v>
      </c>
      <c r="H47" s="20" t="s">
        <v>552</v>
      </c>
      <c r="I47" s="20" t="s">
        <v>626</v>
      </c>
      <c r="J47" s="20" t="s">
        <v>629</v>
      </c>
      <c r="K47" s="43" t="s">
        <v>626</v>
      </c>
      <c r="L47" s="20">
        <v>3</v>
      </c>
      <c r="M47" s="14">
        <f t="shared" si="1"/>
        <v>75</v>
      </c>
      <c r="N47" s="20" t="s">
        <v>841</v>
      </c>
      <c r="O47" s="51" t="s">
        <v>829</v>
      </c>
      <c r="P47" s="21" t="s">
        <v>846</v>
      </c>
      <c r="Q47" s="15">
        <f t="shared" si="2"/>
        <v>2.7519999999999998</v>
      </c>
      <c r="R47" s="20"/>
    </row>
    <row r="48" spans="1:18" s="50" customFormat="1" ht="36">
      <c r="A48" s="49"/>
      <c r="B48" s="16">
        <f>ROW(B48) - ROW($B$7)</f>
        <v>41</v>
      </c>
      <c r="C48" s="22" t="s">
        <v>12</v>
      </c>
      <c r="D48" s="14" t="s">
        <v>84</v>
      </c>
      <c r="E48" s="14" t="s">
        <v>239</v>
      </c>
      <c r="F48" s="14" t="s">
        <v>362</v>
      </c>
      <c r="G48" s="14" t="s">
        <v>459</v>
      </c>
      <c r="H48" s="14" t="s">
        <v>553</v>
      </c>
      <c r="I48" s="20" t="s">
        <v>626</v>
      </c>
      <c r="J48" s="14" t="s">
        <v>630</v>
      </c>
      <c r="K48" s="43" t="s">
        <v>626</v>
      </c>
      <c r="L48" s="14">
        <v>4</v>
      </c>
      <c r="M48" s="14">
        <f t="shared" si="1"/>
        <v>100</v>
      </c>
      <c r="N48" s="14">
        <v>150</v>
      </c>
      <c r="O48" s="51" t="s">
        <v>829</v>
      </c>
      <c r="P48" s="15" t="s">
        <v>847</v>
      </c>
      <c r="Q48" s="15">
        <f t="shared" si="2"/>
        <v>2.7899999999999996</v>
      </c>
      <c r="R48" s="14"/>
    </row>
    <row r="49" spans="1:18" s="50" customFormat="1">
      <c r="A49" s="49"/>
      <c r="B49" s="17">
        <f t="shared" si="0"/>
        <v>42</v>
      </c>
      <c r="C49" s="23" t="s">
        <v>13</v>
      </c>
      <c r="D49" s="20" t="s">
        <v>85</v>
      </c>
      <c r="E49" s="20" t="s">
        <v>240</v>
      </c>
      <c r="F49" s="20" t="s">
        <v>362</v>
      </c>
      <c r="G49" s="20" t="s">
        <v>460</v>
      </c>
      <c r="H49" s="20" t="s">
        <v>554</v>
      </c>
      <c r="I49" s="20" t="s">
        <v>626</v>
      </c>
      <c r="J49" s="20" t="s">
        <v>631</v>
      </c>
      <c r="K49" s="43" t="s">
        <v>626</v>
      </c>
      <c r="L49" s="20">
        <v>4</v>
      </c>
      <c r="M49" s="14">
        <f t="shared" si="1"/>
        <v>100</v>
      </c>
      <c r="N49" s="20">
        <v>105</v>
      </c>
      <c r="O49" s="51" t="s">
        <v>829</v>
      </c>
      <c r="P49" s="21" t="s">
        <v>940</v>
      </c>
      <c r="Q49" s="15">
        <f t="shared" si="2"/>
        <v>15.288</v>
      </c>
      <c r="R49" s="20"/>
    </row>
    <row r="50" spans="1:18" s="50" customFormat="1" ht="36">
      <c r="A50" s="49"/>
      <c r="B50" s="16">
        <f>ROW(B50) - ROW($B$7)</f>
        <v>43</v>
      </c>
      <c r="C50" s="22" t="s">
        <v>9</v>
      </c>
      <c r="D50" s="14" t="s">
        <v>86</v>
      </c>
      <c r="E50" s="14" t="s">
        <v>241</v>
      </c>
      <c r="F50" s="14" t="s">
        <v>363</v>
      </c>
      <c r="G50" s="14" t="s">
        <v>461</v>
      </c>
      <c r="H50" s="14" t="s">
        <v>555</v>
      </c>
      <c r="I50" s="20" t="s">
        <v>626</v>
      </c>
      <c r="J50" s="14" t="s">
        <v>632</v>
      </c>
      <c r="K50" s="43" t="s">
        <v>626</v>
      </c>
      <c r="L50" s="14">
        <v>16</v>
      </c>
      <c r="M50" s="14">
        <f t="shared" si="1"/>
        <v>400</v>
      </c>
      <c r="N50" s="14">
        <v>401</v>
      </c>
      <c r="O50" s="51" t="s">
        <v>924</v>
      </c>
      <c r="P50" s="15">
        <v>3.3599999999999998E-2</v>
      </c>
      <c r="Q50" s="15">
        <f t="shared" si="2"/>
        <v>13.473599999999999</v>
      </c>
      <c r="R50" s="14"/>
    </row>
    <row r="51" spans="1:18" s="50" customFormat="1" ht="24">
      <c r="A51" s="49"/>
      <c r="B51" s="17">
        <f t="shared" si="0"/>
        <v>44</v>
      </c>
      <c r="C51" s="23" t="s">
        <v>9</v>
      </c>
      <c r="D51" s="20" t="s">
        <v>87</v>
      </c>
      <c r="E51" s="20" t="s">
        <v>242</v>
      </c>
      <c r="F51" s="20" t="s">
        <v>355</v>
      </c>
      <c r="G51" s="20" t="s">
        <v>462</v>
      </c>
      <c r="H51" s="20" t="s">
        <v>546</v>
      </c>
      <c r="I51" s="20" t="s">
        <v>626</v>
      </c>
      <c r="J51" s="20" t="s">
        <v>633</v>
      </c>
      <c r="K51" s="43" t="s">
        <v>626</v>
      </c>
      <c r="L51" s="20">
        <v>1</v>
      </c>
      <c r="M51" s="14">
        <f t="shared" si="1"/>
        <v>25</v>
      </c>
      <c r="N51" s="20" t="s">
        <v>830</v>
      </c>
      <c r="O51" s="51" t="s">
        <v>829</v>
      </c>
      <c r="P51" s="21" t="s">
        <v>849</v>
      </c>
      <c r="Q51" s="15">
        <f t="shared" si="2"/>
        <v>1.0640000000000001</v>
      </c>
      <c r="R51" s="20"/>
    </row>
    <row r="52" spans="1:18" s="50" customFormat="1">
      <c r="A52" s="49"/>
      <c r="B52" s="16">
        <f>ROW(B52) - ROW($B$7)</f>
        <v>45</v>
      </c>
      <c r="C52" s="22" t="s">
        <v>14</v>
      </c>
      <c r="D52" s="14" t="s">
        <v>88</v>
      </c>
      <c r="E52" s="14" t="s">
        <v>243</v>
      </c>
      <c r="F52" s="14" t="s">
        <v>364</v>
      </c>
      <c r="G52" s="14" t="s">
        <v>463</v>
      </c>
      <c r="H52" s="14" t="s">
        <v>556</v>
      </c>
      <c r="I52" s="20" t="s">
        <v>626</v>
      </c>
      <c r="J52" s="14" t="s">
        <v>634</v>
      </c>
      <c r="K52" s="43" t="s">
        <v>626</v>
      </c>
      <c r="L52" s="14">
        <v>1</v>
      </c>
      <c r="M52" s="14">
        <f t="shared" si="1"/>
        <v>25</v>
      </c>
      <c r="N52" s="14">
        <v>30</v>
      </c>
      <c r="O52" s="51" t="s">
        <v>829</v>
      </c>
      <c r="P52" s="15" t="s">
        <v>850</v>
      </c>
      <c r="Q52" s="15">
        <f t="shared" si="2"/>
        <v>24.233999999999998</v>
      </c>
      <c r="R52" s="14"/>
    </row>
    <row r="53" spans="1:18" s="50" customFormat="1" ht="24">
      <c r="A53" s="49"/>
      <c r="B53" s="17">
        <f t="shared" si="0"/>
        <v>46</v>
      </c>
      <c r="C53" s="23" t="s">
        <v>15</v>
      </c>
      <c r="D53" s="20" t="s">
        <v>89</v>
      </c>
      <c r="E53" s="20" t="s">
        <v>244</v>
      </c>
      <c r="F53" s="20" t="s">
        <v>365</v>
      </c>
      <c r="G53" s="20" t="s">
        <v>464</v>
      </c>
      <c r="H53" s="20" t="s">
        <v>557</v>
      </c>
      <c r="I53" s="20" t="s">
        <v>626</v>
      </c>
      <c r="J53" s="20" t="s">
        <v>635</v>
      </c>
      <c r="K53" s="43" t="s">
        <v>626</v>
      </c>
      <c r="L53" s="20">
        <v>1</v>
      </c>
      <c r="M53" s="14">
        <f t="shared" si="1"/>
        <v>25</v>
      </c>
      <c r="N53" s="20" t="s">
        <v>830</v>
      </c>
      <c r="O53" s="51" t="s">
        <v>829</v>
      </c>
      <c r="P53" s="21" t="s">
        <v>851</v>
      </c>
      <c r="Q53" s="15">
        <f t="shared" si="2"/>
        <v>1.48</v>
      </c>
      <c r="R53" s="20"/>
    </row>
    <row r="54" spans="1:18" s="50" customFormat="1" ht="24">
      <c r="A54" s="49"/>
      <c r="B54" s="16">
        <f>ROW(B54) - ROW($B$7)</f>
        <v>47</v>
      </c>
      <c r="C54" s="22" t="s">
        <v>16</v>
      </c>
      <c r="D54" s="14" t="s">
        <v>90</v>
      </c>
      <c r="E54" s="14" t="s">
        <v>245</v>
      </c>
      <c r="F54" s="14" t="s">
        <v>366</v>
      </c>
      <c r="G54" s="14" t="s">
        <v>465</v>
      </c>
      <c r="H54" s="14" t="s">
        <v>542</v>
      </c>
      <c r="I54" s="20" t="s">
        <v>626</v>
      </c>
      <c r="J54" s="14" t="s">
        <v>636</v>
      </c>
      <c r="K54" s="43" t="s">
        <v>626</v>
      </c>
      <c r="L54" s="14">
        <v>5</v>
      </c>
      <c r="M54" s="14">
        <f t="shared" si="1"/>
        <v>125</v>
      </c>
      <c r="N54" s="14" t="s">
        <v>893</v>
      </c>
      <c r="O54" s="51" t="s">
        <v>829</v>
      </c>
      <c r="P54" s="15" t="s">
        <v>852</v>
      </c>
      <c r="Q54" s="15">
        <f t="shared" si="2"/>
        <v>1.46</v>
      </c>
      <c r="R54" s="14"/>
    </row>
    <row r="55" spans="1:18" s="50" customFormat="1" ht="48">
      <c r="A55" s="49"/>
      <c r="B55" s="17">
        <f t="shared" si="0"/>
        <v>48</v>
      </c>
      <c r="C55" s="23" t="s">
        <v>16</v>
      </c>
      <c r="D55" s="20" t="s">
        <v>91</v>
      </c>
      <c r="E55" s="20" t="s">
        <v>246</v>
      </c>
      <c r="F55" s="20" t="s">
        <v>366</v>
      </c>
      <c r="G55" s="20" t="s">
        <v>466</v>
      </c>
      <c r="H55" s="20" t="s">
        <v>545</v>
      </c>
      <c r="I55" s="20" t="s">
        <v>626</v>
      </c>
      <c r="J55" s="20" t="s">
        <v>637</v>
      </c>
      <c r="K55" s="44" t="s">
        <v>749</v>
      </c>
      <c r="L55" s="20">
        <v>2</v>
      </c>
      <c r="M55" s="14">
        <f t="shared" si="1"/>
        <v>50</v>
      </c>
      <c r="N55" s="20" t="s">
        <v>804</v>
      </c>
      <c r="O55" s="51" t="s">
        <v>829</v>
      </c>
      <c r="P55" s="21" t="s">
        <v>853</v>
      </c>
      <c r="Q55" s="15">
        <f t="shared" si="2"/>
        <v>0.6</v>
      </c>
      <c r="R55" s="20"/>
    </row>
    <row r="56" spans="1:18" s="50" customFormat="1" ht="24">
      <c r="A56" s="49"/>
      <c r="B56" s="16">
        <f>ROW(B56) - ROW($B$7)</f>
        <v>49</v>
      </c>
      <c r="C56" s="22" t="s">
        <v>17</v>
      </c>
      <c r="D56" s="14" t="s">
        <v>92</v>
      </c>
      <c r="E56" s="14" t="s">
        <v>247</v>
      </c>
      <c r="F56" s="20" t="s">
        <v>786</v>
      </c>
      <c r="G56" s="14" t="s">
        <v>467</v>
      </c>
      <c r="H56" s="14" t="s">
        <v>558</v>
      </c>
      <c r="I56" s="20" t="s">
        <v>626</v>
      </c>
      <c r="J56" s="14" t="s">
        <v>638</v>
      </c>
      <c r="K56" s="43" t="s">
        <v>626</v>
      </c>
      <c r="L56" s="14">
        <v>2</v>
      </c>
      <c r="M56" s="14">
        <f t="shared" si="1"/>
        <v>50</v>
      </c>
      <c r="N56" s="14">
        <v>55</v>
      </c>
      <c r="O56" s="51" t="s">
        <v>829</v>
      </c>
      <c r="P56" s="15" t="s">
        <v>941</v>
      </c>
      <c r="Q56" s="15">
        <f t="shared" si="2"/>
        <v>6.9135</v>
      </c>
      <c r="R56" s="14"/>
    </row>
    <row r="57" spans="1:18" s="50" customFormat="1" ht="48">
      <c r="A57" s="49"/>
      <c r="B57" s="17">
        <f t="shared" si="0"/>
        <v>50</v>
      </c>
      <c r="C57" s="23" t="s">
        <v>18</v>
      </c>
      <c r="D57" s="20" t="s">
        <v>93</v>
      </c>
      <c r="E57" s="20" t="s">
        <v>248</v>
      </c>
      <c r="F57" s="20" t="s">
        <v>786</v>
      </c>
      <c r="G57" s="20" t="s">
        <v>468</v>
      </c>
      <c r="H57" s="20" t="s">
        <v>559</v>
      </c>
      <c r="I57" s="20" t="s">
        <v>626</v>
      </c>
      <c r="J57" s="20" t="s">
        <v>468</v>
      </c>
      <c r="K57" s="43" t="s">
        <v>626</v>
      </c>
      <c r="L57" s="20">
        <v>1</v>
      </c>
      <c r="M57" s="14">
        <f t="shared" si="1"/>
        <v>25</v>
      </c>
      <c r="N57" s="20">
        <v>36</v>
      </c>
      <c r="O57" s="51" t="s">
        <v>829</v>
      </c>
      <c r="P57" s="21" t="s">
        <v>855</v>
      </c>
      <c r="Q57" s="15">
        <f t="shared" si="2"/>
        <v>2.3076000000000003</v>
      </c>
      <c r="R57" s="20"/>
    </row>
    <row r="58" spans="1:18" s="50" customFormat="1" ht="60">
      <c r="A58" s="49"/>
      <c r="B58" s="16">
        <f>ROW(B58) - ROW($B$7)</f>
        <v>51</v>
      </c>
      <c r="C58" s="22" t="s">
        <v>19</v>
      </c>
      <c r="D58" s="14" t="s">
        <v>94</v>
      </c>
      <c r="E58" s="14" t="s">
        <v>249</v>
      </c>
      <c r="F58" s="20" t="s">
        <v>786</v>
      </c>
      <c r="G58" s="14" t="s">
        <v>367</v>
      </c>
      <c r="H58" s="14" t="s">
        <v>560</v>
      </c>
      <c r="I58" s="20" t="s">
        <v>626</v>
      </c>
      <c r="J58" s="14" t="s">
        <v>639</v>
      </c>
      <c r="K58" s="43" t="s">
        <v>626</v>
      </c>
      <c r="L58" s="14">
        <v>2</v>
      </c>
      <c r="M58" s="14">
        <f t="shared" si="1"/>
        <v>50</v>
      </c>
      <c r="N58" s="14">
        <v>55</v>
      </c>
      <c r="O58" s="51" t="s">
        <v>829</v>
      </c>
      <c r="P58" s="15" t="s">
        <v>942</v>
      </c>
      <c r="Q58" s="15">
        <f t="shared" si="2"/>
        <v>8.3985000000000003</v>
      </c>
      <c r="R58" s="14"/>
    </row>
    <row r="59" spans="1:18" s="50" customFormat="1" ht="48">
      <c r="A59" s="49"/>
      <c r="B59" s="17">
        <f t="shared" si="0"/>
        <v>52</v>
      </c>
      <c r="C59" s="23" t="s">
        <v>19</v>
      </c>
      <c r="D59" s="20" t="s">
        <v>95</v>
      </c>
      <c r="E59" s="20" t="s">
        <v>250</v>
      </c>
      <c r="F59" s="20" t="s">
        <v>786</v>
      </c>
      <c r="G59" s="20" t="s">
        <v>368</v>
      </c>
      <c r="H59" s="20" t="s">
        <v>560</v>
      </c>
      <c r="I59" s="20" t="s">
        <v>626</v>
      </c>
      <c r="J59" s="20" t="s">
        <v>640</v>
      </c>
      <c r="K59" s="43" t="s">
        <v>626</v>
      </c>
      <c r="L59" s="20">
        <v>2</v>
      </c>
      <c r="M59" s="14">
        <f t="shared" si="1"/>
        <v>50</v>
      </c>
      <c r="N59" s="20">
        <v>55</v>
      </c>
      <c r="O59" s="51" t="s">
        <v>829</v>
      </c>
      <c r="P59" s="21" t="s">
        <v>943</v>
      </c>
      <c r="Q59" s="15">
        <f t="shared" si="2"/>
        <v>8.0410000000000004</v>
      </c>
      <c r="R59" s="20"/>
    </row>
    <row r="60" spans="1:18" s="50" customFormat="1" ht="60">
      <c r="A60" s="49"/>
      <c r="B60" s="16">
        <f>ROW(B60) - ROW($B$7)</f>
        <v>53</v>
      </c>
      <c r="C60" s="22" t="s">
        <v>19</v>
      </c>
      <c r="D60" s="14" t="s">
        <v>96</v>
      </c>
      <c r="E60" s="14" t="s">
        <v>251</v>
      </c>
      <c r="F60" s="20" t="s">
        <v>786</v>
      </c>
      <c r="G60" s="14" t="s">
        <v>369</v>
      </c>
      <c r="H60" s="14" t="s">
        <v>560</v>
      </c>
      <c r="I60" s="20" t="s">
        <v>626</v>
      </c>
      <c r="J60" s="14" t="s">
        <v>641</v>
      </c>
      <c r="K60" s="43" t="s">
        <v>626</v>
      </c>
      <c r="L60" s="14">
        <v>2</v>
      </c>
      <c r="M60" s="14">
        <f t="shared" si="1"/>
        <v>50</v>
      </c>
      <c r="N60" s="14">
        <v>55</v>
      </c>
      <c r="O60" s="51" t="s">
        <v>829</v>
      </c>
      <c r="P60" s="15" t="s">
        <v>944</v>
      </c>
      <c r="Q60" s="15">
        <f t="shared" si="2"/>
        <v>7.5569999999999995</v>
      </c>
      <c r="R60" s="14"/>
    </row>
    <row r="61" spans="1:18" s="50" customFormat="1" ht="60">
      <c r="A61" s="49"/>
      <c r="B61" s="17">
        <f t="shared" si="0"/>
        <v>54</v>
      </c>
      <c r="C61" s="23" t="s">
        <v>19</v>
      </c>
      <c r="D61" s="20" t="s">
        <v>97</v>
      </c>
      <c r="E61" s="20" t="s">
        <v>252</v>
      </c>
      <c r="F61" s="20" t="s">
        <v>786</v>
      </c>
      <c r="G61" s="20" t="s">
        <v>370</v>
      </c>
      <c r="H61" s="20" t="s">
        <v>561</v>
      </c>
      <c r="I61" s="20" t="s">
        <v>626</v>
      </c>
      <c r="J61" s="20" t="s">
        <v>642</v>
      </c>
      <c r="K61" s="43" t="s">
        <v>626</v>
      </c>
      <c r="L61" s="20">
        <v>2</v>
      </c>
      <c r="M61" s="14">
        <f t="shared" si="1"/>
        <v>50</v>
      </c>
      <c r="N61" s="20">
        <v>55</v>
      </c>
      <c r="O61" s="51" t="s">
        <v>829</v>
      </c>
      <c r="P61" s="21" t="s">
        <v>945</v>
      </c>
      <c r="Q61" s="15">
        <f t="shared" si="2"/>
        <v>8.745000000000001</v>
      </c>
      <c r="R61" s="20"/>
    </row>
    <row r="62" spans="1:18" s="50" customFormat="1" ht="72">
      <c r="A62" s="49"/>
      <c r="B62" s="16">
        <f>ROW(B62) - ROW($B$7)</f>
        <v>55</v>
      </c>
      <c r="C62" s="22" t="s">
        <v>20</v>
      </c>
      <c r="D62" s="14" t="s">
        <v>98</v>
      </c>
      <c r="E62" s="14" t="s">
        <v>253</v>
      </c>
      <c r="F62" s="14" t="s">
        <v>371</v>
      </c>
      <c r="G62" s="14" t="s">
        <v>469</v>
      </c>
      <c r="H62" s="14" t="s">
        <v>562</v>
      </c>
      <c r="I62" s="20" t="s">
        <v>626</v>
      </c>
      <c r="J62" s="14" t="s">
        <v>643</v>
      </c>
      <c r="K62" s="43" t="s">
        <v>626</v>
      </c>
      <c r="L62" s="14">
        <v>7</v>
      </c>
      <c r="M62" s="14">
        <f t="shared" si="1"/>
        <v>175</v>
      </c>
      <c r="N62" s="14" t="s">
        <v>939</v>
      </c>
      <c r="O62" s="51" t="s">
        <v>829</v>
      </c>
      <c r="P62" s="15" t="s">
        <v>860</v>
      </c>
      <c r="Q62" s="15">
        <f t="shared" si="2"/>
        <v>5.2200000000000006</v>
      </c>
      <c r="R62" s="14"/>
    </row>
    <row r="63" spans="1:18" s="50" customFormat="1" ht="24">
      <c r="A63" s="49"/>
      <c r="B63" s="17">
        <f t="shared" si="0"/>
        <v>56</v>
      </c>
      <c r="C63" s="23" t="s">
        <v>21</v>
      </c>
      <c r="D63" s="20" t="s">
        <v>99</v>
      </c>
      <c r="E63" s="20" t="s">
        <v>254</v>
      </c>
      <c r="F63" s="20" t="s">
        <v>786</v>
      </c>
      <c r="G63" s="20" t="s">
        <v>372</v>
      </c>
      <c r="H63" s="20" t="s">
        <v>563</v>
      </c>
      <c r="I63" s="20" t="s">
        <v>626</v>
      </c>
      <c r="J63" s="20" t="s">
        <v>644</v>
      </c>
      <c r="K63" s="43" t="s">
        <v>626</v>
      </c>
      <c r="L63" s="20">
        <v>1</v>
      </c>
      <c r="M63" s="14">
        <f t="shared" si="1"/>
        <v>25</v>
      </c>
      <c r="N63" s="20">
        <v>26</v>
      </c>
      <c r="O63" s="51" t="s">
        <v>924</v>
      </c>
      <c r="P63" s="21">
        <v>1.0395000000000001</v>
      </c>
      <c r="Q63" s="15">
        <f t="shared" si="2"/>
        <v>27.027000000000001</v>
      </c>
      <c r="R63" s="20"/>
    </row>
    <row r="64" spans="1:18" s="50" customFormat="1" ht="60">
      <c r="A64" s="49"/>
      <c r="B64" s="16">
        <f>ROW(B64) - ROW($B$7)</f>
        <v>57</v>
      </c>
      <c r="C64" s="22" t="s">
        <v>19</v>
      </c>
      <c r="D64" s="14" t="s">
        <v>100</v>
      </c>
      <c r="E64" s="14" t="s">
        <v>255</v>
      </c>
      <c r="F64" s="20" t="s">
        <v>786</v>
      </c>
      <c r="G64" s="14" t="s">
        <v>373</v>
      </c>
      <c r="H64" s="14" t="s">
        <v>560</v>
      </c>
      <c r="I64" s="20" t="s">
        <v>626</v>
      </c>
      <c r="J64" s="14" t="s">
        <v>645</v>
      </c>
      <c r="K64" s="43" t="s">
        <v>626</v>
      </c>
      <c r="L64" s="14">
        <v>1</v>
      </c>
      <c r="M64" s="14">
        <f t="shared" si="1"/>
        <v>25</v>
      </c>
      <c r="N64" s="14">
        <v>55</v>
      </c>
      <c r="O64" s="51" t="s">
        <v>829</v>
      </c>
      <c r="P64" s="15" t="s">
        <v>861</v>
      </c>
      <c r="Q64" s="15">
        <f t="shared" si="2"/>
        <v>14.707000000000001</v>
      </c>
      <c r="R64" s="14"/>
    </row>
    <row r="65" spans="1:18" s="50" customFormat="1" ht="24">
      <c r="A65" s="49"/>
      <c r="B65" s="17">
        <f t="shared" si="0"/>
        <v>58</v>
      </c>
      <c r="C65" s="23" t="s">
        <v>22</v>
      </c>
      <c r="D65" s="20" t="s">
        <v>101</v>
      </c>
      <c r="E65" s="20" t="s">
        <v>256</v>
      </c>
      <c r="F65" s="20" t="s">
        <v>786</v>
      </c>
      <c r="G65" s="20" t="s">
        <v>470</v>
      </c>
      <c r="H65" s="20" t="s">
        <v>564</v>
      </c>
      <c r="I65" s="20" t="s">
        <v>626</v>
      </c>
      <c r="J65" s="20" t="s">
        <v>646</v>
      </c>
      <c r="K65" s="43" t="s">
        <v>626</v>
      </c>
      <c r="L65" s="20">
        <v>1</v>
      </c>
      <c r="M65" s="14">
        <f t="shared" si="1"/>
        <v>25</v>
      </c>
      <c r="N65" s="20" t="s">
        <v>932</v>
      </c>
      <c r="O65" s="51" t="s">
        <v>829</v>
      </c>
      <c r="P65" s="21" t="s">
        <v>862</v>
      </c>
      <c r="Q65" s="15">
        <f t="shared" si="2"/>
        <v>1.341</v>
      </c>
      <c r="R65" s="20"/>
    </row>
    <row r="66" spans="1:18" s="50" customFormat="1" ht="72">
      <c r="A66" s="49"/>
      <c r="B66" s="16">
        <f>ROW(B66) - ROW($B$7)</f>
        <v>59</v>
      </c>
      <c r="C66" s="22" t="s">
        <v>23</v>
      </c>
      <c r="D66" s="14" t="s">
        <v>102</v>
      </c>
      <c r="E66" s="14" t="s">
        <v>257</v>
      </c>
      <c r="F66" s="20" t="s">
        <v>786</v>
      </c>
      <c r="G66" s="14" t="s">
        <v>374</v>
      </c>
      <c r="H66" s="14" t="s">
        <v>565</v>
      </c>
      <c r="I66" s="20" t="s">
        <v>626</v>
      </c>
      <c r="J66" s="14" t="s">
        <v>647</v>
      </c>
      <c r="K66" s="43" t="s">
        <v>626</v>
      </c>
      <c r="L66" s="14">
        <v>1</v>
      </c>
      <c r="M66" s="14">
        <f t="shared" si="1"/>
        <v>25</v>
      </c>
      <c r="N66" s="14">
        <v>26</v>
      </c>
      <c r="O66" s="51" t="s">
        <v>829</v>
      </c>
      <c r="P66" s="15" t="s">
        <v>946</v>
      </c>
      <c r="Q66" s="15">
        <f t="shared" si="2"/>
        <v>3.4085999999999999</v>
      </c>
      <c r="R66" s="14"/>
    </row>
    <row r="67" spans="1:18" s="50" customFormat="1" ht="25.5">
      <c r="A67" s="49"/>
      <c r="B67" s="17">
        <f t="shared" si="0"/>
        <v>60</v>
      </c>
      <c r="C67" s="23" t="s">
        <v>24</v>
      </c>
      <c r="D67" s="20" t="s">
        <v>103</v>
      </c>
      <c r="E67" s="20" t="s">
        <v>258</v>
      </c>
      <c r="F67" s="20" t="s">
        <v>786</v>
      </c>
      <c r="G67" s="20" t="s">
        <v>375</v>
      </c>
      <c r="H67" s="20" t="s">
        <v>566</v>
      </c>
      <c r="I67" s="20" t="s">
        <v>626</v>
      </c>
      <c r="J67" s="20" t="s">
        <v>648</v>
      </c>
      <c r="K67" s="43" t="s">
        <v>626</v>
      </c>
      <c r="L67" s="20">
        <v>2</v>
      </c>
      <c r="M67" s="14">
        <f t="shared" si="1"/>
        <v>50</v>
      </c>
      <c r="N67" s="20">
        <v>51</v>
      </c>
      <c r="O67" s="51" t="s">
        <v>829</v>
      </c>
      <c r="P67" s="21" t="s">
        <v>864</v>
      </c>
      <c r="Q67" s="15">
        <f t="shared" si="2"/>
        <v>65.963400000000007</v>
      </c>
      <c r="R67" s="20"/>
    </row>
    <row r="68" spans="1:18" s="50" customFormat="1">
      <c r="A68" s="49"/>
      <c r="B68" s="16">
        <f>ROW(B68) - ROW($B$7)</f>
        <v>61</v>
      </c>
      <c r="C68" s="53" t="s">
        <v>785</v>
      </c>
      <c r="D68" s="52" t="s">
        <v>104</v>
      </c>
      <c r="E68" s="52" t="s">
        <v>259</v>
      </c>
      <c r="F68" s="54" t="s">
        <v>786</v>
      </c>
      <c r="G68" s="52" t="s">
        <v>471</v>
      </c>
      <c r="H68" s="52" t="s">
        <v>567</v>
      </c>
      <c r="I68" s="54" t="s">
        <v>626</v>
      </c>
      <c r="J68" s="52" t="s">
        <v>626</v>
      </c>
      <c r="K68" s="55" t="s">
        <v>626</v>
      </c>
      <c r="L68" s="52">
        <v>1</v>
      </c>
      <c r="M68" s="52">
        <f t="shared" si="1"/>
        <v>25</v>
      </c>
      <c r="N68" s="52">
        <v>1</v>
      </c>
      <c r="O68" s="56" t="s">
        <v>923</v>
      </c>
      <c r="P68" s="57">
        <v>84.874279999999999</v>
      </c>
      <c r="Q68" s="57">
        <f t="shared" si="2"/>
        <v>84.874279999999999</v>
      </c>
      <c r="R68" s="52" t="s">
        <v>925</v>
      </c>
    </row>
    <row r="69" spans="1:18" s="50" customFormat="1" ht="72">
      <c r="A69" s="49"/>
      <c r="B69" s="17">
        <f t="shared" si="0"/>
        <v>62</v>
      </c>
      <c r="C69" s="23" t="s">
        <v>20</v>
      </c>
      <c r="D69" s="20" t="s">
        <v>105</v>
      </c>
      <c r="E69" s="20" t="s">
        <v>260</v>
      </c>
      <c r="F69" s="20" t="s">
        <v>376</v>
      </c>
      <c r="G69" s="20" t="s">
        <v>472</v>
      </c>
      <c r="H69" s="20" t="s">
        <v>562</v>
      </c>
      <c r="I69" s="20" t="s">
        <v>626</v>
      </c>
      <c r="J69" s="20" t="s">
        <v>649</v>
      </c>
      <c r="K69" s="43" t="s">
        <v>626</v>
      </c>
      <c r="L69" s="20">
        <v>1</v>
      </c>
      <c r="M69" s="14">
        <f t="shared" si="1"/>
        <v>25</v>
      </c>
      <c r="N69" s="20" t="s">
        <v>932</v>
      </c>
      <c r="O69" s="51" t="s">
        <v>829</v>
      </c>
      <c r="P69" s="21" t="s">
        <v>866</v>
      </c>
      <c r="Q69" s="15">
        <f t="shared" si="2"/>
        <v>1.2</v>
      </c>
      <c r="R69" s="20"/>
    </row>
    <row r="70" spans="1:18" s="50" customFormat="1" ht="60">
      <c r="A70" s="49"/>
      <c r="B70" s="16">
        <f>ROW(B70) - ROW($B$7)</f>
        <v>63</v>
      </c>
      <c r="C70" s="22" t="s">
        <v>17</v>
      </c>
      <c r="D70" s="14" t="s">
        <v>106</v>
      </c>
      <c r="E70" s="14" t="s">
        <v>261</v>
      </c>
      <c r="F70" s="20" t="s">
        <v>786</v>
      </c>
      <c r="G70" s="14" t="s">
        <v>377</v>
      </c>
      <c r="H70" s="14" t="s">
        <v>562</v>
      </c>
      <c r="I70" s="20" t="s">
        <v>626</v>
      </c>
      <c r="J70" s="14" t="s">
        <v>650</v>
      </c>
      <c r="K70" s="43" t="s">
        <v>626</v>
      </c>
      <c r="L70" s="14">
        <v>1</v>
      </c>
      <c r="M70" s="14">
        <f t="shared" si="1"/>
        <v>25</v>
      </c>
      <c r="N70" s="14" t="s">
        <v>932</v>
      </c>
      <c r="O70" s="51" t="s">
        <v>829</v>
      </c>
      <c r="P70" s="15" t="s">
        <v>867</v>
      </c>
      <c r="Q70" s="15">
        <f t="shared" si="2"/>
        <v>1.83</v>
      </c>
      <c r="R70" s="14"/>
    </row>
    <row r="71" spans="1:18" s="50" customFormat="1" ht="84">
      <c r="A71" s="49"/>
      <c r="B71" s="17">
        <f t="shared" si="0"/>
        <v>64</v>
      </c>
      <c r="C71" s="23" t="s">
        <v>25</v>
      </c>
      <c r="D71" s="20" t="s">
        <v>107</v>
      </c>
      <c r="E71" s="20" t="s">
        <v>262</v>
      </c>
      <c r="F71" s="20" t="s">
        <v>786</v>
      </c>
      <c r="G71" s="20" t="s">
        <v>378</v>
      </c>
      <c r="H71" s="20" t="s">
        <v>568</v>
      </c>
      <c r="I71" s="20" t="s">
        <v>626</v>
      </c>
      <c r="J71" s="20" t="s">
        <v>651</v>
      </c>
      <c r="K71" s="43" t="s">
        <v>626</v>
      </c>
      <c r="L71" s="20">
        <v>1</v>
      </c>
      <c r="M71" s="14">
        <f t="shared" si="1"/>
        <v>25</v>
      </c>
      <c r="N71" s="20">
        <v>26</v>
      </c>
      <c r="O71" s="51" t="s">
        <v>829</v>
      </c>
      <c r="P71" s="21" t="s">
        <v>950</v>
      </c>
      <c r="Q71" s="15">
        <f t="shared" si="2"/>
        <v>20.009599999999999</v>
      </c>
      <c r="R71" s="20"/>
    </row>
    <row r="72" spans="1:18" s="50" customFormat="1" ht="60">
      <c r="A72" s="49"/>
      <c r="B72" s="16">
        <f>ROW(B72) - ROW($B$7)</f>
        <v>65</v>
      </c>
      <c r="C72" s="22" t="s">
        <v>19</v>
      </c>
      <c r="D72" s="14" t="s">
        <v>108</v>
      </c>
      <c r="E72" s="14" t="s">
        <v>263</v>
      </c>
      <c r="F72" s="20" t="s">
        <v>786</v>
      </c>
      <c r="G72" s="14" t="s">
        <v>379</v>
      </c>
      <c r="H72" s="14" t="s">
        <v>561</v>
      </c>
      <c r="I72" s="20" t="s">
        <v>626</v>
      </c>
      <c r="J72" s="14" t="s">
        <v>652</v>
      </c>
      <c r="K72" s="43" t="s">
        <v>626</v>
      </c>
      <c r="L72" s="14">
        <v>2</v>
      </c>
      <c r="M72" s="14">
        <f t="shared" si="1"/>
        <v>50</v>
      </c>
      <c r="N72" s="14">
        <v>55</v>
      </c>
      <c r="O72" s="51" t="s">
        <v>829</v>
      </c>
      <c r="P72" s="15" t="s">
        <v>951</v>
      </c>
      <c r="Q72" s="15">
        <f t="shared" si="2"/>
        <v>12.875500000000001</v>
      </c>
      <c r="R72" s="14"/>
    </row>
    <row r="73" spans="1:18" s="50" customFormat="1" ht="60">
      <c r="A73" s="49"/>
      <c r="B73" s="17">
        <f t="shared" si="0"/>
        <v>66</v>
      </c>
      <c r="C73" s="23" t="s">
        <v>19</v>
      </c>
      <c r="D73" s="20" t="s">
        <v>109</v>
      </c>
      <c r="E73" s="20" t="s">
        <v>264</v>
      </c>
      <c r="F73" s="20" t="s">
        <v>786</v>
      </c>
      <c r="G73" s="20" t="s">
        <v>380</v>
      </c>
      <c r="H73" s="20" t="s">
        <v>560</v>
      </c>
      <c r="I73" s="20" t="s">
        <v>626</v>
      </c>
      <c r="J73" s="20" t="s">
        <v>653</v>
      </c>
      <c r="K73" s="43" t="s">
        <v>626</v>
      </c>
      <c r="L73" s="20">
        <v>2</v>
      </c>
      <c r="M73" s="14">
        <f t="shared" ref="M73:M136" si="3">L73*25</f>
        <v>50</v>
      </c>
      <c r="N73" s="20">
        <v>55</v>
      </c>
      <c r="O73" s="51" t="s">
        <v>829</v>
      </c>
      <c r="P73" s="21" t="s">
        <v>952</v>
      </c>
      <c r="Q73" s="15">
        <f t="shared" ref="Q73:Q136" si="4">P73*N73</f>
        <v>11.951499999999999</v>
      </c>
      <c r="R73" s="20"/>
    </row>
    <row r="74" spans="1:18" s="50" customFormat="1" ht="60">
      <c r="A74" s="49"/>
      <c r="B74" s="16">
        <f>ROW(B74) - ROW($B$7)</f>
        <v>67</v>
      </c>
      <c r="C74" s="22" t="s">
        <v>19</v>
      </c>
      <c r="D74" s="14" t="s">
        <v>110</v>
      </c>
      <c r="E74" s="14" t="s">
        <v>265</v>
      </c>
      <c r="F74" s="20" t="s">
        <v>786</v>
      </c>
      <c r="G74" s="14" t="s">
        <v>381</v>
      </c>
      <c r="H74" s="14" t="s">
        <v>560</v>
      </c>
      <c r="I74" s="20" t="s">
        <v>626</v>
      </c>
      <c r="J74" s="14" t="s">
        <v>654</v>
      </c>
      <c r="K74" s="43" t="s">
        <v>626</v>
      </c>
      <c r="L74" s="14">
        <v>3</v>
      </c>
      <c r="M74" s="14">
        <f t="shared" si="3"/>
        <v>75</v>
      </c>
      <c r="N74" s="14">
        <v>80</v>
      </c>
      <c r="O74" s="51" t="s">
        <v>829</v>
      </c>
      <c r="P74" s="15" t="s">
        <v>953</v>
      </c>
      <c r="Q74" s="15">
        <f t="shared" si="4"/>
        <v>17.103999999999999</v>
      </c>
      <c r="R74" s="14"/>
    </row>
    <row r="75" spans="1:18" s="50" customFormat="1" ht="60">
      <c r="A75" s="49"/>
      <c r="B75" s="17">
        <f t="shared" si="0"/>
        <v>68</v>
      </c>
      <c r="C75" s="23" t="s">
        <v>26</v>
      </c>
      <c r="D75" s="20" t="s">
        <v>111</v>
      </c>
      <c r="E75" s="20" t="s">
        <v>266</v>
      </c>
      <c r="F75" s="20" t="s">
        <v>786</v>
      </c>
      <c r="G75" s="20" t="s">
        <v>382</v>
      </c>
      <c r="H75" s="20" t="s">
        <v>569</v>
      </c>
      <c r="I75" s="20" t="s">
        <v>626</v>
      </c>
      <c r="J75" s="20" t="s">
        <v>655</v>
      </c>
      <c r="K75" s="43" t="s">
        <v>626</v>
      </c>
      <c r="L75" s="20">
        <v>2</v>
      </c>
      <c r="M75" s="14">
        <f t="shared" si="3"/>
        <v>50</v>
      </c>
      <c r="N75" s="20">
        <v>51</v>
      </c>
      <c r="O75" s="51" t="s">
        <v>829</v>
      </c>
      <c r="P75" s="21" t="s">
        <v>954</v>
      </c>
      <c r="Q75" s="15">
        <f t="shared" si="4"/>
        <v>51.754799999999996</v>
      </c>
      <c r="R75" s="20"/>
    </row>
    <row r="76" spans="1:18" s="50" customFormat="1" ht="60">
      <c r="A76" s="49"/>
      <c r="B76" s="16">
        <f>ROW(B76) - ROW($B$7)</f>
        <v>69</v>
      </c>
      <c r="C76" s="22" t="s">
        <v>19</v>
      </c>
      <c r="D76" s="14" t="s">
        <v>112</v>
      </c>
      <c r="E76" s="14" t="s">
        <v>267</v>
      </c>
      <c r="F76" s="20" t="s">
        <v>786</v>
      </c>
      <c r="G76" s="14" t="s">
        <v>383</v>
      </c>
      <c r="H76" s="14" t="s">
        <v>560</v>
      </c>
      <c r="I76" s="20" t="s">
        <v>626</v>
      </c>
      <c r="J76" s="14" t="s">
        <v>656</v>
      </c>
      <c r="K76" s="43" t="s">
        <v>626</v>
      </c>
      <c r="L76" s="14">
        <v>1</v>
      </c>
      <c r="M76" s="14">
        <f t="shared" si="3"/>
        <v>25</v>
      </c>
      <c r="N76" s="14">
        <v>26</v>
      </c>
      <c r="O76" s="51" t="s">
        <v>829</v>
      </c>
      <c r="P76" s="15" t="s">
        <v>955</v>
      </c>
      <c r="Q76" s="15">
        <f t="shared" si="4"/>
        <v>8.3954000000000004</v>
      </c>
      <c r="R76" s="14"/>
    </row>
    <row r="77" spans="1:18" s="50" customFormat="1" ht="60">
      <c r="A77" s="49"/>
      <c r="B77" s="17">
        <f t="shared" si="0"/>
        <v>70</v>
      </c>
      <c r="C77" s="23" t="s">
        <v>19</v>
      </c>
      <c r="D77" s="20" t="s">
        <v>113</v>
      </c>
      <c r="E77" s="20" t="s">
        <v>268</v>
      </c>
      <c r="F77" s="20" t="s">
        <v>786</v>
      </c>
      <c r="G77" s="20" t="s">
        <v>384</v>
      </c>
      <c r="H77" s="20" t="s">
        <v>560</v>
      </c>
      <c r="I77" s="20" t="s">
        <v>626</v>
      </c>
      <c r="J77" s="20" t="s">
        <v>657</v>
      </c>
      <c r="K77" s="43" t="s">
        <v>626</v>
      </c>
      <c r="L77" s="20">
        <v>2</v>
      </c>
      <c r="M77" s="14">
        <f t="shared" si="3"/>
        <v>50</v>
      </c>
      <c r="N77" s="20">
        <v>51</v>
      </c>
      <c r="O77" s="51" t="s">
        <v>829</v>
      </c>
      <c r="P77" s="21" t="s">
        <v>956</v>
      </c>
      <c r="Q77" s="15">
        <f t="shared" si="4"/>
        <v>24.296399999999998</v>
      </c>
      <c r="R77" s="20"/>
    </row>
    <row r="78" spans="1:18" s="50" customFormat="1" ht="60">
      <c r="A78" s="49"/>
      <c r="B78" s="16">
        <f>ROW(B78) - ROW($B$7)</f>
        <v>71</v>
      </c>
      <c r="C78" s="22" t="s">
        <v>19</v>
      </c>
      <c r="D78" s="14" t="s">
        <v>114</v>
      </c>
      <c r="E78" s="14" t="s">
        <v>269</v>
      </c>
      <c r="F78" s="20" t="s">
        <v>786</v>
      </c>
      <c r="G78" s="14" t="s">
        <v>385</v>
      </c>
      <c r="H78" s="14" t="s">
        <v>561</v>
      </c>
      <c r="I78" s="20" t="s">
        <v>626</v>
      </c>
      <c r="J78" s="14" t="s">
        <v>658</v>
      </c>
      <c r="K78" s="43" t="s">
        <v>626</v>
      </c>
      <c r="L78" s="14">
        <v>1</v>
      </c>
      <c r="M78" s="14">
        <f t="shared" si="3"/>
        <v>25</v>
      </c>
      <c r="N78" s="14">
        <v>26</v>
      </c>
      <c r="O78" s="51" t="s">
        <v>829</v>
      </c>
      <c r="P78" s="15" t="s">
        <v>957</v>
      </c>
      <c r="Q78" s="15">
        <f t="shared" si="4"/>
        <v>21.325200000000002</v>
      </c>
      <c r="R78" s="14"/>
    </row>
    <row r="79" spans="1:18" s="50" customFormat="1" ht="60">
      <c r="A79" s="49"/>
      <c r="B79" s="17">
        <f t="shared" si="0"/>
        <v>72</v>
      </c>
      <c r="C79" s="23" t="s">
        <v>27</v>
      </c>
      <c r="D79" s="20" t="s">
        <v>115</v>
      </c>
      <c r="E79" s="20" t="s">
        <v>270</v>
      </c>
      <c r="F79" s="20" t="s">
        <v>786</v>
      </c>
      <c r="G79" s="20" t="s">
        <v>386</v>
      </c>
      <c r="H79" s="20" t="s">
        <v>560</v>
      </c>
      <c r="I79" s="20" t="s">
        <v>626</v>
      </c>
      <c r="J79" s="20" t="s">
        <v>659</v>
      </c>
      <c r="K79" s="43" t="s">
        <v>626</v>
      </c>
      <c r="L79" s="20">
        <v>2</v>
      </c>
      <c r="M79" s="14">
        <f t="shared" si="3"/>
        <v>50</v>
      </c>
      <c r="N79" s="20">
        <v>55</v>
      </c>
      <c r="O79" s="51" t="s">
        <v>829</v>
      </c>
      <c r="P79" s="21" t="s">
        <v>958</v>
      </c>
      <c r="Q79" s="15">
        <f t="shared" si="4"/>
        <v>13.343</v>
      </c>
      <c r="R79" s="20"/>
    </row>
    <row r="80" spans="1:18" s="50" customFormat="1" ht="24">
      <c r="A80" s="49"/>
      <c r="B80" s="16">
        <f>ROW(B80) - ROW($B$7)</f>
        <v>73</v>
      </c>
      <c r="C80" s="22" t="s">
        <v>28</v>
      </c>
      <c r="D80" s="14" t="s">
        <v>116</v>
      </c>
      <c r="E80" s="14" t="s">
        <v>271</v>
      </c>
      <c r="F80" s="20" t="s">
        <v>786</v>
      </c>
      <c r="G80" s="14" t="s">
        <v>387</v>
      </c>
      <c r="H80" s="14" t="s">
        <v>547</v>
      </c>
      <c r="I80" s="20" t="s">
        <v>626</v>
      </c>
      <c r="J80" s="14" t="s">
        <v>660</v>
      </c>
      <c r="K80" s="43" t="s">
        <v>750</v>
      </c>
      <c r="L80" s="14">
        <v>1</v>
      </c>
      <c r="M80" s="14">
        <f t="shared" si="3"/>
        <v>25</v>
      </c>
      <c r="N80" s="14">
        <v>26</v>
      </c>
      <c r="O80" s="51" t="s">
        <v>829</v>
      </c>
      <c r="P80" s="15" t="s">
        <v>959</v>
      </c>
      <c r="Q80" s="15">
        <f t="shared" si="4"/>
        <v>19.154199999999999</v>
      </c>
      <c r="R80" s="14"/>
    </row>
    <row r="81" spans="1:18" s="50" customFormat="1" ht="36">
      <c r="A81" s="49"/>
      <c r="B81" s="17">
        <f t="shared" si="0"/>
        <v>74</v>
      </c>
      <c r="C81" s="23" t="s">
        <v>29</v>
      </c>
      <c r="D81" s="20" t="s">
        <v>117</v>
      </c>
      <c r="E81" s="20" t="s">
        <v>272</v>
      </c>
      <c r="F81" s="20" t="s">
        <v>786</v>
      </c>
      <c r="G81" s="20" t="s">
        <v>388</v>
      </c>
      <c r="H81" s="20" t="s">
        <v>570</v>
      </c>
      <c r="I81" s="20" t="s">
        <v>626</v>
      </c>
      <c r="J81" s="20" t="s">
        <v>661</v>
      </c>
      <c r="K81" s="44" t="s">
        <v>751</v>
      </c>
      <c r="L81" s="20">
        <v>1</v>
      </c>
      <c r="M81" s="14">
        <f t="shared" si="3"/>
        <v>25</v>
      </c>
      <c r="N81" s="20" t="s">
        <v>932</v>
      </c>
      <c r="O81" s="51" t="s">
        <v>829</v>
      </c>
      <c r="P81" s="21" t="s">
        <v>878</v>
      </c>
      <c r="Q81" s="15">
        <f t="shared" si="4"/>
        <v>1.6020000000000001</v>
      </c>
      <c r="R81" s="20"/>
    </row>
    <row r="82" spans="1:18" s="50" customFormat="1" ht="48">
      <c r="A82" s="49"/>
      <c r="B82" s="16">
        <f>ROW(B82) - ROW($B$7)</f>
        <v>75</v>
      </c>
      <c r="C82" s="22" t="s">
        <v>30</v>
      </c>
      <c r="D82" s="14" t="s">
        <v>118</v>
      </c>
      <c r="E82" s="14" t="s">
        <v>273</v>
      </c>
      <c r="F82" s="14" t="s">
        <v>389</v>
      </c>
      <c r="G82" s="14" t="s">
        <v>473</v>
      </c>
      <c r="H82" s="14" t="s">
        <v>571</v>
      </c>
      <c r="I82" s="20" t="s">
        <v>626</v>
      </c>
      <c r="J82" s="14" t="s">
        <v>662</v>
      </c>
      <c r="K82" s="43" t="s">
        <v>626</v>
      </c>
      <c r="L82" s="14">
        <v>7</v>
      </c>
      <c r="M82" s="14">
        <f t="shared" si="3"/>
        <v>175</v>
      </c>
      <c r="N82" s="14" t="s">
        <v>939</v>
      </c>
      <c r="O82" s="51" t="s">
        <v>829</v>
      </c>
      <c r="P82" s="15" t="s">
        <v>879</v>
      </c>
      <c r="Q82" s="15">
        <f t="shared" si="4"/>
        <v>3.996</v>
      </c>
      <c r="R82" s="14"/>
    </row>
    <row r="83" spans="1:18" s="50" customFormat="1" ht="48">
      <c r="A83" s="49"/>
      <c r="B83" s="17">
        <f t="shared" si="0"/>
        <v>76</v>
      </c>
      <c r="C83" s="23" t="s">
        <v>30</v>
      </c>
      <c r="D83" s="20" t="s">
        <v>119</v>
      </c>
      <c r="E83" s="20" t="s">
        <v>274</v>
      </c>
      <c r="F83" s="20" t="s">
        <v>389</v>
      </c>
      <c r="G83" s="20" t="s">
        <v>474</v>
      </c>
      <c r="H83" s="20" t="s">
        <v>571</v>
      </c>
      <c r="I83" s="20" t="s">
        <v>626</v>
      </c>
      <c r="J83" s="20" t="s">
        <v>663</v>
      </c>
      <c r="K83" s="43" t="s">
        <v>626</v>
      </c>
      <c r="L83" s="20">
        <v>1</v>
      </c>
      <c r="M83" s="14">
        <f t="shared" si="3"/>
        <v>25</v>
      </c>
      <c r="N83" s="20" t="s">
        <v>830</v>
      </c>
      <c r="O83" s="51" t="s">
        <v>829</v>
      </c>
      <c r="P83" s="21" t="s">
        <v>880</v>
      </c>
      <c r="Q83" s="15">
        <f t="shared" si="4"/>
        <v>0.872</v>
      </c>
      <c r="R83" s="20"/>
    </row>
    <row r="84" spans="1:18" s="50" customFormat="1" ht="48">
      <c r="A84" s="49"/>
      <c r="B84" s="16">
        <f>ROW(B84) - ROW($B$7)</f>
        <v>77</v>
      </c>
      <c r="C84" s="22" t="s">
        <v>30</v>
      </c>
      <c r="D84" s="14" t="s">
        <v>120</v>
      </c>
      <c r="E84" s="14" t="s">
        <v>275</v>
      </c>
      <c r="F84" s="14" t="s">
        <v>389</v>
      </c>
      <c r="G84" s="14" t="s">
        <v>475</v>
      </c>
      <c r="H84" s="14" t="s">
        <v>571</v>
      </c>
      <c r="I84" s="20" t="s">
        <v>626</v>
      </c>
      <c r="J84" s="14" t="s">
        <v>664</v>
      </c>
      <c r="K84" s="43" t="s">
        <v>626</v>
      </c>
      <c r="L84" s="14">
        <v>2</v>
      </c>
      <c r="M84" s="14">
        <f t="shared" si="3"/>
        <v>50</v>
      </c>
      <c r="N84" s="14" t="s">
        <v>947</v>
      </c>
      <c r="O84" s="51" t="s">
        <v>829</v>
      </c>
      <c r="P84" s="15" t="s">
        <v>881</v>
      </c>
      <c r="Q84" s="15">
        <f t="shared" si="4"/>
        <v>1.2899999999999998</v>
      </c>
      <c r="R84" s="14"/>
    </row>
    <row r="85" spans="1:18" s="50" customFormat="1" ht="24">
      <c r="A85" s="49"/>
      <c r="B85" s="17">
        <f t="shared" si="0"/>
        <v>78</v>
      </c>
      <c r="C85" s="23" t="s">
        <v>31</v>
      </c>
      <c r="D85" s="20" t="s">
        <v>121</v>
      </c>
      <c r="E85" s="20" t="s">
        <v>276</v>
      </c>
      <c r="F85" s="20" t="s">
        <v>786</v>
      </c>
      <c r="G85" s="20" t="s">
        <v>390</v>
      </c>
      <c r="H85" s="20" t="s">
        <v>572</v>
      </c>
      <c r="I85" s="20" t="s">
        <v>626</v>
      </c>
      <c r="J85" s="20" t="s">
        <v>665</v>
      </c>
      <c r="K85" s="43" t="s">
        <v>626</v>
      </c>
      <c r="L85" s="20">
        <v>10</v>
      </c>
      <c r="M85" s="14">
        <f t="shared" si="3"/>
        <v>250</v>
      </c>
      <c r="N85" s="20">
        <v>255</v>
      </c>
      <c r="O85" s="51" t="s">
        <v>829</v>
      </c>
      <c r="P85" s="21" t="s">
        <v>960</v>
      </c>
      <c r="Q85" s="15">
        <f t="shared" si="4"/>
        <v>26.3415</v>
      </c>
      <c r="R85" s="20"/>
    </row>
    <row r="86" spans="1:18" s="50" customFormat="1" ht="48">
      <c r="A86" s="49"/>
      <c r="B86" s="16">
        <f>ROW(B86) - ROW($B$7)</f>
        <v>79</v>
      </c>
      <c r="C86" s="22" t="s">
        <v>32</v>
      </c>
      <c r="D86" s="14" t="s">
        <v>122</v>
      </c>
      <c r="E86" s="14" t="s">
        <v>277</v>
      </c>
      <c r="F86" s="14" t="s">
        <v>356</v>
      </c>
      <c r="G86" s="14" t="s">
        <v>476</v>
      </c>
      <c r="H86" s="14" t="s">
        <v>573</v>
      </c>
      <c r="I86" s="20" t="s">
        <v>626</v>
      </c>
      <c r="J86" s="14" t="s">
        <v>666</v>
      </c>
      <c r="K86" s="43" t="s">
        <v>626</v>
      </c>
      <c r="L86" s="14">
        <v>2</v>
      </c>
      <c r="M86" s="14">
        <f t="shared" si="3"/>
        <v>50</v>
      </c>
      <c r="N86" s="14">
        <v>100</v>
      </c>
      <c r="O86" s="51" t="s">
        <v>829</v>
      </c>
      <c r="P86" s="15" t="s">
        <v>883</v>
      </c>
      <c r="Q86" s="15">
        <f t="shared" si="4"/>
        <v>1.63</v>
      </c>
      <c r="R86" s="14"/>
    </row>
    <row r="87" spans="1:18" s="50" customFormat="1" ht="24">
      <c r="A87" s="49"/>
      <c r="B87" s="17">
        <f t="shared" si="0"/>
        <v>80</v>
      </c>
      <c r="C87" s="22" t="s">
        <v>32</v>
      </c>
      <c r="D87" s="20" t="s">
        <v>123</v>
      </c>
      <c r="E87" s="20" t="s">
        <v>278</v>
      </c>
      <c r="F87" s="20" t="s">
        <v>391</v>
      </c>
      <c r="G87" s="20" t="s">
        <v>477</v>
      </c>
      <c r="H87" s="20" t="s">
        <v>546</v>
      </c>
      <c r="I87" s="20" t="s">
        <v>626</v>
      </c>
      <c r="J87" s="20" t="s">
        <v>667</v>
      </c>
      <c r="K87" s="43" t="s">
        <v>626</v>
      </c>
      <c r="L87" s="20">
        <v>1</v>
      </c>
      <c r="M87" s="14">
        <f t="shared" si="3"/>
        <v>25</v>
      </c>
      <c r="N87" s="20">
        <v>26</v>
      </c>
      <c r="O87" s="51" t="s">
        <v>829</v>
      </c>
      <c r="P87" s="21" t="s">
        <v>961</v>
      </c>
      <c r="Q87" s="15">
        <f t="shared" si="4"/>
        <v>18.569199999999999</v>
      </c>
      <c r="R87" s="20"/>
    </row>
    <row r="88" spans="1:18" s="50" customFormat="1" ht="48">
      <c r="A88" s="49"/>
      <c r="B88" s="16">
        <f>ROW(B88) - ROW($B$7)</f>
        <v>81</v>
      </c>
      <c r="C88" s="22" t="s">
        <v>32</v>
      </c>
      <c r="D88" s="14" t="s">
        <v>124</v>
      </c>
      <c r="E88" s="14" t="s">
        <v>279</v>
      </c>
      <c r="F88" s="14" t="s">
        <v>392</v>
      </c>
      <c r="G88" s="14" t="s">
        <v>478</v>
      </c>
      <c r="H88" s="14" t="s">
        <v>574</v>
      </c>
      <c r="I88" s="20" t="s">
        <v>626</v>
      </c>
      <c r="J88" s="14" t="s">
        <v>668</v>
      </c>
      <c r="K88" s="43" t="s">
        <v>626</v>
      </c>
      <c r="L88" s="14">
        <v>1</v>
      </c>
      <c r="M88" s="14">
        <f t="shared" si="3"/>
        <v>25</v>
      </c>
      <c r="N88" s="14" t="s">
        <v>932</v>
      </c>
      <c r="O88" s="51" t="s">
        <v>829</v>
      </c>
      <c r="P88" s="15" t="s">
        <v>885</v>
      </c>
      <c r="Q88" s="15">
        <f t="shared" si="4"/>
        <v>1.347</v>
      </c>
      <c r="R88" s="14"/>
    </row>
    <row r="89" spans="1:18" s="50" customFormat="1" ht="24">
      <c r="A89" s="49"/>
      <c r="B89" s="17">
        <f t="shared" si="0"/>
        <v>82</v>
      </c>
      <c r="C89" s="22" t="s">
        <v>32</v>
      </c>
      <c r="D89" s="20" t="s">
        <v>125</v>
      </c>
      <c r="E89" s="20" t="s">
        <v>280</v>
      </c>
      <c r="F89" s="20" t="s">
        <v>393</v>
      </c>
      <c r="G89" s="20" t="s">
        <v>479</v>
      </c>
      <c r="H89" s="20" t="s">
        <v>552</v>
      </c>
      <c r="I89" s="20" t="s">
        <v>626</v>
      </c>
      <c r="J89" s="20" t="s">
        <v>669</v>
      </c>
      <c r="K89" s="43" t="s">
        <v>626</v>
      </c>
      <c r="L89" s="20">
        <v>1</v>
      </c>
      <c r="M89" s="14">
        <f t="shared" si="3"/>
        <v>25</v>
      </c>
      <c r="N89" s="20" t="s">
        <v>830</v>
      </c>
      <c r="O89" s="51" t="s">
        <v>829</v>
      </c>
      <c r="P89" s="21" t="s">
        <v>886</v>
      </c>
      <c r="Q89" s="15">
        <f t="shared" si="4"/>
        <v>1.06</v>
      </c>
      <c r="R89" s="20"/>
    </row>
    <row r="90" spans="1:18" s="50" customFormat="1" ht="24">
      <c r="A90" s="49"/>
      <c r="B90" s="16">
        <f>ROW(B90) - ROW($B$7)</f>
        <v>83</v>
      </c>
      <c r="C90" s="22" t="s">
        <v>33</v>
      </c>
      <c r="D90" s="14" t="s">
        <v>126</v>
      </c>
      <c r="E90" s="14" t="s">
        <v>281</v>
      </c>
      <c r="F90" s="14" t="s">
        <v>356</v>
      </c>
      <c r="G90" s="14" t="s">
        <v>480</v>
      </c>
      <c r="H90" s="14" t="s">
        <v>575</v>
      </c>
      <c r="I90" s="20" t="s">
        <v>626</v>
      </c>
      <c r="J90" s="14" t="s">
        <v>670</v>
      </c>
      <c r="K90" s="43" t="s">
        <v>626</v>
      </c>
      <c r="L90" s="14">
        <v>5</v>
      </c>
      <c r="M90" s="14">
        <f t="shared" si="3"/>
        <v>125</v>
      </c>
      <c r="N90" s="14" t="s">
        <v>948</v>
      </c>
      <c r="O90" s="51" t="s">
        <v>829</v>
      </c>
      <c r="P90" s="15" t="s">
        <v>887</v>
      </c>
      <c r="Q90" s="15">
        <f t="shared" si="4"/>
        <v>0.98</v>
      </c>
      <c r="R90" s="14"/>
    </row>
    <row r="91" spans="1:18" s="50" customFormat="1" ht="24">
      <c r="A91" s="49"/>
      <c r="B91" s="17">
        <f t="shared" si="0"/>
        <v>84</v>
      </c>
      <c r="C91" s="23" t="s">
        <v>32</v>
      </c>
      <c r="D91" s="20" t="s">
        <v>127</v>
      </c>
      <c r="E91" s="20" t="s">
        <v>282</v>
      </c>
      <c r="F91" s="20" t="s">
        <v>356</v>
      </c>
      <c r="G91" s="20" t="s">
        <v>481</v>
      </c>
      <c r="H91" s="20" t="s">
        <v>576</v>
      </c>
      <c r="I91" s="20" t="s">
        <v>626</v>
      </c>
      <c r="J91" s="20" t="s">
        <v>671</v>
      </c>
      <c r="K91" s="43" t="s">
        <v>626</v>
      </c>
      <c r="L91" s="20">
        <v>4</v>
      </c>
      <c r="M91" s="14">
        <f t="shared" si="3"/>
        <v>100</v>
      </c>
      <c r="N91" s="20">
        <v>120</v>
      </c>
      <c r="O91" s="51" t="s">
        <v>829</v>
      </c>
      <c r="P91" s="21" t="s">
        <v>888</v>
      </c>
      <c r="Q91" s="15">
        <f t="shared" si="4"/>
        <v>3.2160000000000002</v>
      </c>
      <c r="R91" s="20"/>
    </row>
    <row r="92" spans="1:18" s="50" customFormat="1">
      <c r="A92" s="49"/>
      <c r="B92" s="16">
        <f>ROW(B92) - ROW($B$7)</f>
        <v>85</v>
      </c>
      <c r="C92" s="22" t="s">
        <v>34</v>
      </c>
      <c r="D92" s="14" t="s">
        <v>128</v>
      </c>
      <c r="E92" s="14" t="s">
        <v>283</v>
      </c>
      <c r="F92" s="14" t="s">
        <v>394</v>
      </c>
      <c r="G92" s="43" t="s">
        <v>796</v>
      </c>
      <c r="H92" s="20" t="s">
        <v>539</v>
      </c>
      <c r="I92" s="20" t="s">
        <v>626</v>
      </c>
      <c r="J92" s="14" t="s">
        <v>672</v>
      </c>
      <c r="K92" s="43" t="s">
        <v>752</v>
      </c>
      <c r="L92" s="14">
        <v>2</v>
      </c>
      <c r="M92" s="14">
        <f t="shared" si="3"/>
        <v>50</v>
      </c>
      <c r="N92" s="14" t="s">
        <v>804</v>
      </c>
      <c r="O92" s="51" t="s">
        <v>829</v>
      </c>
      <c r="P92" s="15" t="s">
        <v>889</v>
      </c>
      <c r="Q92" s="15">
        <f t="shared" si="4"/>
        <v>0.06</v>
      </c>
      <c r="R92" s="14"/>
    </row>
    <row r="93" spans="1:18" s="50" customFormat="1" ht="84">
      <c r="A93" s="49"/>
      <c r="B93" s="17">
        <f t="shared" si="0"/>
        <v>86</v>
      </c>
      <c r="C93" s="23" t="s">
        <v>34</v>
      </c>
      <c r="D93" s="20" t="s">
        <v>129</v>
      </c>
      <c r="E93" s="20" t="s">
        <v>284</v>
      </c>
      <c r="F93" s="20" t="s">
        <v>394</v>
      </c>
      <c r="G93" s="20" t="s">
        <v>482</v>
      </c>
      <c r="H93" s="20" t="s">
        <v>539</v>
      </c>
      <c r="I93" s="20" t="s">
        <v>626</v>
      </c>
      <c r="J93" s="20" t="s">
        <v>673</v>
      </c>
      <c r="K93" s="44" t="s">
        <v>753</v>
      </c>
      <c r="L93" s="20">
        <v>49</v>
      </c>
      <c r="M93" s="14">
        <f t="shared" si="3"/>
        <v>1225</v>
      </c>
      <c r="N93" s="20" t="s">
        <v>949</v>
      </c>
      <c r="O93" s="51" t="s">
        <v>829</v>
      </c>
      <c r="P93" s="21" t="s">
        <v>962</v>
      </c>
      <c r="Q93" s="15">
        <f t="shared" si="4"/>
        <v>0.52</v>
      </c>
      <c r="R93" s="20"/>
    </row>
    <row r="94" spans="1:18" s="50" customFormat="1" ht="24">
      <c r="A94" s="49"/>
      <c r="B94" s="16">
        <f>ROW(B94) - ROW($B$7)</f>
        <v>87</v>
      </c>
      <c r="C94" s="22" t="s">
        <v>34</v>
      </c>
      <c r="D94" s="14" t="s">
        <v>130</v>
      </c>
      <c r="E94" s="14" t="s">
        <v>285</v>
      </c>
      <c r="F94" s="14" t="s">
        <v>395</v>
      </c>
      <c r="G94" s="14" t="s">
        <v>483</v>
      </c>
      <c r="H94" s="14" t="s">
        <v>539</v>
      </c>
      <c r="I94" s="20" t="s">
        <v>626</v>
      </c>
      <c r="J94" s="14" t="s">
        <v>674</v>
      </c>
      <c r="K94" s="43" t="s">
        <v>754</v>
      </c>
      <c r="L94" s="14">
        <v>2</v>
      </c>
      <c r="M94" s="14">
        <f t="shared" si="3"/>
        <v>50</v>
      </c>
      <c r="N94" s="14" t="s">
        <v>804</v>
      </c>
      <c r="O94" s="51" t="s">
        <v>829</v>
      </c>
      <c r="P94" s="15" t="s">
        <v>891</v>
      </c>
      <c r="Q94" s="15">
        <f t="shared" si="4"/>
        <v>0.12</v>
      </c>
      <c r="R94" s="14"/>
    </row>
    <row r="95" spans="1:18" s="50" customFormat="1" ht="24">
      <c r="A95" s="49"/>
      <c r="B95" s="17">
        <f t="shared" si="0"/>
        <v>88</v>
      </c>
      <c r="C95" s="23" t="s">
        <v>34</v>
      </c>
      <c r="D95" s="20" t="s">
        <v>131</v>
      </c>
      <c r="E95" s="20" t="s">
        <v>286</v>
      </c>
      <c r="F95" s="20" t="s">
        <v>395</v>
      </c>
      <c r="G95" s="20" t="s">
        <v>484</v>
      </c>
      <c r="H95" s="20" t="s">
        <v>539</v>
      </c>
      <c r="I95" s="20" t="s">
        <v>626</v>
      </c>
      <c r="J95" s="20" t="s">
        <v>675</v>
      </c>
      <c r="K95" s="44" t="s">
        <v>755</v>
      </c>
      <c r="L95" s="20">
        <v>6</v>
      </c>
      <c r="M95" s="14">
        <f t="shared" si="3"/>
        <v>150</v>
      </c>
      <c r="N95" s="20" t="s">
        <v>893</v>
      </c>
      <c r="O95" s="51" t="s">
        <v>829</v>
      </c>
      <c r="P95" s="21" t="s">
        <v>891</v>
      </c>
      <c r="Q95" s="15">
        <f t="shared" si="4"/>
        <v>0.24</v>
      </c>
      <c r="R95" s="20"/>
    </row>
    <row r="96" spans="1:18" s="50" customFormat="1" ht="24">
      <c r="A96" s="49"/>
      <c r="B96" s="16">
        <f>ROW(B96) - ROW($B$7)</f>
        <v>89</v>
      </c>
      <c r="C96" s="22" t="s">
        <v>34</v>
      </c>
      <c r="D96" s="14" t="s">
        <v>132</v>
      </c>
      <c r="E96" s="14" t="s">
        <v>287</v>
      </c>
      <c r="F96" s="14" t="s">
        <v>395</v>
      </c>
      <c r="G96" s="14" t="s">
        <v>485</v>
      </c>
      <c r="H96" s="14" t="s">
        <v>539</v>
      </c>
      <c r="I96" s="20" t="s">
        <v>626</v>
      </c>
      <c r="J96" s="14" t="s">
        <v>676</v>
      </c>
      <c r="K96" s="43" t="s">
        <v>756</v>
      </c>
      <c r="L96" s="14">
        <v>2</v>
      </c>
      <c r="M96" s="14">
        <f t="shared" si="3"/>
        <v>50</v>
      </c>
      <c r="N96" s="14" t="s">
        <v>804</v>
      </c>
      <c r="O96" s="51" t="s">
        <v>829</v>
      </c>
      <c r="P96" s="15" t="s">
        <v>891</v>
      </c>
      <c r="Q96" s="15">
        <f t="shared" si="4"/>
        <v>0.12</v>
      </c>
      <c r="R96" s="14"/>
    </row>
    <row r="97" spans="1:18" s="50" customFormat="1" ht="24">
      <c r="A97" s="49"/>
      <c r="B97" s="17">
        <f t="shared" si="0"/>
        <v>90</v>
      </c>
      <c r="C97" s="23" t="s">
        <v>35</v>
      </c>
      <c r="D97" s="46" t="s">
        <v>133</v>
      </c>
      <c r="E97" s="46" t="s">
        <v>288</v>
      </c>
      <c r="F97" s="42" t="s">
        <v>394</v>
      </c>
      <c r="G97" s="46" t="s">
        <v>486</v>
      </c>
      <c r="H97" s="46" t="s">
        <v>539</v>
      </c>
      <c r="I97" s="46" t="s">
        <v>626</v>
      </c>
      <c r="J97" s="46" t="s">
        <v>677</v>
      </c>
      <c r="K97" s="45" t="s">
        <v>743</v>
      </c>
      <c r="L97" s="46">
        <v>2</v>
      </c>
      <c r="M97" s="46">
        <f t="shared" si="3"/>
        <v>50</v>
      </c>
      <c r="N97" s="46" t="s">
        <v>626</v>
      </c>
      <c r="O97" s="46" t="s">
        <v>626</v>
      </c>
      <c r="P97" s="47" t="s">
        <v>626</v>
      </c>
      <c r="Q97" s="15" t="s">
        <v>626</v>
      </c>
      <c r="R97" s="48" t="s">
        <v>795</v>
      </c>
    </row>
    <row r="98" spans="1:18" s="50" customFormat="1" ht="336">
      <c r="A98" s="49"/>
      <c r="B98" s="16">
        <f>ROW(B98) - ROW($B$7)</f>
        <v>91</v>
      </c>
      <c r="C98" s="22" t="s">
        <v>35</v>
      </c>
      <c r="D98" s="14" t="s">
        <v>134</v>
      </c>
      <c r="E98" s="14" t="s">
        <v>288</v>
      </c>
      <c r="F98" s="14" t="s">
        <v>394</v>
      </c>
      <c r="G98" s="14" t="s">
        <v>486</v>
      </c>
      <c r="H98" s="14" t="s">
        <v>539</v>
      </c>
      <c r="I98" s="14" t="s">
        <v>626</v>
      </c>
      <c r="J98" s="14" t="s">
        <v>677</v>
      </c>
      <c r="K98" s="43" t="s">
        <v>757</v>
      </c>
      <c r="L98" s="14">
        <v>202</v>
      </c>
      <c r="M98" s="14">
        <f t="shared" si="3"/>
        <v>5050</v>
      </c>
      <c r="N98" s="14" t="s">
        <v>963</v>
      </c>
      <c r="O98" s="51" t="s">
        <v>829</v>
      </c>
      <c r="P98" s="15" t="s">
        <v>890</v>
      </c>
      <c r="Q98" s="15">
        <f t="shared" si="4"/>
        <v>2.5500000000000003</v>
      </c>
      <c r="R98" s="14"/>
    </row>
    <row r="99" spans="1:18" s="50" customFormat="1" ht="24">
      <c r="A99" s="49"/>
      <c r="B99" s="17">
        <f t="shared" si="0"/>
        <v>92</v>
      </c>
      <c r="C99" s="23" t="s">
        <v>34</v>
      </c>
      <c r="D99" s="20" t="s">
        <v>135</v>
      </c>
      <c r="E99" s="20" t="s">
        <v>289</v>
      </c>
      <c r="F99" s="20" t="s">
        <v>394</v>
      </c>
      <c r="G99" s="20" t="s">
        <v>487</v>
      </c>
      <c r="H99" s="20" t="s">
        <v>539</v>
      </c>
      <c r="I99" s="20" t="s">
        <v>626</v>
      </c>
      <c r="J99" s="20" t="s">
        <v>678</v>
      </c>
      <c r="K99" s="44" t="s">
        <v>758</v>
      </c>
      <c r="L99" s="20">
        <v>7</v>
      </c>
      <c r="M99" s="14">
        <f t="shared" si="3"/>
        <v>175</v>
      </c>
      <c r="N99" s="20" t="s">
        <v>893</v>
      </c>
      <c r="O99" s="51" t="s">
        <v>829</v>
      </c>
      <c r="P99" s="21" t="s">
        <v>889</v>
      </c>
      <c r="Q99" s="15">
        <f t="shared" si="4"/>
        <v>0.12</v>
      </c>
      <c r="R99" s="20"/>
    </row>
    <row r="100" spans="1:18" s="50" customFormat="1" ht="24">
      <c r="A100" s="49"/>
      <c r="B100" s="16">
        <f>ROW(B100) - ROW($B$7)</f>
        <v>93</v>
      </c>
      <c r="C100" s="22" t="s">
        <v>35</v>
      </c>
      <c r="D100" s="14" t="s">
        <v>136</v>
      </c>
      <c r="E100" s="14" t="s">
        <v>290</v>
      </c>
      <c r="F100" s="14" t="s">
        <v>394</v>
      </c>
      <c r="G100" s="14" t="s">
        <v>488</v>
      </c>
      <c r="H100" s="14" t="s">
        <v>539</v>
      </c>
      <c r="I100" s="14" t="s">
        <v>626</v>
      </c>
      <c r="J100" s="14" t="s">
        <v>679</v>
      </c>
      <c r="K100" s="43" t="s">
        <v>759</v>
      </c>
      <c r="L100" s="14">
        <v>7</v>
      </c>
      <c r="M100" s="14">
        <f t="shared" si="3"/>
        <v>175</v>
      </c>
      <c r="N100" s="14" t="s">
        <v>893</v>
      </c>
      <c r="O100" s="51" t="s">
        <v>829</v>
      </c>
      <c r="P100" s="15" t="s">
        <v>889</v>
      </c>
      <c r="Q100" s="15">
        <f t="shared" si="4"/>
        <v>0.12</v>
      </c>
      <c r="R100" s="14"/>
    </row>
    <row r="101" spans="1:18" s="50" customFormat="1" ht="24">
      <c r="A101" s="49"/>
      <c r="B101" s="17">
        <f t="shared" si="0"/>
        <v>94</v>
      </c>
      <c r="C101" s="23" t="s">
        <v>35</v>
      </c>
      <c r="D101" s="46" t="s">
        <v>137</v>
      </c>
      <c r="E101" s="46" t="s">
        <v>290</v>
      </c>
      <c r="F101" s="42" t="s">
        <v>394</v>
      </c>
      <c r="G101" s="46" t="s">
        <v>488</v>
      </c>
      <c r="H101" s="46" t="s">
        <v>539</v>
      </c>
      <c r="I101" s="46" t="s">
        <v>626</v>
      </c>
      <c r="J101" s="46" t="s">
        <v>679</v>
      </c>
      <c r="K101" s="45" t="s">
        <v>743</v>
      </c>
      <c r="L101" s="46">
        <v>2</v>
      </c>
      <c r="M101" s="46">
        <f t="shared" si="3"/>
        <v>50</v>
      </c>
      <c r="N101" s="46" t="s">
        <v>626</v>
      </c>
      <c r="O101" s="46" t="s">
        <v>626</v>
      </c>
      <c r="P101" s="47" t="s">
        <v>626</v>
      </c>
      <c r="Q101" s="15" t="s">
        <v>626</v>
      </c>
      <c r="R101" s="48" t="s">
        <v>795</v>
      </c>
    </row>
    <row r="102" spans="1:18" s="50" customFormat="1" ht="48">
      <c r="A102" s="49"/>
      <c r="B102" s="16">
        <f>ROW(B102) - ROW($B$7)</f>
        <v>95</v>
      </c>
      <c r="C102" s="22" t="s">
        <v>34</v>
      </c>
      <c r="D102" s="14" t="s">
        <v>138</v>
      </c>
      <c r="E102" s="14" t="s">
        <v>291</v>
      </c>
      <c r="F102" s="14" t="s">
        <v>394</v>
      </c>
      <c r="G102" s="14" t="s">
        <v>489</v>
      </c>
      <c r="H102" s="14" t="s">
        <v>539</v>
      </c>
      <c r="I102" s="14" t="s">
        <v>626</v>
      </c>
      <c r="J102" s="14" t="s">
        <v>680</v>
      </c>
      <c r="K102" s="43" t="s">
        <v>760</v>
      </c>
      <c r="L102" s="14">
        <v>30</v>
      </c>
      <c r="M102" s="14">
        <f t="shared" si="3"/>
        <v>750</v>
      </c>
      <c r="N102" s="14" t="s">
        <v>964</v>
      </c>
      <c r="O102" s="51" t="s">
        <v>829</v>
      </c>
      <c r="P102" s="15" t="s">
        <v>889</v>
      </c>
      <c r="Q102" s="15">
        <f t="shared" si="4"/>
        <v>0.48</v>
      </c>
      <c r="R102" s="14"/>
    </row>
    <row r="103" spans="1:18" s="50" customFormat="1" ht="60">
      <c r="A103" s="49"/>
      <c r="B103" s="17">
        <f t="shared" si="0"/>
        <v>96</v>
      </c>
      <c r="C103" s="23" t="s">
        <v>34</v>
      </c>
      <c r="D103" s="20" t="s">
        <v>139</v>
      </c>
      <c r="E103" s="20" t="s">
        <v>292</v>
      </c>
      <c r="F103" s="20" t="s">
        <v>394</v>
      </c>
      <c r="G103" s="20" t="s">
        <v>490</v>
      </c>
      <c r="H103" s="20" t="s">
        <v>577</v>
      </c>
      <c r="I103" s="14" t="s">
        <v>626</v>
      </c>
      <c r="J103" s="20" t="s">
        <v>681</v>
      </c>
      <c r="K103" s="44" t="s">
        <v>761</v>
      </c>
      <c r="L103" s="20">
        <v>8</v>
      </c>
      <c r="M103" s="14">
        <f t="shared" si="3"/>
        <v>200</v>
      </c>
      <c r="N103" s="20">
        <v>300</v>
      </c>
      <c r="O103" s="51" t="s">
        <v>829</v>
      </c>
      <c r="P103" s="21" t="s">
        <v>890</v>
      </c>
      <c r="Q103" s="15">
        <f t="shared" si="4"/>
        <v>0.15</v>
      </c>
      <c r="R103" s="20"/>
    </row>
    <row r="104" spans="1:18" s="50" customFormat="1" ht="24">
      <c r="A104" s="49"/>
      <c r="B104" s="16">
        <f>ROW(B104) - ROW($B$7)</f>
        <v>97</v>
      </c>
      <c r="C104" s="22" t="s">
        <v>34</v>
      </c>
      <c r="D104" s="14" t="s">
        <v>140</v>
      </c>
      <c r="E104" s="14" t="s">
        <v>293</v>
      </c>
      <c r="F104" s="14" t="s">
        <v>395</v>
      </c>
      <c r="G104" s="14" t="s">
        <v>491</v>
      </c>
      <c r="H104" s="14" t="s">
        <v>539</v>
      </c>
      <c r="I104" s="14" t="s">
        <v>626</v>
      </c>
      <c r="J104" s="14" t="s">
        <v>682</v>
      </c>
      <c r="K104" s="43" t="s">
        <v>749</v>
      </c>
      <c r="L104" s="14">
        <v>7</v>
      </c>
      <c r="M104" s="14">
        <f t="shared" si="3"/>
        <v>175</v>
      </c>
      <c r="N104" s="14" t="s">
        <v>893</v>
      </c>
      <c r="O104" s="51" t="s">
        <v>829</v>
      </c>
      <c r="P104" s="15" t="s">
        <v>891</v>
      </c>
      <c r="Q104" s="15">
        <f t="shared" si="4"/>
        <v>0.24</v>
      </c>
      <c r="R104" s="14"/>
    </row>
    <row r="105" spans="1:18" s="50" customFormat="1" ht="24">
      <c r="A105" s="49"/>
      <c r="B105" s="17">
        <f t="shared" si="0"/>
        <v>98</v>
      </c>
      <c r="C105" s="22" t="s">
        <v>34</v>
      </c>
      <c r="D105" s="20" t="s">
        <v>141</v>
      </c>
      <c r="E105" s="20" t="s">
        <v>294</v>
      </c>
      <c r="F105" s="14" t="s">
        <v>394</v>
      </c>
      <c r="G105" s="20" t="s">
        <v>492</v>
      </c>
      <c r="H105" s="20" t="s">
        <v>539</v>
      </c>
      <c r="I105" s="14" t="s">
        <v>626</v>
      </c>
      <c r="J105" s="20" t="s">
        <v>683</v>
      </c>
      <c r="K105" s="43" t="s">
        <v>762</v>
      </c>
      <c r="L105" s="20">
        <v>3</v>
      </c>
      <c r="M105" s="14">
        <f t="shared" si="3"/>
        <v>75</v>
      </c>
      <c r="N105" s="20" t="s">
        <v>804</v>
      </c>
      <c r="O105" s="51" t="s">
        <v>829</v>
      </c>
      <c r="P105" s="21" t="s">
        <v>894</v>
      </c>
      <c r="Q105" s="15">
        <f t="shared" si="4"/>
        <v>1.79</v>
      </c>
      <c r="R105" s="20"/>
    </row>
    <row r="106" spans="1:18" s="50" customFormat="1" ht="24">
      <c r="A106" s="49"/>
      <c r="B106" s="16">
        <f>ROW(B106) - ROW($B$7)</f>
        <v>99</v>
      </c>
      <c r="C106" s="22" t="s">
        <v>34</v>
      </c>
      <c r="D106" s="14" t="s">
        <v>142</v>
      </c>
      <c r="E106" s="14" t="s">
        <v>295</v>
      </c>
      <c r="F106" s="14" t="s">
        <v>394</v>
      </c>
      <c r="G106" s="14" t="s">
        <v>493</v>
      </c>
      <c r="H106" s="14" t="s">
        <v>539</v>
      </c>
      <c r="I106" s="14" t="s">
        <v>626</v>
      </c>
      <c r="J106" s="14" t="s">
        <v>684</v>
      </c>
      <c r="K106" s="43" t="s">
        <v>763</v>
      </c>
      <c r="L106" s="14">
        <v>1</v>
      </c>
      <c r="M106" s="14">
        <f t="shared" si="3"/>
        <v>25</v>
      </c>
      <c r="N106" s="14" t="s">
        <v>804</v>
      </c>
      <c r="O106" s="51" t="s">
        <v>829</v>
      </c>
      <c r="P106" s="15" t="s">
        <v>889</v>
      </c>
      <c r="Q106" s="15">
        <f t="shared" si="4"/>
        <v>0.06</v>
      </c>
      <c r="R106" s="14"/>
    </row>
    <row r="107" spans="1:18" s="50" customFormat="1" ht="24">
      <c r="A107" s="49"/>
      <c r="B107" s="17">
        <f t="shared" si="0"/>
        <v>100</v>
      </c>
      <c r="C107" s="23" t="s">
        <v>34</v>
      </c>
      <c r="D107" s="20" t="s">
        <v>143</v>
      </c>
      <c r="E107" s="20" t="s">
        <v>296</v>
      </c>
      <c r="F107" s="20" t="s">
        <v>396</v>
      </c>
      <c r="G107" s="20" t="s">
        <v>494</v>
      </c>
      <c r="H107" s="20" t="s">
        <v>539</v>
      </c>
      <c r="I107" s="14" t="s">
        <v>626</v>
      </c>
      <c r="J107" s="20" t="s">
        <v>685</v>
      </c>
      <c r="K107" s="44" t="s">
        <v>764</v>
      </c>
      <c r="L107" s="20">
        <v>1</v>
      </c>
      <c r="M107" s="14">
        <f t="shared" si="3"/>
        <v>25</v>
      </c>
      <c r="N107" s="20" t="s">
        <v>830</v>
      </c>
      <c r="O107" s="51" t="s">
        <v>829</v>
      </c>
      <c r="P107" s="21" t="s">
        <v>895</v>
      </c>
      <c r="Q107" s="15">
        <f t="shared" si="4"/>
        <v>1.444</v>
      </c>
      <c r="R107" s="20"/>
    </row>
    <row r="108" spans="1:18" s="50" customFormat="1" ht="24">
      <c r="A108" s="49"/>
      <c r="B108" s="16">
        <f>ROW(B108) - ROW($B$7)</f>
        <v>101</v>
      </c>
      <c r="C108" s="23" t="s">
        <v>35</v>
      </c>
      <c r="D108" s="14" t="s">
        <v>144</v>
      </c>
      <c r="E108" s="14" t="s">
        <v>297</v>
      </c>
      <c r="F108" s="20" t="s">
        <v>396</v>
      </c>
      <c r="G108" s="14" t="s">
        <v>495</v>
      </c>
      <c r="H108" s="14" t="s">
        <v>539</v>
      </c>
      <c r="I108" s="14" t="s">
        <v>626</v>
      </c>
      <c r="J108" s="14" t="s">
        <v>686</v>
      </c>
      <c r="K108" s="44" t="s">
        <v>765</v>
      </c>
      <c r="L108" s="14">
        <v>1</v>
      </c>
      <c r="M108" s="14">
        <f t="shared" si="3"/>
        <v>25</v>
      </c>
      <c r="N108" s="14" t="s">
        <v>830</v>
      </c>
      <c r="O108" s="51" t="s">
        <v>829</v>
      </c>
      <c r="P108" s="15" t="s">
        <v>896</v>
      </c>
      <c r="Q108" s="15">
        <f t="shared" si="4"/>
        <v>1.3639999999999999</v>
      </c>
      <c r="R108" s="14"/>
    </row>
    <row r="109" spans="1:18" s="50" customFormat="1" ht="24">
      <c r="A109" s="49"/>
      <c r="B109" s="17">
        <f t="shared" si="0"/>
        <v>102</v>
      </c>
      <c r="C109" s="22" t="s">
        <v>35</v>
      </c>
      <c r="D109" s="20" t="s">
        <v>145</v>
      </c>
      <c r="E109" s="20" t="s">
        <v>298</v>
      </c>
      <c r="F109" s="14" t="s">
        <v>394</v>
      </c>
      <c r="G109" s="20" t="s">
        <v>496</v>
      </c>
      <c r="H109" s="20" t="s">
        <v>539</v>
      </c>
      <c r="I109" s="14" t="s">
        <v>626</v>
      </c>
      <c r="J109" s="20" t="s">
        <v>687</v>
      </c>
      <c r="K109" s="43" t="s">
        <v>766</v>
      </c>
      <c r="L109" s="20">
        <v>1</v>
      </c>
      <c r="M109" s="14">
        <f t="shared" si="3"/>
        <v>25</v>
      </c>
      <c r="N109" s="20" t="s">
        <v>807</v>
      </c>
      <c r="O109" s="51" t="s">
        <v>829</v>
      </c>
      <c r="P109" s="21" t="s">
        <v>894</v>
      </c>
      <c r="Q109" s="15">
        <f t="shared" si="4"/>
        <v>0.89500000000000002</v>
      </c>
      <c r="R109" s="20"/>
    </row>
    <row r="110" spans="1:18" s="50" customFormat="1" ht="24">
      <c r="A110" s="49"/>
      <c r="B110" s="16">
        <f>ROW(B110) - ROW($B$7)</f>
        <v>103</v>
      </c>
      <c r="C110" s="22" t="s">
        <v>35</v>
      </c>
      <c r="D110" s="14" t="s">
        <v>146</v>
      </c>
      <c r="E110" s="14" t="s">
        <v>299</v>
      </c>
      <c r="F110" s="20" t="s">
        <v>394</v>
      </c>
      <c r="G110" s="14" t="s">
        <v>497</v>
      </c>
      <c r="H110" s="14" t="s">
        <v>539</v>
      </c>
      <c r="I110" s="14" t="s">
        <v>626</v>
      </c>
      <c r="J110" s="14" t="s">
        <v>688</v>
      </c>
      <c r="K110" s="44" t="s">
        <v>767</v>
      </c>
      <c r="L110" s="14">
        <v>1</v>
      </c>
      <c r="M110" s="14">
        <f t="shared" si="3"/>
        <v>25</v>
      </c>
      <c r="N110" s="14" t="s">
        <v>804</v>
      </c>
      <c r="O110" s="51" t="s">
        <v>829</v>
      </c>
      <c r="P110" s="15" t="s">
        <v>897</v>
      </c>
      <c r="Q110" s="15">
        <f t="shared" si="4"/>
        <v>6.9999999999999993E-2</v>
      </c>
      <c r="R110" s="14"/>
    </row>
    <row r="111" spans="1:18" s="50" customFormat="1" ht="24">
      <c r="A111" s="49"/>
      <c r="B111" s="17">
        <f t="shared" si="0"/>
        <v>104</v>
      </c>
      <c r="C111" s="22" t="s">
        <v>35</v>
      </c>
      <c r="D111" s="20" t="s">
        <v>147</v>
      </c>
      <c r="E111" s="20" t="s">
        <v>300</v>
      </c>
      <c r="F111" s="14" t="s">
        <v>394</v>
      </c>
      <c r="G111" s="20" t="s">
        <v>498</v>
      </c>
      <c r="H111" s="20" t="s">
        <v>539</v>
      </c>
      <c r="I111" s="14" t="s">
        <v>626</v>
      </c>
      <c r="J111" s="20" t="s">
        <v>689</v>
      </c>
      <c r="K111" s="43" t="s">
        <v>768</v>
      </c>
      <c r="L111" s="20">
        <v>4</v>
      </c>
      <c r="M111" s="14">
        <f t="shared" si="3"/>
        <v>100</v>
      </c>
      <c r="N111" s="20" t="s">
        <v>804</v>
      </c>
      <c r="O111" s="51" t="s">
        <v>829</v>
      </c>
      <c r="P111" s="21" t="s">
        <v>889</v>
      </c>
      <c r="Q111" s="15">
        <f t="shared" si="4"/>
        <v>0.06</v>
      </c>
      <c r="R111" s="20"/>
    </row>
    <row r="112" spans="1:18" s="50" customFormat="1">
      <c r="A112" s="49"/>
      <c r="B112" s="16">
        <f>ROW(B112) - ROW($B$7)</f>
        <v>105</v>
      </c>
      <c r="C112" s="22" t="s">
        <v>35</v>
      </c>
      <c r="D112" s="14" t="s">
        <v>148</v>
      </c>
      <c r="E112" s="14" t="s">
        <v>301</v>
      </c>
      <c r="F112" s="20" t="s">
        <v>395</v>
      </c>
      <c r="G112" s="14" t="s">
        <v>499</v>
      </c>
      <c r="H112" s="14" t="s">
        <v>539</v>
      </c>
      <c r="I112" s="14" t="s">
        <v>626</v>
      </c>
      <c r="J112" s="14" t="s">
        <v>690</v>
      </c>
      <c r="K112" s="44" t="s">
        <v>769</v>
      </c>
      <c r="L112" s="14">
        <v>1</v>
      </c>
      <c r="M112" s="14">
        <f t="shared" si="3"/>
        <v>25</v>
      </c>
      <c r="N112" s="14" t="s">
        <v>804</v>
      </c>
      <c r="O112" s="51" t="s">
        <v>829</v>
      </c>
      <c r="P112" s="15" t="s">
        <v>898</v>
      </c>
      <c r="Q112" s="15">
        <f t="shared" si="4"/>
        <v>0.3</v>
      </c>
      <c r="R112" s="14"/>
    </row>
    <row r="113" spans="1:18" s="50" customFormat="1">
      <c r="A113" s="49"/>
      <c r="B113" s="17">
        <f t="shared" si="0"/>
        <v>106</v>
      </c>
      <c r="C113" s="22" t="s">
        <v>35</v>
      </c>
      <c r="D113" s="20" t="s">
        <v>149</v>
      </c>
      <c r="E113" s="20" t="s">
        <v>302</v>
      </c>
      <c r="F113" s="14" t="s">
        <v>394</v>
      </c>
      <c r="G113" s="20" t="s">
        <v>500</v>
      </c>
      <c r="H113" s="20" t="s">
        <v>539</v>
      </c>
      <c r="I113" s="14" t="s">
        <v>626</v>
      </c>
      <c r="J113" s="20" t="s">
        <v>691</v>
      </c>
      <c r="K113" s="43" t="s">
        <v>770</v>
      </c>
      <c r="L113" s="20">
        <v>1</v>
      </c>
      <c r="M113" s="14">
        <f t="shared" si="3"/>
        <v>25</v>
      </c>
      <c r="N113" s="20" t="s">
        <v>804</v>
      </c>
      <c r="O113" s="51" t="s">
        <v>829</v>
      </c>
      <c r="P113" s="21" t="s">
        <v>889</v>
      </c>
      <c r="Q113" s="15">
        <f t="shared" si="4"/>
        <v>0.06</v>
      </c>
      <c r="R113" s="20"/>
    </row>
    <row r="114" spans="1:18" s="50" customFormat="1" ht="24">
      <c r="A114" s="49"/>
      <c r="B114" s="16">
        <f>ROW(B114) - ROW($B$7)</f>
        <v>107</v>
      </c>
      <c r="C114" s="23" t="s">
        <v>34</v>
      </c>
      <c r="D114" s="14" t="s">
        <v>150</v>
      </c>
      <c r="E114" s="14" t="s">
        <v>303</v>
      </c>
      <c r="F114" s="20" t="s">
        <v>395</v>
      </c>
      <c r="G114" s="14" t="s">
        <v>501</v>
      </c>
      <c r="H114" s="14" t="s">
        <v>539</v>
      </c>
      <c r="I114" s="14" t="s">
        <v>626</v>
      </c>
      <c r="J114" s="14" t="s">
        <v>692</v>
      </c>
      <c r="K114" s="44" t="s">
        <v>771</v>
      </c>
      <c r="L114" s="14">
        <v>12</v>
      </c>
      <c r="M114" s="14">
        <f t="shared" si="3"/>
        <v>300</v>
      </c>
      <c r="N114" s="14">
        <v>400</v>
      </c>
      <c r="O114" s="51" t="s">
        <v>829</v>
      </c>
      <c r="P114" s="15" t="s">
        <v>827</v>
      </c>
      <c r="Q114" s="15">
        <f t="shared" si="4"/>
        <v>0.44</v>
      </c>
      <c r="R114" s="14"/>
    </row>
    <row r="115" spans="1:18" s="50" customFormat="1" ht="36">
      <c r="A115" s="49"/>
      <c r="B115" s="17">
        <f t="shared" si="0"/>
        <v>108</v>
      </c>
      <c r="C115" s="22" t="s">
        <v>34</v>
      </c>
      <c r="D115" s="20" t="s">
        <v>151</v>
      </c>
      <c r="E115" s="20" t="s">
        <v>304</v>
      </c>
      <c r="F115" s="14" t="s">
        <v>395</v>
      </c>
      <c r="G115" s="20" t="s">
        <v>502</v>
      </c>
      <c r="H115" s="20" t="s">
        <v>539</v>
      </c>
      <c r="I115" s="14" t="s">
        <v>626</v>
      </c>
      <c r="J115" s="20" t="s">
        <v>693</v>
      </c>
      <c r="K115" s="43" t="s">
        <v>759</v>
      </c>
      <c r="L115" s="20">
        <v>16</v>
      </c>
      <c r="M115" s="14">
        <f t="shared" si="3"/>
        <v>400</v>
      </c>
      <c r="N115" s="20">
        <v>500</v>
      </c>
      <c r="O115" s="51" t="s">
        <v>829</v>
      </c>
      <c r="P115" s="21" t="s">
        <v>827</v>
      </c>
      <c r="Q115" s="15">
        <f t="shared" si="4"/>
        <v>0.55000000000000004</v>
      </c>
      <c r="R115" s="20"/>
    </row>
    <row r="116" spans="1:18" s="50" customFormat="1">
      <c r="A116" s="49"/>
      <c r="B116" s="16">
        <f>ROW(B116) - ROW($B$7)</f>
        <v>109</v>
      </c>
      <c r="C116" s="23" t="s">
        <v>34</v>
      </c>
      <c r="D116" s="14" t="s">
        <v>152</v>
      </c>
      <c r="E116" s="14" t="s">
        <v>305</v>
      </c>
      <c r="F116" s="20" t="s">
        <v>395</v>
      </c>
      <c r="G116" s="14" t="s">
        <v>503</v>
      </c>
      <c r="H116" s="14" t="s">
        <v>539</v>
      </c>
      <c r="I116" s="14" t="s">
        <v>626</v>
      </c>
      <c r="J116" s="14" t="s">
        <v>694</v>
      </c>
      <c r="K116" s="44" t="s">
        <v>772</v>
      </c>
      <c r="L116" s="14">
        <v>2</v>
      </c>
      <c r="M116" s="14">
        <f t="shared" si="3"/>
        <v>50</v>
      </c>
      <c r="N116" s="14" t="s">
        <v>804</v>
      </c>
      <c r="O116" s="51" t="s">
        <v>829</v>
      </c>
      <c r="P116" s="15" t="s">
        <v>891</v>
      </c>
      <c r="Q116" s="15">
        <f t="shared" si="4"/>
        <v>0.12</v>
      </c>
      <c r="R116" s="14"/>
    </row>
    <row r="117" spans="1:18" s="50" customFormat="1" ht="24">
      <c r="A117" s="49"/>
      <c r="B117" s="17">
        <f t="shared" si="0"/>
        <v>110</v>
      </c>
      <c r="C117" s="22" t="s">
        <v>34</v>
      </c>
      <c r="D117" s="20" t="s">
        <v>153</v>
      </c>
      <c r="E117" s="20" t="s">
        <v>306</v>
      </c>
      <c r="F117" s="14" t="s">
        <v>394</v>
      </c>
      <c r="G117" s="20" t="s">
        <v>504</v>
      </c>
      <c r="H117" s="20" t="s">
        <v>539</v>
      </c>
      <c r="I117" s="14" t="s">
        <v>626</v>
      </c>
      <c r="J117" s="20" t="s">
        <v>695</v>
      </c>
      <c r="K117" s="43" t="s">
        <v>773</v>
      </c>
      <c r="L117" s="20">
        <v>11</v>
      </c>
      <c r="M117" s="14">
        <f t="shared" si="3"/>
        <v>275</v>
      </c>
      <c r="N117" s="20" t="s">
        <v>865</v>
      </c>
      <c r="O117" s="51" t="s">
        <v>829</v>
      </c>
      <c r="P117" s="21" t="s">
        <v>889</v>
      </c>
      <c r="Q117" s="15">
        <f t="shared" si="4"/>
        <v>0.18</v>
      </c>
      <c r="R117" s="20"/>
    </row>
    <row r="118" spans="1:18" s="50" customFormat="1" ht="24">
      <c r="A118" s="49"/>
      <c r="B118" s="16">
        <f>ROW(B118) - ROW($B$7)</f>
        <v>111</v>
      </c>
      <c r="C118" s="22" t="s">
        <v>34</v>
      </c>
      <c r="D118" s="14" t="s">
        <v>154</v>
      </c>
      <c r="E118" s="14" t="s">
        <v>307</v>
      </c>
      <c r="F118" s="20" t="s">
        <v>395</v>
      </c>
      <c r="G118" s="44" t="s">
        <v>797</v>
      </c>
      <c r="H118" s="14" t="s">
        <v>539</v>
      </c>
      <c r="I118" s="14" t="s">
        <v>626</v>
      </c>
      <c r="J118" s="14" t="s">
        <v>801</v>
      </c>
      <c r="K118" s="44" t="s">
        <v>774</v>
      </c>
      <c r="L118" s="14">
        <v>1</v>
      </c>
      <c r="M118" s="14">
        <f t="shared" si="3"/>
        <v>25</v>
      </c>
      <c r="N118" s="14" t="s">
        <v>830</v>
      </c>
      <c r="O118" s="51" t="s">
        <v>829</v>
      </c>
      <c r="P118" s="15" t="s">
        <v>879</v>
      </c>
      <c r="Q118" s="15">
        <f t="shared" si="4"/>
        <v>0.88800000000000001</v>
      </c>
      <c r="R118" s="14"/>
    </row>
    <row r="119" spans="1:18" s="50" customFormat="1" ht="24">
      <c r="A119" s="49"/>
      <c r="B119" s="17">
        <f t="shared" si="0"/>
        <v>112</v>
      </c>
      <c r="C119" s="22" t="s">
        <v>34</v>
      </c>
      <c r="D119" s="46" t="s">
        <v>155</v>
      </c>
      <c r="E119" s="46" t="s">
        <v>284</v>
      </c>
      <c r="F119" s="42" t="s">
        <v>394</v>
      </c>
      <c r="G119" s="46" t="s">
        <v>482</v>
      </c>
      <c r="H119" s="46" t="s">
        <v>539</v>
      </c>
      <c r="I119" s="46" t="s">
        <v>626</v>
      </c>
      <c r="J119" s="46" t="s">
        <v>673</v>
      </c>
      <c r="K119" s="45" t="s">
        <v>743</v>
      </c>
      <c r="L119" s="46">
        <v>1</v>
      </c>
      <c r="M119" s="46">
        <f t="shared" si="3"/>
        <v>25</v>
      </c>
      <c r="N119" s="46" t="s">
        <v>626</v>
      </c>
      <c r="O119" s="46" t="s">
        <v>626</v>
      </c>
      <c r="P119" s="47" t="s">
        <v>626</v>
      </c>
      <c r="Q119" s="15" t="s">
        <v>626</v>
      </c>
      <c r="R119" s="48" t="s">
        <v>795</v>
      </c>
    </row>
    <row r="120" spans="1:18" s="50" customFormat="1">
      <c r="A120" s="49"/>
      <c r="B120" s="16">
        <f>ROW(B120) - ROW($B$7)</f>
        <v>113</v>
      </c>
      <c r="C120" s="23" t="s">
        <v>34</v>
      </c>
      <c r="D120" s="46" t="s">
        <v>156</v>
      </c>
      <c r="E120" s="46" t="s">
        <v>308</v>
      </c>
      <c r="F120" s="42" t="s">
        <v>394</v>
      </c>
      <c r="G120" s="46" t="s">
        <v>505</v>
      </c>
      <c r="H120" s="46" t="s">
        <v>539</v>
      </c>
      <c r="I120" s="46" t="s">
        <v>626</v>
      </c>
      <c r="J120" s="46" t="s">
        <v>696</v>
      </c>
      <c r="K120" s="45" t="s">
        <v>743</v>
      </c>
      <c r="L120" s="46">
        <v>1</v>
      </c>
      <c r="M120" s="46">
        <f t="shared" si="3"/>
        <v>25</v>
      </c>
      <c r="N120" s="46" t="s">
        <v>626</v>
      </c>
      <c r="O120" s="46" t="s">
        <v>626</v>
      </c>
      <c r="P120" s="47" t="s">
        <v>626</v>
      </c>
      <c r="Q120" s="15" t="s">
        <v>626</v>
      </c>
      <c r="R120" s="48" t="s">
        <v>795</v>
      </c>
    </row>
    <row r="121" spans="1:18" s="50" customFormat="1" ht="24">
      <c r="A121" s="49"/>
      <c r="B121" s="17">
        <f t="shared" si="0"/>
        <v>114</v>
      </c>
      <c r="C121" s="22" t="s">
        <v>34</v>
      </c>
      <c r="D121" s="20" t="s">
        <v>157</v>
      </c>
      <c r="E121" s="20" t="s">
        <v>309</v>
      </c>
      <c r="F121" s="14" t="s">
        <v>394</v>
      </c>
      <c r="G121" s="20" t="s">
        <v>506</v>
      </c>
      <c r="H121" s="20" t="s">
        <v>539</v>
      </c>
      <c r="I121" s="20" t="s">
        <v>626</v>
      </c>
      <c r="J121" s="20" t="s">
        <v>697</v>
      </c>
      <c r="K121" s="43" t="s">
        <v>772</v>
      </c>
      <c r="L121" s="20">
        <v>11</v>
      </c>
      <c r="M121" s="14">
        <f t="shared" si="3"/>
        <v>275</v>
      </c>
      <c r="N121" s="20" t="s">
        <v>865</v>
      </c>
      <c r="O121" s="51" t="s">
        <v>829</v>
      </c>
      <c r="P121" s="21" t="s">
        <v>889</v>
      </c>
      <c r="Q121" s="15">
        <f t="shared" si="4"/>
        <v>0.18</v>
      </c>
      <c r="R121" s="20"/>
    </row>
    <row r="122" spans="1:18" s="50" customFormat="1" ht="24">
      <c r="A122" s="49"/>
      <c r="B122" s="16">
        <f>ROW(B122) - ROW($B$7)</f>
        <v>115</v>
      </c>
      <c r="C122" s="23" t="s">
        <v>34</v>
      </c>
      <c r="D122" s="14" t="s">
        <v>158</v>
      </c>
      <c r="E122" s="14" t="s">
        <v>310</v>
      </c>
      <c r="F122" s="20" t="s">
        <v>394</v>
      </c>
      <c r="G122" s="14" t="s">
        <v>507</v>
      </c>
      <c r="H122" s="14" t="s">
        <v>539</v>
      </c>
      <c r="I122" s="20" t="s">
        <v>626</v>
      </c>
      <c r="J122" s="14" t="s">
        <v>698</v>
      </c>
      <c r="K122" s="44" t="s">
        <v>775</v>
      </c>
      <c r="L122" s="14">
        <v>3</v>
      </c>
      <c r="M122" s="14">
        <f t="shared" si="3"/>
        <v>75</v>
      </c>
      <c r="N122" s="14" t="s">
        <v>804</v>
      </c>
      <c r="O122" s="51" t="s">
        <v>829</v>
      </c>
      <c r="P122" s="15" t="s">
        <v>889</v>
      </c>
      <c r="Q122" s="15">
        <f t="shared" si="4"/>
        <v>0.06</v>
      </c>
      <c r="R122" s="14"/>
    </row>
    <row r="123" spans="1:18" s="50" customFormat="1">
      <c r="A123" s="49"/>
      <c r="B123" s="17">
        <f t="shared" si="0"/>
        <v>116</v>
      </c>
      <c r="C123" s="22" t="s">
        <v>34</v>
      </c>
      <c r="D123" s="20" t="s">
        <v>159</v>
      </c>
      <c r="E123" s="20" t="s">
        <v>311</v>
      </c>
      <c r="F123" s="14" t="s">
        <v>395</v>
      </c>
      <c r="G123" s="20" t="s">
        <v>508</v>
      </c>
      <c r="H123" s="20" t="s">
        <v>539</v>
      </c>
      <c r="I123" s="20" t="s">
        <v>626</v>
      </c>
      <c r="J123" s="20" t="s">
        <v>699</v>
      </c>
      <c r="K123" s="43" t="s">
        <v>776</v>
      </c>
      <c r="L123" s="20">
        <v>4</v>
      </c>
      <c r="M123" s="14">
        <f t="shared" si="3"/>
        <v>100</v>
      </c>
      <c r="N123" s="20" t="s">
        <v>804</v>
      </c>
      <c r="O123" s="51" t="s">
        <v>829</v>
      </c>
      <c r="P123" s="21" t="s">
        <v>826</v>
      </c>
      <c r="Q123" s="15">
        <f t="shared" si="4"/>
        <v>0.1</v>
      </c>
      <c r="R123" s="20"/>
    </row>
    <row r="124" spans="1:18" s="50" customFormat="1" ht="24">
      <c r="A124" s="49"/>
      <c r="B124" s="16">
        <f>ROW(B124) - ROW($B$7)</f>
        <v>117</v>
      </c>
      <c r="C124" s="23" t="s">
        <v>34</v>
      </c>
      <c r="D124" s="14" t="s">
        <v>160</v>
      </c>
      <c r="E124" s="14" t="s">
        <v>312</v>
      </c>
      <c r="F124" s="20" t="s">
        <v>394</v>
      </c>
      <c r="G124" s="14" t="s">
        <v>509</v>
      </c>
      <c r="H124" s="14" t="s">
        <v>539</v>
      </c>
      <c r="I124" s="20" t="s">
        <v>626</v>
      </c>
      <c r="J124" s="14" t="s">
        <v>700</v>
      </c>
      <c r="K124" s="44" t="s">
        <v>777</v>
      </c>
      <c r="L124" s="14">
        <v>1</v>
      </c>
      <c r="M124" s="14">
        <f t="shared" si="3"/>
        <v>25</v>
      </c>
      <c r="N124" s="14" t="s">
        <v>807</v>
      </c>
      <c r="O124" s="51" t="s">
        <v>829</v>
      </c>
      <c r="P124" s="15" t="s">
        <v>899</v>
      </c>
      <c r="Q124" s="15">
        <f t="shared" si="4"/>
        <v>0.90500000000000003</v>
      </c>
      <c r="R124" s="14"/>
    </row>
    <row r="125" spans="1:18" s="50" customFormat="1" ht="24">
      <c r="A125" s="49"/>
      <c r="B125" s="17">
        <f t="shared" si="0"/>
        <v>118</v>
      </c>
      <c r="C125" s="22" t="s">
        <v>34</v>
      </c>
      <c r="D125" s="46" t="s">
        <v>161</v>
      </c>
      <c r="E125" s="46" t="s">
        <v>291</v>
      </c>
      <c r="F125" s="42" t="s">
        <v>394</v>
      </c>
      <c r="G125" s="46" t="s">
        <v>489</v>
      </c>
      <c r="H125" s="46" t="s">
        <v>539</v>
      </c>
      <c r="I125" s="46" t="s">
        <v>626</v>
      </c>
      <c r="J125" s="46" t="s">
        <v>680</v>
      </c>
      <c r="K125" s="45" t="s">
        <v>743</v>
      </c>
      <c r="L125" s="46">
        <v>1</v>
      </c>
      <c r="M125" s="46">
        <f t="shared" si="3"/>
        <v>25</v>
      </c>
      <c r="N125" s="46" t="s">
        <v>626</v>
      </c>
      <c r="O125" s="46" t="s">
        <v>626</v>
      </c>
      <c r="P125" s="47" t="s">
        <v>626</v>
      </c>
      <c r="Q125" s="15" t="s">
        <v>626</v>
      </c>
      <c r="R125" s="48" t="s">
        <v>795</v>
      </c>
    </row>
    <row r="126" spans="1:18" s="50" customFormat="1" ht="24">
      <c r="A126" s="49"/>
      <c r="B126" s="16">
        <f>ROW(B126) - ROW($B$7)</f>
        <v>119</v>
      </c>
      <c r="C126" s="22" t="s">
        <v>34</v>
      </c>
      <c r="D126" s="14" t="s">
        <v>162</v>
      </c>
      <c r="E126" s="14" t="s">
        <v>313</v>
      </c>
      <c r="F126" s="14" t="s">
        <v>394</v>
      </c>
      <c r="G126" s="14" t="s">
        <v>510</v>
      </c>
      <c r="H126" s="14" t="s">
        <v>539</v>
      </c>
      <c r="I126" s="14" t="s">
        <v>626</v>
      </c>
      <c r="J126" s="14" t="s">
        <v>701</v>
      </c>
      <c r="K126" s="43" t="s">
        <v>778</v>
      </c>
      <c r="L126" s="14">
        <v>4</v>
      </c>
      <c r="M126" s="14">
        <f t="shared" si="3"/>
        <v>100</v>
      </c>
      <c r="N126" s="14">
        <v>200</v>
      </c>
      <c r="O126" s="51" t="s">
        <v>829</v>
      </c>
      <c r="P126" s="15" t="s">
        <v>889</v>
      </c>
      <c r="Q126" s="15">
        <f t="shared" si="4"/>
        <v>0.12</v>
      </c>
      <c r="R126" s="14"/>
    </row>
    <row r="127" spans="1:18" s="50" customFormat="1" ht="24">
      <c r="A127" s="49"/>
      <c r="B127" s="17">
        <f t="shared" si="0"/>
        <v>120</v>
      </c>
      <c r="C127" s="23" t="s">
        <v>34</v>
      </c>
      <c r="D127" s="20" t="s">
        <v>163</v>
      </c>
      <c r="E127" s="20" t="s">
        <v>314</v>
      </c>
      <c r="F127" s="20" t="s">
        <v>394</v>
      </c>
      <c r="G127" s="20" t="s">
        <v>511</v>
      </c>
      <c r="H127" s="20" t="s">
        <v>539</v>
      </c>
      <c r="I127" s="14" t="s">
        <v>626</v>
      </c>
      <c r="J127" s="20" t="s">
        <v>702</v>
      </c>
      <c r="K127" s="44" t="s">
        <v>779</v>
      </c>
      <c r="L127" s="20">
        <v>12</v>
      </c>
      <c r="M127" s="14">
        <f t="shared" si="3"/>
        <v>300</v>
      </c>
      <c r="N127" s="20">
        <v>400</v>
      </c>
      <c r="O127" s="51" t="s">
        <v>829</v>
      </c>
      <c r="P127" s="21" t="s">
        <v>897</v>
      </c>
      <c r="Q127" s="15">
        <f t="shared" si="4"/>
        <v>0.27999999999999997</v>
      </c>
      <c r="R127" s="20"/>
    </row>
    <row r="128" spans="1:18" s="50" customFormat="1" ht="24">
      <c r="A128" s="49"/>
      <c r="B128" s="16">
        <f>ROW(B128) - ROW($B$7)</f>
        <v>121</v>
      </c>
      <c r="C128" s="22" t="s">
        <v>34</v>
      </c>
      <c r="D128" s="14" t="s">
        <v>164</v>
      </c>
      <c r="E128" s="14" t="s">
        <v>315</v>
      </c>
      <c r="F128" s="14" t="s">
        <v>395</v>
      </c>
      <c r="G128" s="14" t="s">
        <v>512</v>
      </c>
      <c r="H128" s="14" t="s">
        <v>539</v>
      </c>
      <c r="I128" s="14" t="s">
        <v>626</v>
      </c>
      <c r="J128" s="14" t="s">
        <v>703</v>
      </c>
      <c r="K128" s="43" t="s">
        <v>749</v>
      </c>
      <c r="L128" s="14">
        <v>4</v>
      </c>
      <c r="M128" s="14">
        <f t="shared" si="3"/>
        <v>100</v>
      </c>
      <c r="N128" s="14">
        <v>200</v>
      </c>
      <c r="O128" s="51" t="s">
        <v>829</v>
      </c>
      <c r="P128" s="15" t="s">
        <v>826</v>
      </c>
      <c r="Q128" s="15">
        <f t="shared" si="4"/>
        <v>0.2</v>
      </c>
      <c r="R128" s="14"/>
    </row>
    <row r="129" spans="1:18" s="50" customFormat="1" ht="24">
      <c r="A129" s="49"/>
      <c r="B129" s="17">
        <f t="shared" si="0"/>
        <v>122</v>
      </c>
      <c r="C129" s="23" t="s">
        <v>34</v>
      </c>
      <c r="D129" s="20" t="s">
        <v>165</v>
      </c>
      <c r="E129" s="20" t="s">
        <v>316</v>
      </c>
      <c r="F129" s="20" t="s">
        <v>394</v>
      </c>
      <c r="G129" s="20" t="s">
        <v>513</v>
      </c>
      <c r="H129" s="20" t="s">
        <v>539</v>
      </c>
      <c r="I129" s="14" t="s">
        <v>626</v>
      </c>
      <c r="J129" s="20" t="s">
        <v>704</v>
      </c>
      <c r="K129" s="44" t="s">
        <v>780</v>
      </c>
      <c r="L129" s="20">
        <v>1</v>
      </c>
      <c r="M129" s="14">
        <f t="shared" si="3"/>
        <v>25</v>
      </c>
      <c r="N129" s="20" t="s">
        <v>932</v>
      </c>
      <c r="O129" s="51" t="s">
        <v>829</v>
      </c>
      <c r="P129" s="21" t="s">
        <v>900</v>
      </c>
      <c r="Q129" s="15">
        <f t="shared" si="4"/>
        <v>1.1339999999999999</v>
      </c>
      <c r="R129" s="20"/>
    </row>
    <row r="130" spans="1:18" s="50" customFormat="1" ht="24">
      <c r="A130" s="49"/>
      <c r="B130" s="16">
        <f>ROW(B130) - ROW($B$7)</f>
        <v>123</v>
      </c>
      <c r="C130" s="22" t="s">
        <v>34</v>
      </c>
      <c r="D130" s="14" t="s">
        <v>166</v>
      </c>
      <c r="E130" s="14" t="s">
        <v>317</v>
      </c>
      <c r="F130" s="14" t="s">
        <v>394</v>
      </c>
      <c r="G130" s="43" t="s">
        <v>798</v>
      </c>
      <c r="H130" s="20" t="s">
        <v>539</v>
      </c>
      <c r="I130" s="14" t="s">
        <v>626</v>
      </c>
      <c r="J130" s="14" t="s">
        <v>705</v>
      </c>
      <c r="K130" s="43" t="s">
        <v>781</v>
      </c>
      <c r="L130" s="14">
        <v>1</v>
      </c>
      <c r="M130" s="14">
        <f t="shared" si="3"/>
        <v>25</v>
      </c>
      <c r="N130" s="14" t="s">
        <v>804</v>
      </c>
      <c r="O130" s="51" t="s">
        <v>829</v>
      </c>
      <c r="P130" s="15" t="s">
        <v>889</v>
      </c>
      <c r="Q130" s="15">
        <f t="shared" si="4"/>
        <v>0.06</v>
      </c>
      <c r="R130" s="14"/>
    </row>
    <row r="131" spans="1:18" s="50" customFormat="1" ht="24">
      <c r="A131" s="49"/>
      <c r="B131" s="17">
        <f t="shared" si="0"/>
        <v>124</v>
      </c>
      <c r="C131" s="23" t="s">
        <v>36</v>
      </c>
      <c r="D131" s="20" t="s">
        <v>167</v>
      </c>
      <c r="E131" s="20" t="s">
        <v>318</v>
      </c>
      <c r="F131" s="20" t="s">
        <v>786</v>
      </c>
      <c r="G131" s="20" t="s">
        <v>397</v>
      </c>
      <c r="H131" s="20" t="s">
        <v>578</v>
      </c>
      <c r="I131" s="14" t="s">
        <v>626</v>
      </c>
      <c r="J131" s="20" t="s">
        <v>706</v>
      </c>
      <c r="K131" s="44" t="s">
        <v>626</v>
      </c>
      <c r="L131" s="20">
        <v>9</v>
      </c>
      <c r="M131" s="14">
        <f t="shared" si="3"/>
        <v>225</v>
      </c>
      <c r="N131" s="20">
        <v>230</v>
      </c>
      <c r="O131" s="51" t="s">
        <v>829</v>
      </c>
      <c r="P131" s="21" t="s">
        <v>965</v>
      </c>
      <c r="Q131" s="15">
        <f t="shared" si="4"/>
        <v>23.207000000000001</v>
      </c>
      <c r="R131" s="20"/>
    </row>
    <row r="132" spans="1:18" s="50" customFormat="1" ht="60">
      <c r="A132" s="49"/>
      <c r="B132" s="16">
        <f>ROW(B132) - ROW($B$7)</f>
        <v>125</v>
      </c>
      <c r="C132" s="22" t="s">
        <v>37</v>
      </c>
      <c r="D132" s="14" t="s">
        <v>168</v>
      </c>
      <c r="E132" s="14" t="s">
        <v>319</v>
      </c>
      <c r="F132" s="20" t="s">
        <v>786</v>
      </c>
      <c r="G132" s="14" t="s">
        <v>398</v>
      </c>
      <c r="H132" s="14" t="s">
        <v>568</v>
      </c>
      <c r="I132" s="14" t="s">
        <v>626</v>
      </c>
      <c r="J132" s="14" t="s">
        <v>707</v>
      </c>
      <c r="K132" s="44" t="s">
        <v>626</v>
      </c>
      <c r="L132" s="14">
        <v>1</v>
      </c>
      <c r="M132" s="14">
        <f t="shared" si="3"/>
        <v>25</v>
      </c>
      <c r="N132" s="14">
        <v>26</v>
      </c>
      <c r="O132" s="51" t="s">
        <v>829</v>
      </c>
      <c r="P132" s="15" t="s">
        <v>966</v>
      </c>
      <c r="Q132" s="15">
        <f t="shared" si="4"/>
        <v>15.501199999999999</v>
      </c>
      <c r="R132" s="14"/>
    </row>
    <row r="133" spans="1:18" s="50" customFormat="1" ht="60">
      <c r="A133" s="49"/>
      <c r="B133" s="17">
        <f t="shared" si="0"/>
        <v>126</v>
      </c>
      <c r="C133" s="23" t="s">
        <v>36</v>
      </c>
      <c r="D133" s="20" t="s">
        <v>169</v>
      </c>
      <c r="E133" s="20" t="s">
        <v>320</v>
      </c>
      <c r="F133" s="20" t="s">
        <v>786</v>
      </c>
      <c r="G133" s="20" t="s">
        <v>514</v>
      </c>
      <c r="H133" s="20" t="s">
        <v>579</v>
      </c>
      <c r="I133" s="14" t="s">
        <v>626</v>
      </c>
      <c r="J133" s="20" t="s">
        <v>708</v>
      </c>
      <c r="K133" s="44" t="s">
        <v>626</v>
      </c>
      <c r="L133" s="20">
        <v>1</v>
      </c>
      <c r="M133" s="14">
        <f t="shared" si="3"/>
        <v>25</v>
      </c>
      <c r="N133" s="20">
        <v>26</v>
      </c>
      <c r="O133" s="51" t="s">
        <v>829</v>
      </c>
      <c r="P133" s="21" t="s">
        <v>967</v>
      </c>
      <c r="Q133" s="15">
        <f t="shared" si="4"/>
        <v>14.944799999999999</v>
      </c>
      <c r="R133" s="20"/>
    </row>
    <row r="134" spans="1:18" s="50" customFormat="1" ht="48">
      <c r="A134" s="49"/>
      <c r="B134" s="16">
        <f>ROW(B134) - ROW($B$7)</f>
        <v>127</v>
      </c>
      <c r="C134" s="22" t="s">
        <v>38</v>
      </c>
      <c r="D134" s="14" t="s">
        <v>170</v>
      </c>
      <c r="E134" s="14" t="s">
        <v>321</v>
      </c>
      <c r="F134" s="20" t="s">
        <v>786</v>
      </c>
      <c r="G134" s="14" t="s">
        <v>399</v>
      </c>
      <c r="H134" s="14" t="s">
        <v>580</v>
      </c>
      <c r="I134" s="14" t="s">
        <v>626</v>
      </c>
      <c r="J134" s="14" t="s">
        <v>709</v>
      </c>
      <c r="K134" s="44" t="s">
        <v>626</v>
      </c>
      <c r="L134" s="14">
        <v>1</v>
      </c>
      <c r="M134" s="14">
        <f t="shared" si="3"/>
        <v>25</v>
      </c>
      <c r="N134" s="14">
        <v>26</v>
      </c>
      <c r="O134" s="51" t="s">
        <v>829</v>
      </c>
      <c r="P134" s="15" t="s">
        <v>968</v>
      </c>
      <c r="Q134" s="15">
        <f t="shared" si="4"/>
        <v>7.2747999999999999</v>
      </c>
      <c r="R134" s="14"/>
    </row>
    <row r="135" spans="1:18" s="50" customFormat="1" ht="24">
      <c r="A135" s="49"/>
      <c r="B135" s="17">
        <f t="shared" si="0"/>
        <v>128</v>
      </c>
      <c r="C135" s="23" t="s">
        <v>39</v>
      </c>
      <c r="D135" s="20" t="s">
        <v>171</v>
      </c>
      <c r="E135" s="20" t="s">
        <v>322</v>
      </c>
      <c r="F135" s="20" t="s">
        <v>786</v>
      </c>
      <c r="G135" s="20" t="s">
        <v>515</v>
      </c>
      <c r="H135" s="20" t="s">
        <v>581</v>
      </c>
      <c r="I135" s="14" t="s">
        <v>626</v>
      </c>
      <c r="J135" s="20" t="s">
        <v>710</v>
      </c>
      <c r="K135" s="44" t="s">
        <v>626</v>
      </c>
      <c r="L135" s="20">
        <v>2</v>
      </c>
      <c r="M135" s="14">
        <f t="shared" si="3"/>
        <v>50</v>
      </c>
      <c r="N135" s="20">
        <v>51</v>
      </c>
      <c r="O135" s="51" t="s">
        <v>829</v>
      </c>
      <c r="P135" s="21" t="s">
        <v>969</v>
      </c>
      <c r="Q135" s="15">
        <f t="shared" si="4"/>
        <v>12.194100000000001</v>
      </c>
      <c r="R135" s="20"/>
    </row>
    <row r="136" spans="1:18" s="50" customFormat="1" ht="36">
      <c r="A136" s="49"/>
      <c r="B136" s="16">
        <f>ROW(B136) - ROW($B$7)</f>
        <v>129</v>
      </c>
      <c r="C136" s="22" t="s">
        <v>40</v>
      </c>
      <c r="D136" s="14" t="s">
        <v>172</v>
      </c>
      <c r="E136" s="14" t="s">
        <v>323</v>
      </c>
      <c r="F136" s="14" t="s">
        <v>400</v>
      </c>
      <c r="G136" s="14" t="s">
        <v>516</v>
      </c>
      <c r="H136" s="14" t="s">
        <v>582</v>
      </c>
      <c r="I136" s="14" t="s">
        <v>626</v>
      </c>
      <c r="J136" s="14" t="s">
        <v>802</v>
      </c>
      <c r="K136" s="44" t="s">
        <v>626</v>
      </c>
      <c r="L136" s="14">
        <v>2</v>
      </c>
      <c r="M136" s="14">
        <f t="shared" si="3"/>
        <v>50</v>
      </c>
      <c r="N136" s="14">
        <v>51</v>
      </c>
      <c r="O136" s="51" t="s">
        <v>829</v>
      </c>
      <c r="P136" s="15" t="s">
        <v>970</v>
      </c>
      <c r="Q136" s="15">
        <f t="shared" si="4"/>
        <v>78.254400000000004</v>
      </c>
      <c r="R136" s="14"/>
    </row>
    <row r="137" spans="1:18" s="50" customFormat="1" ht="24">
      <c r="A137" s="49"/>
      <c r="B137" s="17">
        <f t="shared" si="0"/>
        <v>130</v>
      </c>
      <c r="C137" s="23" t="s">
        <v>40</v>
      </c>
      <c r="D137" s="20" t="s">
        <v>173</v>
      </c>
      <c r="E137" s="20" t="s">
        <v>324</v>
      </c>
      <c r="F137" s="20" t="s">
        <v>401</v>
      </c>
      <c r="G137" s="20" t="s">
        <v>517</v>
      </c>
      <c r="H137" s="20" t="s">
        <v>583</v>
      </c>
      <c r="I137" s="14" t="s">
        <v>626</v>
      </c>
      <c r="J137" s="20" t="s">
        <v>711</v>
      </c>
      <c r="K137" s="44" t="s">
        <v>626</v>
      </c>
      <c r="L137" s="20">
        <v>1</v>
      </c>
      <c r="M137" s="14">
        <f t="shared" ref="M137:M161" si="5">L137*25</f>
        <v>25</v>
      </c>
      <c r="N137" s="20">
        <v>26</v>
      </c>
      <c r="O137" s="51" t="s">
        <v>829</v>
      </c>
      <c r="P137" s="21" t="s">
        <v>971</v>
      </c>
      <c r="Q137" s="15">
        <f t="shared" ref="Q137:Q161" si="6">P137*N137</f>
        <v>119.53240000000001</v>
      </c>
      <c r="R137" s="20"/>
    </row>
    <row r="138" spans="1:18" s="50" customFormat="1" ht="24">
      <c r="A138" s="49"/>
      <c r="B138" s="16">
        <f>ROW(B138) - ROW($B$7)</f>
        <v>131</v>
      </c>
      <c r="C138" s="22" t="s">
        <v>40</v>
      </c>
      <c r="D138" s="14" t="s">
        <v>174</v>
      </c>
      <c r="E138" s="14" t="s">
        <v>325</v>
      </c>
      <c r="F138" s="14" t="s">
        <v>402</v>
      </c>
      <c r="G138" s="14" t="s">
        <v>518</v>
      </c>
      <c r="H138" s="14" t="s">
        <v>584</v>
      </c>
      <c r="I138" s="14" t="s">
        <v>626</v>
      </c>
      <c r="J138" s="14" t="s">
        <v>712</v>
      </c>
      <c r="K138" s="44" t="s">
        <v>626</v>
      </c>
      <c r="L138" s="14">
        <v>1</v>
      </c>
      <c r="M138" s="14">
        <f t="shared" si="5"/>
        <v>25</v>
      </c>
      <c r="N138" s="14">
        <v>26</v>
      </c>
      <c r="O138" s="51" t="s">
        <v>924</v>
      </c>
      <c r="P138" s="15" t="s">
        <v>972</v>
      </c>
      <c r="Q138" s="15">
        <f t="shared" si="6"/>
        <v>20.883200000000002</v>
      </c>
      <c r="R138" s="14"/>
    </row>
    <row r="139" spans="1:18" s="50" customFormat="1" ht="48">
      <c r="A139" s="49"/>
      <c r="B139" s="17">
        <f t="shared" si="0"/>
        <v>132</v>
      </c>
      <c r="C139" s="23" t="s">
        <v>11</v>
      </c>
      <c r="D139" s="20" t="s">
        <v>175</v>
      </c>
      <c r="E139" s="20" t="s">
        <v>326</v>
      </c>
      <c r="F139" s="20" t="s">
        <v>403</v>
      </c>
      <c r="G139" s="20" t="s">
        <v>519</v>
      </c>
      <c r="H139" s="20" t="s">
        <v>552</v>
      </c>
      <c r="I139" s="14" t="s">
        <v>626</v>
      </c>
      <c r="J139" s="20" t="s">
        <v>713</v>
      </c>
      <c r="K139" s="44" t="s">
        <v>626</v>
      </c>
      <c r="L139" s="20">
        <v>3</v>
      </c>
      <c r="M139" s="14">
        <f t="shared" si="5"/>
        <v>75</v>
      </c>
      <c r="N139" s="20" t="s">
        <v>841</v>
      </c>
      <c r="O139" s="51" t="s">
        <v>829</v>
      </c>
      <c r="P139" s="21" t="s">
        <v>908</v>
      </c>
      <c r="Q139" s="15">
        <f t="shared" si="6"/>
        <v>2.64</v>
      </c>
      <c r="R139" s="20"/>
    </row>
    <row r="140" spans="1:18" s="50" customFormat="1" ht="48">
      <c r="A140" s="49"/>
      <c r="B140" s="16">
        <f>ROW(B140) - ROW($B$7)</f>
        <v>133</v>
      </c>
      <c r="C140" s="22" t="s">
        <v>40</v>
      </c>
      <c r="D140" s="14" t="s">
        <v>176</v>
      </c>
      <c r="E140" s="14" t="s">
        <v>327</v>
      </c>
      <c r="F140" s="20" t="s">
        <v>786</v>
      </c>
      <c r="G140" s="14" t="s">
        <v>404</v>
      </c>
      <c r="H140" s="14" t="s">
        <v>585</v>
      </c>
      <c r="I140" s="14" t="s">
        <v>626</v>
      </c>
      <c r="J140" s="14" t="s">
        <v>714</v>
      </c>
      <c r="K140" s="44" t="s">
        <v>626</v>
      </c>
      <c r="L140" s="14">
        <v>8</v>
      </c>
      <c r="M140" s="14">
        <f t="shared" si="5"/>
        <v>200</v>
      </c>
      <c r="N140" s="14">
        <v>210</v>
      </c>
      <c r="O140" s="51" t="s">
        <v>829</v>
      </c>
      <c r="P140" s="15" t="s">
        <v>973</v>
      </c>
      <c r="Q140" s="15">
        <f t="shared" si="6"/>
        <v>11.171999999999999</v>
      </c>
      <c r="R140" s="14"/>
    </row>
    <row r="141" spans="1:18" s="50" customFormat="1" ht="24">
      <c r="A141" s="49"/>
      <c r="B141" s="17">
        <f t="shared" si="0"/>
        <v>134</v>
      </c>
      <c r="C141" s="23" t="s">
        <v>40</v>
      </c>
      <c r="D141" s="20" t="s">
        <v>177</v>
      </c>
      <c r="E141" s="20" t="s">
        <v>328</v>
      </c>
      <c r="F141" s="20" t="s">
        <v>405</v>
      </c>
      <c r="G141" s="20" t="s">
        <v>520</v>
      </c>
      <c r="H141" s="20" t="s">
        <v>584</v>
      </c>
      <c r="I141" s="14" t="s">
        <v>626</v>
      </c>
      <c r="J141" s="20" t="s">
        <v>715</v>
      </c>
      <c r="K141" s="44" t="s">
        <v>626</v>
      </c>
      <c r="L141" s="20">
        <v>4</v>
      </c>
      <c r="M141" s="14">
        <f t="shared" si="5"/>
        <v>100</v>
      </c>
      <c r="N141" s="20">
        <v>101</v>
      </c>
      <c r="O141" s="51" t="s">
        <v>829</v>
      </c>
      <c r="P141" s="21" t="s">
        <v>974</v>
      </c>
      <c r="Q141" s="15">
        <f t="shared" si="6"/>
        <v>87.708399999999997</v>
      </c>
      <c r="R141" s="20"/>
    </row>
    <row r="142" spans="1:18" s="50" customFormat="1" ht="24">
      <c r="A142" s="49"/>
      <c r="B142" s="16">
        <f>ROW(B142) - ROW($B$7)</f>
        <v>135</v>
      </c>
      <c r="C142" s="22" t="s">
        <v>40</v>
      </c>
      <c r="D142" s="14" t="s">
        <v>178</v>
      </c>
      <c r="E142" s="14" t="s">
        <v>329</v>
      </c>
      <c r="F142" s="14" t="s">
        <v>406</v>
      </c>
      <c r="G142" s="14" t="s">
        <v>521</v>
      </c>
      <c r="H142" s="14" t="s">
        <v>584</v>
      </c>
      <c r="I142" s="14" t="s">
        <v>626</v>
      </c>
      <c r="J142" s="14" t="s">
        <v>716</v>
      </c>
      <c r="K142" s="44" t="s">
        <v>626</v>
      </c>
      <c r="L142" s="14">
        <v>2</v>
      </c>
      <c r="M142" s="14">
        <f t="shared" si="5"/>
        <v>50</v>
      </c>
      <c r="N142" s="14">
        <v>55</v>
      </c>
      <c r="O142" s="51" t="s">
        <v>829</v>
      </c>
      <c r="P142" s="15" t="s">
        <v>975</v>
      </c>
      <c r="Q142" s="15">
        <f t="shared" si="6"/>
        <v>6.5890000000000004</v>
      </c>
      <c r="R142" s="14"/>
    </row>
    <row r="143" spans="1:18" s="50" customFormat="1" ht="36">
      <c r="A143" s="49"/>
      <c r="B143" s="17">
        <f t="shared" si="0"/>
        <v>136</v>
      </c>
      <c r="C143" s="23" t="s">
        <v>40</v>
      </c>
      <c r="D143" s="20" t="s">
        <v>179</v>
      </c>
      <c r="E143" s="20" t="s">
        <v>330</v>
      </c>
      <c r="F143" s="20" t="s">
        <v>403</v>
      </c>
      <c r="G143" s="20" t="s">
        <v>522</v>
      </c>
      <c r="H143" s="20" t="s">
        <v>584</v>
      </c>
      <c r="I143" s="14" t="s">
        <v>626</v>
      </c>
      <c r="J143" s="20" t="s">
        <v>717</v>
      </c>
      <c r="K143" s="44" t="s">
        <v>626</v>
      </c>
      <c r="L143" s="20">
        <v>1</v>
      </c>
      <c r="M143" s="14">
        <f t="shared" si="5"/>
        <v>25</v>
      </c>
      <c r="N143" s="20">
        <v>26</v>
      </c>
      <c r="O143" s="51" t="s">
        <v>829</v>
      </c>
      <c r="P143" s="21" t="s">
        <v>976</v>
      </c>
      <c r="Q143" s="15">
        <f t="shared" si="6"/>
        <v>14.596400000000001</v>
      </c>
      <c r="R143" s="20"/>
    </row>
    <row r="144" spans="1:18" s="50" customFormat="1" ht="24">
      <c r="A144" s="49"/>
      <c r="B144" s="16">
        <f>ROW(B144) - ROW($B$7)</f>
        <v>137</v>
      </c>
      <c r="C144" s="22" t="s">
        <v>40</v>
      </c>
      <c r="D144" s="14" t="s">
        <v>180</v>
      </c>
      <c r="E144" s="14" t="s">
        <v>331</v>
      </c>
      <c r="F144" s="14" t="s">
        <v>407</v>
      </c>
      <c r="G144" s="14" t="s">
        <v>523</v>
      </c>
      <c r="H144" s="14" t="s">
        <v>584</v>
      </c>
      <c r="I144" s="14" t="s">
        <v>626</v>
      </c>
      <c r="J144" s="14" t="s">
        <v>626</v>
      </c>
      <c r="K144" s="44" t="s">
        <v>626</v>
      </c>
      <c r="L144" s="14">
        <v>1</v>
      </c>
      <c r="M144" s="14">
        <f t="shared" si="5"/>
        <v>25</v>
      </c>
      <c r="N144" s="14">
        <v>26</v>
      </c>
      <c r="O144" s="51" t="s">
        <v>923</v>
      </c>
      <c r="P144" s="15">
        <v>17.25</v>
      </c>
      <c r="Q144" s="15">
        <f t="shared" si="6"/>
        <v>448.5</v>
      </c>
      <c r="R144" s="14"/>
    </row>
    <row r="145" spans="1:18" s="50" customFormat="1" ht="24">
      <c r="A145" s="49"/>
      <c r="B145" s="17">
        <f t="shared" si="0"/>
        <v>138</v>
      </c>
      <c r="C145" s="23" t="s">
        <v>40</v>
      </c>
      <c r="D145" s="20" t="s">
        <v>181</v>
      </c>
      <c r="E145" s="20" t="s">
        <v>332</v>
      </c>
      <c r="F145" s="20" t="s">
        <v>408</v>
      </c>
      <c r="G145" s="20" t="s">
        <v>524</v>
      </c>
      <c r="H145" s="20" t="s">
        <v>551</v>
      </c>
      <c r="I145" s="14" t="s">
        <v>626</v>
      </c>
      <c r="J145" s="20" t="s">
        <v>718</v>
      </c>
      <c r="K145" s="44" t="s">
        <v>626</v>
      </c>
      <c r="L145" s="20">
        <v>1</v>
      </c>
      <c r="M145" s="14">
        <f t="shared" si="5"/>
        <v>25</v>
      </c>
      <c r="N145" s="20">
        <v>26</v>
      </c>
      <c r="O145" s="51" t="s">
        <v>924</v>
      </c>
      <c r="P145" s="21">
        <v>0.69020000000000004</v>
      </c>
      <c r="Q145" s="15">
        <f t="shared" si="6"/>
        <v>17.9452</v>
      </c>
      <c r="R145" s="20"/>
    </row>
    <row r="146" spans="1:18" s="50" customFormat="1" ht="24">
      <c r="A146" s="49"/>
      <c r="B146" s="16">
        <f>ROW(B146) - ROW($B$7)</f>
        <v>139</v>
      </c>
      <c r="C146" s="22" t="s">
        <v>40</v>
      </c>
      <c r="D146" s="14" t="s">
        <v>182</v>
      </c>
      <c r="E146" s="14" t="s">
        <v>333</v>
      </c>
      <c r="F146" s="14" t="s">
        <v>409</v>
      </c>
      <c r="G146" s="14" t="s">
        <v>525</v>
      </c>
      <c r="H146" s="14" t="s">
        <v>586</v>
      </c>
      <c r="I146" s="14" t="s">
        <v>626</v>
      </c>
      <c r="J146" s="14" t="s">
        <v>719</v>
      </c>
      <c r="K146" s="44" t="s">
        <v>626</v>
      </c>
      <c r="L146" s="14">
        <v>1</v>
      </c>
      <c r="M146" s="14">
        <f t="shared" si="5"/>
        <v>25</v>
      </c>
      <c r="N146" s="14">
        <v>26</v>
      </c>
      <c r="O146" s="51" t="s">
        <v>829</v>
      </c>
      <c r="P146" s="15" t="s">
        <v>913</v>
      </c>
      <c r="Q146" s="15">
        <f t="shared" si="6"/>
        <v>102.9808</v>
      </c>
      <c r="R146" s="14"/>
    </row>
    <row r="147" spans="1:18" s="50" customFormat="1" ht="24">
      <c r="A147" s="49"/>
      <c r="B147" s="17">
        <f t="shared" si="0"/>
        <v>140</v>
      </c>
      <c r="C147" s="23" t="s">
        <v>40</v>
      </c>
      <c r="D147" s="20" t="s">
        <v>183</v>
      </c>
      <c r="E147" s="20" t="s">
        <v>334</v>
      </c>
      <c r="F147" s="20" t="s">
        <v>405</v>
      </c>
      <c r="G147" s="20" t="s">
        <v>526</v>
      </c>
      <c r="H147" s="20" t="s">
        <v>586</v>
      </c>
      <c r="I147" s="14" t="s">
        <v>626</v>
      </c>
      <c r="J147" s="20" t="s">
        <v>720</v>
      </c>
      <c r="K147" s="44" t="s">
        <v>626</v>
      </c>
      <c r="L147" s="20">
        <v>1</v>
      </c>
      <c r="M147" s="14">
        <f t="shared" si="5"/>
        <v>25</v>
      </c>
      <c r="N147" s="20">
        <v>30</v>
      </c>
      <c r="O147" s="51" t="s">
        <v>829</v>
      </c>
      <c r="P147" s="21" t="s">
        <v>914</v>
      </c>
      <c r="Q147" s="15">
        <f t="shared" si="6"/>
        <v>6</v>
      </c>
      <c r="R147" s="20"/>
    </row>
    <row r="148" spans="1:18" s="50" customFormat="1" ht="24">
      <c r="A148" s="49"/>
      <c r="B148" s="16">
        <f>ROW(B148) - ROW($B$7)</f>
        <v>141</v>
      </c>
      <c r="C148" s="22" t="s">
        <v>40</v>
      </c>
      <c r="D148" s="14" t="s">
        <v>184</v>
      </c>
      <c r="E148" s="14" t="s">
        <v>335</v>
      </c>
      <c r="F148" s="14" t="s">
        <v>410</v>
      </c>
      <c r="G148" s="14" t="s">
        <v>527</v>
      </c>
      <c r="H148" s="14" t="s">
        <v>551</v>
      </c>
      <c r="I148" s="14" t="s">
        <v>626</v>
      </c>
      <c r="J148" s="14" t="s">
        <v>721</v>
      </c>
      <c r="K148" s="44" t="s">
        <v>626</v>
      </c>
      <c r="L148" s="14">
        <v>1</v>
      </c>
      <c r="M148" s="14">
        <f t="shared" si="5"/>
        <v>25</v>
      </c>
      <c r="N148" s="14">
        <v>26</v>
      </c>
      <c r="O148" s="51" t="s">
        <v>829</v>
      </c>
      <c r="P148" s="15" t="s">
        <v>915</v>
      </c>
      <c r="Q148" s="15">
        <f t="shared" si="6"/>
        <v>127.25959999999999</v>
      </c>
      <c r="R148" s="14"/>
    </row>
    <row r="149" spans="1:18" s="50" customFormat="1" ht="24">
      <c r="A149" s="49"/>
      <c r="B149" s="17">
        <f t="shared" si="0"/>
        <v>142</v>
      </c>
      <c r="C149" s="23" t="s">
        <v>40</v>
      </c>
      <c r="D149" s="20" t="s">
        <v>185</v>
      </c>
      <c r="E149" s="20" t="s">
        <v>336</v>
      </c>
      <c r="F149" s="20" t="s">
        <v>411</v>
      </c>
      <c r="G149" s="20" t="s">
        <v>528</v>
      </c>
      <c r="H149" s="20" t="s">
        <v>551</v>
      </c>
      <c r="I149" s="14" t="s">
        <v>626</v>
      </c>
      <c r="J149" s="20" t="s">
        <v>722</v>
      </c>
      <c r="K149" s="44" t="s">
        <v>626</v>
      </c>
      <c r="L149" s="20">
        <v>1</v>
      </c>
      <c r="M149" s="14">
        <f t="shared" si="5"/>
        <v>25</v>
      </c>
      <c r="N149" s="20">
        <v>26</v>
      </c>
      <c r="O149" s="51" t="s">
        <v>829</v>
      </c>
      <c r="P149" s="21" t="s">
        <v>916</v>
      </c>
      <c r="Q149" s="15">
        <f t="shared" si="6"/>
        <v>11.4712</v>
      </c>
      <c r="R149" s="20"/>
    </row>
    <row r="150" spans="1:18" s="50" customFormat="1" ht="24">
      <c r="A150" s="49"/>
      <c r="B150" s="16">
        <f>ROW(B150) - ROW($B$7)</f>
        <v>143</v>
      </c>
      <c r="C150" s="22" t="s">
        <v>40</v>
      </c>
      <c r="D150" s="14" t="s">
        <v>186</v>
      </c>
      <c r="E150" s="14" t="s">
        <v>337</v>
      </c>
      <c r="F150" s="14" t="s">
        <v>412</v>
      </c>
      <c r="G150" s="14" t="s">
        <v>529</v>
      </c>
      <c r="H150" s="14" t="s">
        <v>584</v>
      </c>
      <c r="I150" s="14" t="s">
        <v>626</v>
      </c>
      <c r="J150" s="14" t="s">
        <v>626</v>
      </c>
      <c r="K150" s="44" t="s">
        <v>626</v>
      </c>
      <c r="L150" s="14">
        <v>2</v>
      </c>
      <c r="M150" s="14">
        <f t="shared" si="5"/>
        <v>50</v>
      </c>
      <c r="N150" s="14">
        <v>51</v>
      </c>
      <c r="O150" s="51" t="s">
        <v>923</v>
      </c>
      <c r="P150" s="15">
        <v>1.6539699999999999</v>
      </c>
      <c r="Q150" s="15">
        <f t="shared" si="6"/>
        <v>84.352469999999997</v>
      </c>
      <c r="R150" s="14"/>
    </row>
    <row r="151" spans="1:18" s="50" customFormat="1" ht="24">
      <c r="A151" s="49"/>
      <c r="B151" s="17">
        <f t="shared" si="0"/>
        <v>144</v>
      </c>
      <c r="C151" s="23" t="s">
        <v>40</v>
      </c>
      <c r="D151" s="20" t="s">
        <v>187</v>
      </c>
      <c r="E151" s="20" t="s">
        <v>328</v>
      </c>
      <c r="F151" s="20" t="s">
        <v>405</v>
      </c>
      <c r="G151" s="20" t="s">
        <v>530</v>
      </c>
      <c r="H151" s="20" t="s">
        <v>584</v>
      </c>
      <c r="I151" s="14" t="s">
        <v>626</v>
      </c>
      <c r="J151" s="20" t="s">
        <v>723</v>
      </c>
      <c r="K151" s="44" t="s">
        <v>626</v>
      </c>
      <c r="L151" s="20">
        <v>3</v>
      </c>
      <c r="M151" s="14">
        <f t="shared" si="5"/>
        <v>75</v>
      </c>
      <c r="N151" s="20">
        <v>76</v>
      </c>
      <c r="O151" s="51" t="s">
        <v>924</v>
      </c>
      <c r="P151" s="21">
        <v>4.1595000000000004</v>
      </c>
      <c r="Q151" s="15">
        <f t="shared" si="6"/>
        <v>316.12200000000001</v>
      </c>
      <c r="R151" s="20"/>
    </row>
    <row r="152" spans="1:18" s="50" customFormat="1" ht="24">
      <c r="A152" s="49"/>
      <c r="B152" s="16">
        <f>ROW(B152) - ROW($B$7)</f>
        <v>145</v>
      </c>
      <c r="C152" s="22" t="s">
        <v>40</v>
      </c>
      <c r="D152" s="14" t="s">
        <v>188</v>
      </c>
      <c r="E152" s="14" t="s">
        <v>338</v>
      </c>
      <c r="F152" s="14" t="s">
        <v>413</v>
      </c>
      <c r="G152" s="14" t="s">
        <v>531</v>
      </c>
      <c r="H152" s="14" t="s">
        <v>586</v>
      </c>
      <c r="I152" s="14" t="s">
        <v>626</v>
      </c>
      <c r="J152" s="14" t="s">
        <v>626</v>
      </c>
      <c r="K152" s="44" t="s">
        <v>626</v>
      </c>
      <c r="L152" s="14">
        <v>1</v>
      </c>
      <c r="M152" s="14">
        <f t="shared" si="5"/>
        <v>25</v>
      </c>
      <c r="N152" s="14">
        <v>26</v>
      </c>
      <c r="O152" s="51" t="s">
        <v>923</v>
      </c>
      <c r="P152" s="15">
        <v>11.925000000000001</v>
      </c>
      <c r="Q152" s="15">
        <f t="shared" si="6"/>
        <v>310.05</v>
      </c>
      <c r="R152" s="14"/>
    </row>
    <row r="153" spans="1:18" s="50" customFormat="1" ht="24">
      <c r="A153" s="49"/>
      <c r="B153" s="17">
        <f t="shared" si="0"/>
        <v>146</v>
      </c>
      <c r="C153" s="22" t="s">
        <v>40</v>
      </c>
      <c r="D153" s="20" t="s">
        <v>189</v>
      </c>
      <c r="E153" s="20" t="s">
        <v>339</v>
      </c>
      <c r="F153" s="20" t="s">
        <v>414</v>
      </c>
      <c r="G153" s="20" t="s">
        <v>414</v>
      </c>
      <c r="H153" s="20" t="s">
        <v>550</v>
      </c>
      <c r="I153" s="14" t="s">
        <v>626</v>
      </c>
      <c r="J153" s="20" t="s">
        <v>803</v>
      </c>
      <c r="K153" s="44" t="s">
        <v>626</v>
      </c>
      <c r="L153" s="20">
        <v>1</v>
      </c>
      <c r="M153" s="14">
        <f t="shared" si="5"/>
        <v>25</v>
      </c>
      <c r="N153" s="20">
        <v>26</v>
      </c>
      <c r="O153" s="51" t="s">
        <v>829</v>
      </c>
      <c r="P153" s="21" t="s">
        <v>977</v>
      </c>
      <c r="Q153" s="15">
        <f t="shared" si="6"/>
        <v>9.8800000000000008</v>
      </c>
      <c r="R153" s="20"/>
    </row>
    <row r="154" spans="1:18" s="50" customFormat="1" ht="24">
      <c r="A154" s="49"/>
      <c r="B154" s="16">
        <f>ROW(B154) - ROW($B$7)</f>
        <v>147</v>
      </c>
      <c r="C154" s="22" t="s">
        <v>40</v>
      </c>
      <c r="D154" s="14" t="s">
        <v>190</v>
      </c>
      <c r="E154" s="14" t="s">
        <v>340</v>
      </c>
      <c r="F154" s="14" t="s">
        <v>415</v>
      </c>
      <c r="G154" s="14" t="s">
        <v>532</v>
      </c>
      <c r="H154" s="14" t="s">
        <v>584</v>
      </c>
      <c r="I154" s="14" t="s">
        <v>626</v>
      </c>
      <c r="J154" s="14" t="s">
        <v>724</v>
      </c>
      <c r="K154" s="44" t="s">
        <v>626</v>
      </c>
      <c r="L154" s="14">
        <v>1</v>
      </c>
      <c r="M154" s="14">
        <f t="shared" si="5"/>
        <v>25</v>
      </c>
      <c r="N154" s="14">
        <v>26</v>
      </c>
      <c r="O154" s="51" t="s">
        <v>829</v>
      </c>
      <c r="P154" s="15" t="s">
        <v>978</v>
      </c>
      <c r="Q154" s="15">
        <f t="shared" si="6"/>
        <v>58.786000000000001</v>
      </c>
      <c r="R154" s="14"/>
    </row>
    <row r="155" spans="1:18" s="50" customFormat="1" ht="36">
      <c r="A155" s="49"/>
      <c r="B155" s="17">
        <f t="shared" si="0"/>
        <v>148</v>
      </c>
      <c r="C155" s="23" t="s">
        <v>40</v>
      </c>
      <c r="D155" s="20" t="s">
        <v>191</v>
      </c>
      <c r="E155" s="20" t="s">
        <v>341</v>
      </c>
      <c r="F155" s="20" t="s">
        <v>416</v>
      </c>
      <c r="G155" s="20" t="s">
        <v>533</v>
      </c>
      <c r="H155" s="20" t="s">
        <v>587</v>
      </c>
      <c r="I155" s="14" t="s">
        <v>626</v>
      </c>
      <c r="J155" s="20" t="s">
        <v>725</v>
      </c>
      <c r="K155" s="44" t="s">
        <v>626</v>
      </c>
      <c r="L155" s="20">
        <v>1</v>
      </c>
      <c r="M155" s="14">
        <f t="shared" si="5"/>
        <v>25</v>
      </c>
      <c r="N155" s="20">
        <v>26</v>
      </c>
      <c r="O155" s="51" t="s">
        <v>829</v>
      </c>
      <c r="P155" s="21" t="s">
        <v>979</v>
      </c>
      <c r="Q155" s="15">
        <f t="shared" si="6"/>
        <v>59.186400000000006</v>
      </c>
      <c r="R155" s="20"/>
    </row>
    <row r="156" spans="1:18" s="50" customFormat="1" ht="48">
      <c r="A156" s="49"/>
      <c r="B156" s="16">
        <f>ROW(B156) - ROW($B$7)</f>
        <v>149</v>
      </c>
      <c r="C156" s="22" t="s">
        <v>40</v>
      </c>
      <c r="D156" s="14" t="s">
        <v>192</v>
      </c>
      <c r="E156" s="14" t="s">
        <v>342</v>
      </c>
      <c r="F156" s="14" t="s">
        <v>403</v>
      </c>
      <c r="G156" s="14" t="s">
        <v>534</v>
      </c>
      <c r="H156" s="14" t="s">
        <v>588</v>
      </c>
      <c r="I156" s="14" t="s">
        <v>626</v>
      </c>
      <c r="J156" s="14" t="s">
        <v>726</v>
      </c>
      <c r="K156" s="44" t="s">
        <v>626</v>
      </c>
      <c r="L156" s="14">
        <v>1</v>
      </c>
      <c r="M156" s="14">
        <f t="shared" si="5"/>
        <v>25</v>
      </c>
      <c r="N156" s="14" t="s">
        <v>932</v>
      </c>
      <c r="O156" s="51" t="s">
        <v>829</v>
      </c>
      <c r="P156" s="15" t="s">
        <v>920</v>
      </c>
      <c r="Q156" s="15">
        <f t="shared" si="6"/>
        <v>1.6619999999999999</v>
      </c>
      <c r="R156" s="14"/>
    </row>
    <row r="157" spans="1:18" s="50" customFormat="1" ht="24">
      <c r="A157" s="49"/>
      <c r="B157" s="17">
        <f t="shared" si="0"/>
        <v>150</v>
      </c>
      <c r="C157" s="23" t="s">
        <v>41</v>
      </c>
      <c r="D157" s="20" t="s">
        <v>193</v>
      </c>
      <c r="E157" s="20" t="s">
        <v>343</v>
      </c>
      <c r="F157" s="20" t="s">
        <v>417</v>
      </c>
      <c r="G157" s="20" t="s">
        <v>535</v>
      </c>
      <c r="H157" s="20" t="s">
        <v>589</v>
      </c>
      <c r="I157" s="14" t="s">
        <v>626</v>
      </c>
      <c r="J157" s="20" t="s">
        <v>626</v>
      </c>
      <c r="K157" s="44" t="s">
        <v>782</v>
      </c>
      <c r="L157" s="20">
        <v>1</v>
      </c>
      <c r="M157" s="14">
        <f t="shared" si="5"/>
        <v>25</v>
      </c>
      <c r="N157" s="20">
        <v>26</v>
      </c>
      <c r="O157" s="51" t="s">
        <v>923</v>
      </c>
      <c r="P157" s="21">
        <v>3.0419999999999998</v>
      </c>
      <c r="Q157" s="15">
        <f t="shared" si="6"/>
        <v>79.091999999999999</v>
      </c>
      <c r="R157" s="20"/>
    </row>
    <row r="158" spans="1:18" s="50" customFormat="1" ht="24">
      <c r="A158" s="49"/>
      <c r="B158" s="16">
        <f>ROW(B158) - ROW($B$7)</f>
        <v>151</v>
      </c>
      <c r="C158" s="22" t="s">
        <v>42</v>
      </c>
      <c r="D158" s="46" t="s">
        <v>194</v>
      </c>
      <c r="E158" s="46" t="s">
        <v>344</v>
      </c>
      <c r="F158" s="42" t="s">
        <v>786</v>
      </c>
      <c r="G158" s="46" t="s">
        <v>418</v>
      </c>
      <c r="H158" s="46" t="s">
        <v>590</v>
      </c>
      <c r="I158" s="46" t="s">
        <v>626</v>
      </c>
      <c r="J158" s="46" t="s">
        <v>727</v>
      </c>
      <c r="K158" s="45" t="s">
        <v>743</v>
      </c>
      <c r="L158" s="46">
        <v>1</v>
      </c>
      <c r="M158" s="46">
        <f t="shared" si="5"/>
        <v>25</v>
      </c>
      <c r="N158" s="46" t="s">
        <v>626</v>
      </c>
      <c r="O158" s="46" t="s">
        <v>626</v>
      </c>
      <c r="P158" s="47" t="s">
        <v>626</v>
      </c>
      <c r="Q158" s="15" t="s">
        <v>626</v>
      </c>
      <c r="R158" s="48" t="s">
        <v>795</v>
      </c>
    </row>
    <row r="159" spans="1:18" s="50" customFormat="1" ht="24">
      <c r="A159" s="49"/>
      <c r="B159" s="17">
        <f t="shared" si="0"/>
        <v>152</v>
      </c>
      <c r="C159" s="23" t="s">
        <v>42</v>
      </c>
      <c r="D159" s="20" t="s">
        <v>195</v>
      </c>
      <c r="E159" s="20" t="s">
        <v>344</v>
      </c>
      <c r="F159" s="20" t="s">
        <v>786</v>
      </c>
      <c r="G159" s="20" t="s">
        <v>418</v>
      </c>
      <c r="H159" s="20" t="s">
        <v>590</v>
      </c>
      <c r="I159" s="20" t="s">
        <v>626</v>
      </c>
      <c r="J159" s="20" t="s">
        <v>727</v>
      </c>
      <c r="K159" s="44" t="s">
        <v>782</v>
      </c>
      <c r="L159" s="20">
        <v>1</v>
      </c>
      <c r="M159" s="14">
        <f t="shared" si="5"/>
        <v>25</v>
      </c>
      <c r="N159" s="20">
        <v>30</v>
      </c>
      <c r="O159" s="51" t="s">
        <v>829</v>
      </c>
      <c r="P159" s="21" t="s">
        <v>921</v>
      </c>
      <c r="Q159" s="15">
        <f t="shared" si="6"/>
        <v>6.984</v>
      </c>
      <c r="R159" s="20"/>
    </row>
    <row r="160" spans="1:18" s="50" customFormat="1" ht="24">
      <c r="A160" s="49"/>
      <c r="B160" s="16">
        <f>ROW(B160) - ROW($B$7)</f>
        <v>153</v>
      </c>
      <c r="C160" s="23" t="s">
        <v>42</v>
      </c>
      <c r="D160" s="14" t="s">
        <v>196</v>
      </c>
      <c r="E160" s="14" t="s">
        <v>345</v>
      </c>
      <c r="F160" s="14" t="s">
        <v>786</v>
      </c>
      <c r="G160" s="14" t="s">
        <v>536</v>
      </c>
      <c r="H160" s="14" t="s">
        <v>591</v>
      </c>
      <c r="I160" s="20" t="s">
        <v>626</v>
      </c>
      <c r="J160" s="14" t="s">
        <v>728</v>
      </c>
      <c r="K160" s="43" t="s">
        <v>783</v>
      </c>
      <c r="L160" s="14">
        <v>1</v>
      </c>
      <c r="M160" s="14">
        <f t="shared" si="5"/>
        <v>25</v>
      </c>
      <c r="N160" s="14">
        <v>30</v>
      </c>
      <c r="O160" s="51" t="s">
        <v>829</v>
      </c>
      <c r="P160" s="15" t="s">
        <v>922</v>
      </c>
      <c r="Q160" s="15">
        <f t="shared" si="6"/>
        <v>7.6740000000000013</v>
      </c>
      <c r="R160" s="14"/>
    </row>
    <row r="161" spans="1:18" s="50" customFormat="1" ht="36.75" thickBot="1">
      <c r="A161" s="49"/>
      <c r="B161" s="17">
        <f t="shared" si="0"/>
        <v>154</v>
      </c>
      <c r="C161" s="23" t="s">
        <v>42</v>
      </c>
      <c r="D161" s="20" t="s">
        <v>197</v>
      </c>
      <c r="E161" s="20" t="s">
        <v>346</v>
      </c>
      <c r="F161" s="20" t="s">
        <v>419</v>
      </c>
      <c r="G161" s="20" t="s">
        <v>537</v>
      </c>
      <c r="H161" s="20" t="s">
        <v>592</v>
      </c>
      <c r="I161" s="20" t="s">
        <v>626</v>
      </c>
      <c r="J161" s="20" t="s">
        <v>626</v>
      </c>
      <c r="K161" s="44" t="s">
        <v>782</v>
      </c>
      <c r="L161" s="20">
        <v>1</v>
      </c>
      <c r="M161" s="14">
        <f t="shared" si="5"/>
        <v>25</v>
      </c>
      <c r="N161" s="20">
        <v>26</v>
      </c>
      <c r="O161" s="51" t="s">
        <v>923</v>
      </c>
      <c r="P161" s="21">
        <v>0.13639999999999999</v>
      </c>
      <c r="Q161" s="15">
        <f t="shared" si="6"/>
        <v>3.5463999999999998</v>
      </c>
      <c r="R161" s="20"/>
    </row>
    <row r="162" spans="1:18" ht="19.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59" t="s">
        <v>3</v>
      </c>
      <c r="O162" s="60"/>
      <c r="P162" s="60"/>
      <c r="Q162" s="18">
        <f>SUM(Q8:Q161)</f>
        <v>2948.2732499999997</v>
      </c>
      <c r="R162" s="1"/>
    </row>
    <row r="163" spans="1:18" ht="19.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59" t="s">
        <v>4</v>
      </c>
      <c r="O163" s="60"/>
      <c r="P163" s="60"/>
      <c r="Q163" s="19">
        <f>Q162/25</f>
        <v>117.93092999999999</v>
      </c>
      <c r="R163" s="1"/>
    </row>
  </sheetData>
  <mergeCells count="3">
    <mergeCell ref="K1:R1"/>
    <mergeCell ref="N162:P162"/>
    <mergeCell ref="N163:P163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  <hyperlink ref="O16" r:id="rId9"/>
    <hyperlink ref="O17" r:id="rId10"/>
    <hyperlink ref="O18" r:id="rId11"/>
    <hyperlink ref="O19" r:id="rId12"/>
    <hyperlink ref="O20" r:id="rId13"/>
    <hyperlink ref="O21" r:id="rId14"/>
    <hyperlink ref="O22" r:id="rId15"/>
    <hyperlink ref="O23" r:id="rId16"/>
    <hyperlink ref="O24" r:id="rId17"/>
    <hyperlink ref="O25" r:id="rId18"/>
    <hyperlink ref="O26" r:id="rId19"/>
    <hyperlink ref="O27" r:id="rId20"/>
    <hyperlink ref="O29" r:id="rId21"/>
    <hyperlink ref="O30" r:id="rId22"/>
    <hyperlink ref="O31" r:id="rId23"/>
    <hyperlink ref="O32" r:id="rId24"/>
    <hyperlink ref="O33" r:id="rId25"/>
    <hyperlink ref="O34" r:id="rId26"/>
    <hyperlink ref="O35" r:id="rId27"/>
    <hyperlink ref="O36" r:id="rId28"/>
    <hyperlink ref="O37" r:id="rId29"/>
    <hyperlink ref="O38" r:id="rId30"/>
    <hyperlink ref="O40" r:id="rId31"/>
    <hyperlink ref="O44" r:id="rId32"/>
    <hyperlink ref="O45" r:id="rId33"/>
    <hyperlink ref="O46" r:id="rId34"/>
    <hyperlink ref="O47" r:id="rId35"/>
    <hyperlink ref="O48" r:id="rId36"/>
    <hyperlink ref="O49" r:id="rId37"/>
    <hyperlink ref="O50" r:id="rId38"/>
    <hyperlink ref="O51" r:id="rId39"/>
    <hyperlink ref="O52" r:id="rId40"/>
    <hyperlink ref="O53" r:id="rId41"/>
    <hyperlink ref="O54" r:id="rId42"/>
    <hyperlink ref="O55" r:id="rId43"/>
    <hyperlink ref="O56" r:id="rId44"/>
    <hyperlink ref="O57" r:id="rId45"/>
    <hyperlink ref="O58" r:id="rId46"/>
    <hyperlink ref="O59" r:id="rId47"/>
    <hyperlink ref="O60" r:id="rId48"/>
    <hyperlink ref="O61" r:id="rId49"/>
    <hyperlink ref="O62" r:id="rId50"/>
    <hyperlink ref="O63" r:id="rId51"/>
    <hyperlink ref="O64" r:id="rId52"/>
    <hyperlink ref="O65" r:id="rId53"/>
    <hyperlink ref="O66" r:id="rId54"/>
    <hyperlink ref="O67" r:id="rId55"/>
    <hyperlink ref="O98" r:id="rId56"/>
    <hyperlink ref="O99" r:id="rId57"/>
    <hyperlink ref="O100" r:id="rId58"/>
    <hyperlink ref="O102" r:id="rId59"/>
    <hyperlink ref="O103" r:id="rId60"/>
    <hyperlink ref="O104" r:id="rId61"/>
    <hyperlink ref="O105" r:id="rId62"/>
    <hyperlink ref="O106" r:id="rId63"/>
    <hyperlink ref="O107" r:id="rId64"/>
    <hyperlink ref="O108" r:id="rId65"/>
    <hyperlink ref="O109" r:id="rId66"/>
    <hyperlink ref="O110" r:id="rId67"/>
    <hyperlink ref="O111" r:id="rId68"/>
    <hyperlink ref="O112" r:id="rId69"/>
    <hyperlink ref="O113" r:id="rId70"/>
    <hyperlink ref="O114" r:id="rId71"/>
    <hyperlink ref="O115" r:id="rId72"/>
    <hyperlink ref="O116" r:id="rId73"/>
    <hyperlink ref="O117" r:id="rId74"/>
    <hyperlink ref="O118" r:id="rId75"/>
    <hyperlink ref="O121" r:id="rId76"/>
    <hyperlink ref="O122" r:id="rId77"/>
    <hyperlink ref="O123" r:id="rId78"/>
    <hyperlink ref="O124" r:id="rId79"/>
    <hyperlink ref="O126" r:id="rId80"/>
    <hyperlink ref="O127" r:id="rId81"/>
    <hyperlink ref="O128" r:id="rId82"/>
    <hyperlink ref="O129" r:id="rId83"/>
    <hyperlink ref="O130" r:id="rId84"/>
    <hyperlink ref="O131" r:id="rId85"/>
    <hyperlink ref="O132" r:id="rId86"/>
    <hyperlink ref="O133" r:id="rId87"/>
    <hyperlink ref="O134" r:id="rId88"/>
    <hyperlink ref="O135" r:id="rId89"/>
    <hyperlink ref="O136" r:id="rId90"/>
    <hyperlink ref="O137" r:id="rId91"/>
    <hyperlink ref="O138" r:id="rId92"/>
    <hyperlink ref="O139" r:id="rId93"/>
    <hyperlink ref="O140" r:id="rId94"/>
    <hyperlink ref="O141" r:id="rId95"/>
    <hyperlink ref="O142" r:id="rId96"/>
    <hyperlink ref="O143" r:id="rId97"/>
    <hyperlink ref="O144" r:id="rId98"/>
    <hyperlink ref="O145" r:id="rId99"/>
    <hyperlink ref="O146" r:id="rId100"/>
    <hyperlink ref="O147" r:id="rId101"/>
    <hyperlink ref="O148" r:id="rId102"/>
    <hyperlink ref="O149" r:id="rId103"/>
    <hyperlink ref="O150" r:id="rId104"/>
    <hyperlink ref="O151" r:id="rId105"/>
    <hyperlink ref="O153" r:id="rId106"/>
    <hyperlink ref="O154" r:id="rId107"/>
    <hyperlink ref="O156" r:id="rId108"/>
    <hyperlink ref="O157" r:id="rId109"/>
    <hyperlink ref="O159" r:id="rId110"/>
    <hyperlink ref="O160" r:id="rId111"/>
    <hyperlink ref="O155" r:id="rId112"/>
    <hyperlink ref="O152" r:id="rId113"/>
    <hyperlink ref="O43" r:id="rId114"/>
    <hyperlink ref="O68" r:id="rId115"/>
    <hyperlink ref="O161" r:id="rId116"/>
    <hyperlink ref="O39" r:id="rId117"/>
    <hyperlink ref="O41" r:id="rId118"/>
    <hyperlink ref="O42" r:id="rId119"/>
    <hyperlink ref="O69" r:id="rId120" display="url"/>
    <hyperlink ref="O71" r:id="rId121"/>
    <hyperlink ref="O70" r:id="rId122"/>
    <hyperlink ref="O72" r:id="rId123"/>
    <hyperlink ref="O73" r:id="rId124"/>
    <hyperlink ref="O74" r:id="rId125"/>
    <hyperlink ref="O75" r:id="rId126"/>
    <hyperlink ref="O76" r:id="rId127"/>
    <hyperlink ref="O77" r:id="rId128"/>
    <hyperlink ref="O78" r:id="rId129"/>
    <hyperlink ref="O79" r:id="rId130"/>
    <hyperlink ref="O80" r:id="rId131"/>
    <hyperlink ref="O81" r:id="rId132"/>
    <hyperlink ref="O82" r:id="rId133"/>
    <hyperlink ref="O83" r:id="rId134"/>
    <hyperlink ref="O84" r:id="rId135"/>
    <hyperlink ref="O85" r:id="rId136"/>
    <hyperlink ref="O86" r:id="rId137"/>
    <hyperlink ref="O87" r:id="rId138"/>
    <hyperlink ref="O88" r:id="rId139"/>
    <hyperlink ref="O89" r:id="rId140"/>
    <hyperlink ref="O90" r:id="rId141"/>
    <hyperlink ref="O91" r:id="rId142"/>
    <hyperlink ref="O92" r:id="rId143"/>
    <hyperlink ref="O93" r:id="rId144"/>
    <hyperlink ref="O94" r:id="rId145"/>
    <hyperlink ref="O95" r:id="rId146"/>
    <hyperlink ref="O96" r:id="rId1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25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2024-12-24T12:47:05Z</dcterms:modified>
</cp:coreProperties>
</file>