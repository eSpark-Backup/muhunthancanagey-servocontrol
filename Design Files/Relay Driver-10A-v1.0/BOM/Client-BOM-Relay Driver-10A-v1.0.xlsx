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Relay Driver-10A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<sst xmlns="http://schemas.openxmlformats.org/spreadsheetml/2006/main" count="134" uniqueCount="103">
  <si>
    <t>#</t>
  </si>
  <si>
    <t>Item Type</t>
  </si>
  <si>
    <t>Capacitor</t>
  </si>
  <si>
    <t>Bridge Rectifier</t>
  </si>
  <si>
    <t>Diode</t>
  </si>
  <si>
    <t>Terminal Blocks</t>
  </si>
  <si>
    <t>Fuse Holder</t>
  </si>
  <si>
    <t>Terminal Block</t>
  </si>
  <si>
    <t>Female Socket</t>
  </si>
  <si>
    <t>JST Connector</t>
  </si>
  <si>
    <t>Female Header</t>
  </si>
  <si>
    <t>Relay</t>
  </si>
  <si>
    <t>LED</t>
  </si>
  <si>
    <t>Resistor</t>
  </si>
  <si>
    <t>IC</t>
  </si>
  <si>
    <t>Designator</t>
  </si>
  <si>
    <t>C1, C2, C3</t>
  </si>
  <si>
    <t>D1</t>
  </si>
  <si>
    <t>D2</t>
  </si>
  <si>
    <t>D3</t>
  </si>
  <si>
    <t>J1</t>
  </si>
  <si>
    <t>J2</t>
  </si>
  <si>
    <t>J3</t>
  </si>
  <si>
    <t>J4, J5, J14, J15</t>
  </si>
  <si>
    <t>J6, J7, J16, J17</t>
  </si>
  <si>
    <t>J8, J9</t>
  </si>
  <si>
    <t>J10, J11, J12, J13</t>
  </si>
  <si>
    <t>J18</t>
  </si>
  <si>
    <t>K1, K2, K3, K4</t>
  </si>
  <si>
    <t>LED1, LED2, LED3, LED4</t>
  </si>
  <si>
    <t>R1</t>
  </si>
  <si>
    <t>R2, R3, R4, R5</t>
  </si>
  <si>
    <t>U1</t>
  </si>
  <si>
    <t>U2</t>
  </si>
  <si>
    <t>Description</t>
  </si>
  <si>
    <t>CAP ALUM 220UF 20% 50V SMD</t>
  </si>
  <si>
    <t>50A 1.1V@1A 1A 1kV DBS Bridge Rectifiers ROHS</t>
  </si>
  <si>
    <t>TVS DIODE 28VWM 45.4VC SMB</t>
  </si>
  <si>
    <t>DIODE SCHOTTKY 60V 5A SMA</t>
  </si>
  <si>
    <t>TERM BLK 2P SIDE ENT 5.08MM PCB</t>
  </si>
  <si>
    <t>FUSE HOLDER BLADE 80V PCB</t>
  </si>
  <si>
    <t>1x2P Barrier Block 2 1 16mm -40℃~+105℃ 76A 1kV Black 6~14 Straight pin 16 Plugin,P=16mm Barrier Terminal Blocks ROHS</t>
  </si>
  <si>
    <t>1x2P Corner With Cover Plate 2 1 7.62mm -40℃~+105℃ 20A 300V Black 12~22 Straight Needle Plugin,P=7.62mm Barrier Terminal Blocks ROHS</t>
  </si>
  <si>
    <t>CONN HDR RCPT 4POS VERT TIN PCB</t>
  </si>
  <si>
    <t>Conn Shrouded Header HDR 5 POS 2.5mm Solder ST Thru-Hole Box</t>
  </si>
  <si>
    <t>2.54mm Single Row Gold 3A 2P Brass -40℃~+105℃ 250V 260℃ Direct Insert 1x2P 8.5mm Top Square Hole Plugin,P=2.54mm Female Headers ROHS</t>
  </si>
  <si>
    <t>Conn Shrouded Header (4 Sides) HDR 2 POS 2.5mm Solder ST Thru-Hole Box</t>
  </si>
  <si>
    <t>RELAY GEN PURPOSE SPST 20A 24V</t>
  </si>
  <si>
    <t>blue 0603 Light Emitting Diodes (LED) ROHS</t>
  </si>
  <si>
    <t>Metal Film Resistors 100kΩ 500mW ±5% Plugin,D2.4xL6.3mm Through Hole Resistors ROHS</t>
  </si>
  <si>
    <t>RES 3.3K OHM 1% 1/16W 0402</t>
  </si>
  <si>
    <t>70V 5kV 50mA 100mV@1mA,20mA 1 6V 1.2V DC SMD-4 Transistor Output Optocoupler ROHS</t>
  </si>
  <si>
    <t>IC PWR RELAY 7NPN 1:1 16SOIC</t>
  </si>
  <si>
    <t>Footprint</t>
  </si>
  <si>
    <t>UCD-220uF-10mmDia</t>
  </si>
  <si>
    <t>DF10S</t>
  </si>
  <si>
    <t>SMB_</t>
  </si>
  <si>
    <t>SMA</t>
  </si>
  <si>
    <t>178.6165.0002</t>
  </si>
  <si>
    <t>KF88SA-16.0-2P</t>
  </si>
  <si>
    <t>DBT50G-7.62-2P-BK-P</t>
  </si>
  <si>
    <t>HDR1X2 (Female)</t>
  </si>
  <si>
    <t>LED-0603</t>
  </si>
  <si>
    <t>MFR50SJT-52-100K</t>
  </si>
  <si>
    <t>Res-0402</t>
  </si>
  <si>
    <t>PC817C</t>
  </si>
  <si>
    <t>Manufacturer Part Number</t>
  </si>
  <si>
    <t>UCD1H221MNL1GS</t>
  </si>
  <si>
    <t>SMBJ28A-13-F</t>
  </si>
  <si>
    <t>SS56</t>
  </si>
  <si>
    <t>B5B-XH-A(LF)(SN)</t>
  </si>
  <si>
    <t>X6511FV-02-C85D32</t>
  </si>
  <si>
    <t>B2B-XH-A(LF)(SN)</t>
  </si>
  <si>
    <t>G4A-1A-PE DC24</t>
  </si>
  <si>
    <t>NCD0603B3</t>
  </si>
  <si>
    <t>RC0402FR-073K3L</t>
  </si>
  <si>
    <t>ULN2003AIDR</t>
  </si>
  <si>
    <t>Manufacturer</t>
  </si>
  <si>
    <t>Nichicon</t>
  </si>
  <si>
    <t>MSKSEMI</t>
  </si>
  <si>
    <t>Diodes</t>
  </si>
  <si>
    <t>MDD</t>
  </si>
  <si>
    <t>Phoenix Contact</t>
  </si>
  <si>
    <t>Littelfuse Wickmann</t>
  </si>
  <si>
    <t>CiXi KaiFeng Electronics</t>
  </si>
  <si>
    <t>DORABO</t>
  </si>
  <si>
    <t>Molex</t>
  </si>
  <si>
    <t>JST</t>
  </si>
  <si>
    <t>XKB Connectivity</t>
  </si>
  <si>
    <t>Omron</t>
  </si>
  <si>
    <t>Foshan NationStar Optoelectronics</t>
  </si>
  <si>
    <t>Yageo</t>
  </si>
  <si>
    <t>Slkor</t>
  </si>
  <si>
    <t>Texas Instruments</t>
  </si>
  <si>
    <t>220uF</t>
  </si>
  <si>
    <t>100K</t>
  </si>
  <si>
    <t>3.3K</t>
  </si>
  <si>
    <t>Quantity</t>
  </si>
  <si>
    <t>Custom</t>
  </si>
  <si>
    <t>-</t>
  </si>
  <si>
    <t>Value</t>
  </si>
  <si>
    <t>Remarks</t>
  </si>
  <si>
    <t>16-SOIC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</si>
</sst>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0"/>
  <sheetViews>
    <sheetView tabSelected="1" workbookViewId="0">
      <selection activeCell="Q10" sqref="Q10"/>
    </sheetView>
  </sheetViews>
  <sheetFormatPr defaultRowHeight="15" x14ac:dyDescent="0.25"/>
  <cols>
    <col min="2" max="2" width="3.140625" style="4" customWidth="1"/>
    <col min="3" max="3" width="13.140625" style="4" bestFit="1" customWidth="1"/>
    <col min="4" max="4" width="18.140625" bestFit="1" customWidth="1"/>
    <col min="5" max="5" width="29.85546875" bestFit="1" customWidth="1"/>
    <col min="6" max="6" width="17.28515625" bestFit="1" customWidth="1"/>
    <col min="7" max="7" width="25.28515625" bestFit="1" customWidth="1"/>
    <col min="8" max="8" width="21.42578125" bestFit="1" customWidth="1"/>
    <col min="9" max="9" width="11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15</v>
      </c>
      <c r="E2" s="6" t="s">
        <v>34</v>
      </c>
      <c r="F2" s="5" t="s">
        <v>53</v>
      </c>
      <c r="G2" s="6" t="s">
        <v>66</v>
      </c>
      <c r="H2" s="5" t="s">
        <v>77</v>
      </c>
      <c r="I2" s="6" t="s">
        <v>100</v>
      </c>
      <c r="J2" s="5" t="s">
        <v>97</v>
      </c>
      <c r="K2" s="5" t="s">
        <v>101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16</v>
      </c>
      <c r="E3" s="8" t="s">
        <v>35</v>
      </c>
      <c r="F3" s="7" t="s">
        <v>54</v>
      </c>
      <c r="G3" s="8" t="s">
        <v>67</v>
      </c>
      <c r="H3" s="7" t="s">
        <v>78</v>
      </c>
      <c r="I3" s="8" t="s">
        <v>94</v>
      </c>
      <c r="J3" s="7">
        <v>3</v>
      </c>
      <c r="K3" s="7"/>
    </row>
    <row r="4" spans="1:11" ht="24.75" thickBot="1" x14ac:dyDescent="0.3">
      <c r="A4" s="1"/>
      <c r="B4" s="11">
        <f t="shared" ref="B4:B20" si="0">ROW(B4) - ROW($B$2)</f>
        <v>2</v>
      </c>
      <c r="C4" s="13" t="s">
        <v>3</v>
      </c>
      <c r="D4" s="9" t="s">
        <v>17</v>
      </c>
      <c r="E4" s="10" t="s">
        <v>36</v>
      </c>
      <c r="F4" s="9" t="s">
        <v>55</v>
      </c>
      <c r="G4" s="10" t="s">
        <v>55</v>
      </c>
      <c r="H4" s="9" t="s">
        <v>79</v>
      </c>
      <c r="I4" s="10" t="s">
        <v>99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4</v>
      </c>
      <c r="D5" s="7" t="s">
        <v>18</v>
      </c>
      <c r="E5" s="8" t="s">
        <v>37</v>
      </c>
      <c r="F5" s="7" t="s">
        <v>56</v>
      </c>
      <c r="G5" s="8" t="s">
        <v>68</v>
      </c>
      <c r="H5" s="7" t="s">
        <v>80</v>
      </c>
      <c r="I5" s="10" t="s">
        <v>99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2" t="s">
        <v>4</v>
      </c>
      <c r="D6" s="9" t="s">
        <v>19</v>
      </c>
      <c r="E6" s="10" t="s">
        <v>38</v>
      </c>
      <c r="F6" s="9" t="s">
        <v>57</v>
      </c>
      <c r="G6" s="10" t="s">
        <v>69</v>
      </c>
      <c r="H6" s="9" t="s">
        <v>81</v>
      </c>
      <c r="I6" s="10" t="s">
        <v>99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5</v>
      </c>
      <c r="D7" s="7" t="s">
        <v>20</v>
      </c>
      <c r="E7" s="8" t="s">
        <v>39</v>
      </c>
      <c r="F7" s="7" t="s">
        <v>98</v>
      </c>
      <c r="G7" s="8">
        <v>1715721</v>
      </c>
      <c r="H7" s="7" t="s">
        <v>82</v>
      </c>
      <c r="I7" s="10" t="s">
        <v>99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6</v>
      </c>
      <c r="D8" s="9" t="s">
        <v>21</v>
      </c>
      <c r="E8" s="10" t="s">
        <v>40</v>
      </c>
      <c r="F8" s="7" t="s">
        <v>98</v>
      </c>
      <c r="G8" s="10" t="s">
        <v>58</v>
      </c>
      <c r="H8" s="9" t="s">
        <v>83</v>
      </c>
      <c r="I8" s="10" t="s">
        <v>99</v>
      </c>
      <c r="J8" s="9">
        <v>1</v>
      </c>
      <c r="K8" s="9"/>
    </row>
    <row r="9" spans="1:11" ht="48.75" thickBot="1" x14ac:dyDescent="0.3">
      <c r="A9" s="1"/>
      <c r="B9" s="11">
        <f>ROW(B9) - ROW($B$2)</f>
        <v>7</v>
      </c>
      <c r="C9" s="12" t="s">
        <v>7</v>
      </c>
      <c r="D9" s="7" t="s">
        <v>22</v>
      </c>
      <c r="E9" s="8" t="s">
        <v>41</v>
      </c>
      <c r="F9" s="7" t="s">
        <v>98</v>
      </c>
      <c r="G9" s="8" t="s">
        <v>59</v>
      </c>
      <c r="H9" s="7" t="s">
        <v>84</v>
      </c>
      <c r="I9" s="10" t="s">
        <v>99</v>
      </c>
      <c r="J9" s="7">
        <v>1</v>
      </c>
      <c r="K9" s="7"/>
    </row>
    <row r="10" spans="1:11" ht="60.75" thickBot="1" x14ac:dyDescent="0.3">
      <c r="A10" s="1"/>
      <c r="B10" s="11">
        <f t="shared" si="0"/>
        <v>8</v>
      </c>
      <c r="C10" s="13" t="s">
        <v>7</v>
      </c>
      <c r="D10" s="9" t="s">
        <v>23</v>
      </c>
      <c r="E10" s="10" t="s">
        <v>42</v>
      </c>
      <c r="F10" s="7" t="s">
        <v>98</v>
      </c>
      <c r="G10" s="10" t="s">
        <v>60</v>
      </c>
      <c r="H10" s="9" t="s">
        <v>85</v>
      </c>
      <c r="I10" s="10" t="s">
        <v>99</v>
      </c>
      <c r="J10" s="9">
        <v>4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8</v>
      </c>
      <c r="D11" s="7" t="s">
        <v>24</v>
      </c>
      <c r="E11" s="8" t="s">
        <v>43</v>
      </c>
      <c r="F11" s="7" t="s">
        <v>98</v>
      </c>
      <c r="G11" s="8">
        <v>447690401</v>
      </c>
      <c r="H11" s="7" t="s">
        <v>86</v>
      </c>
      <c r="I11" s="10" t="s">
        <v>99</v>
      </c>
      <c r="J11" s="7">
        <v>4</v>
      </c>
      <c r="K11" s="7"/>
    </row>
    <row r="12" spans="1:11" ht="24.75" thickBot="1" x14ac:dyDescent="0.3">
      <c r="A12" s="1"/>
      <c r="B12" s="11">
        <f t="shared" si="0"/>
        <v>10</v>
      </c>
      <c r="C12" s="13" t="s">
        <v>9</v>
      </c>
      <c r="D12" s="9" t="s">
        <v>25</v>
      </c>
      <c r="E12" s="10" t="s">
        <v>44</v>
      </c>
      <c r="F12" s="7" t="s">
        <v>98</v>
      </c>
      <c r="G12" s="10" t="s">
        <v>70</v>
      </c>
      <c r="H12" s="9" t="s">
        <v>87</v>
      </c>
      <c r="I12" s="10" t="s">
        <v>99</v>
      </c>
      <c r="J12" s="9">
        <v>2</v>
      </c>
      <c r="K12" s="9"/>
    </row>
    <row r="13" spans="1:11" ht="60.75" thickBot="1" x14ac:dyDescent="0.3">
      <c r="A13" s="1"/>
      <c r="B13" s="11">
        <f>ROW(B13) - ROW($B$2)</f>
        <v>11</v>
      </c>
      <c r="C13" s="12" t="s">
        <v>10</v>
      </c>
      <c r="D13" s="7" t="s">
        <v>26</v>
      </c>
      <c r="E13" s="8" t="s">
        <v>45</v>
      </c>
      <c r="F13" s="7" t="s">
        <v>61</v>
      </c>
      <c r="G13" s="8" t="s">
        <v>71</v>
      </c>
      <c r="H13" s="7" t="s">
        <v>88</v>
      </c>
      <c r="I13" s="10" t="s">
        <v>99</v>
      </c>
      <c r="J13" s="7">
        <v>4</v>
      </c>
      <c r="K13" s="7"/>
    </row>
    <row r="14" spans="1:11" ht="36.75" thickBot="1" x14ac:dyDescent="0.3">
      <c r="A14" s="1"/>
      <c r="B14" s="11">
        <f t="shared" si="0"/>
        <v>12</v>
      </c>
      <c r="C14" s="13" t="s">
        <v>9</v>
      </c>
      <c r="D14" s="9" t="s">
        <v>27</v>
      </c>
      <c r="E14" s="10" t="s">
        <v>46</v>
      </c>
      <c r="F14" s="7" t="s">
        <v>98</v>
      </c>
      <c r="G14" s="10" t="s">
        <v>72</v>
      </c>
      <c r="H14" s="9" t="s">
        <v>87</v>
      </c>
      <c r="I14" s="10" t="s">
        <v>99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11</v>
      </c>
      <c r="D15" s="7" t="s">
        <v>28</v>
      </c>
      <c r="E15" s="8" t="s">
        <v>47</v>
      </c>
      <c r="F15" s="7" t="s">
        <v>98</v>
      </c>
      <c r="G15" s="8" t="s">
        <v>73</v>
      </c>
      <c r="H15" s="7" t="s">
        <v>89</v>
      </c>
      <c r="I15" s="10" t="s">
        <v>99</v>
      </c>
      <c r="J15" s="7">
        <v>4</v>
      </c>
      <c r="K15" s="7"/>
    </row>
    <row r="16" spans="1:11" ht="24.75" thickBot="1" x14ac:dyDescent="0.3">
      <c r="A16" s="1"/>
      <c r="B16" s="11">
        <f t="shared" si="0"/>
        <v>14</v>
      </c>
      <c r="C16" s="13" t="s">
        <v>12</v>
      </c>
      <c r="D16" s="9" t="s">
        <v>29</v>
      </c>
      <c r="E16" s="10" t="s">
        <v>48</v>
      </c>
      <c r="F16" s="9" t="s">
        <v>62</v>
      </c>
      <c r="G16" s="10" t="s">
        <v>74</v>
      </c>
      <c r="H16" s="9" t="s">
        <v>90</v>
      </c>
      <c r="I16" s="10" t="s">
        <v>99</v>
      </c>
      <c r="J16" s="9">
        <v>4</v>
      </c>
      <c r="K16" s="9"/>
    </row>
    <row r="17" spans="1:11" ht="36.75" thickBot="1" x14ac:dyDescent="0.3">
      <c r="A17" s="1"/>
      <c r="B17" s="11">
        <f>ROW(B17) - ROW($B$2)</f>
        <v>15</v>
      </c>
      <c r="C17" s="12" t="s">
        <v>13</v>
      </c>
      <c r="D17" s="7" t="s">
        <v>30</v>
      </c>
      <c r="E17" s="8" t="s">
        <v>49</v>
      </c>
      <c r="F17" s="7" t="s">
        <v>98</v>
      </c>
      <c r="G17" s="8" t="s">
        <v>63</v>
      </c>
      <c r="H17" s="7" t="s">
        <v>91</v>
      </c>
      <c r="I17" s="8" t="s">
        <v>95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13</v>
      </c>
      <c r="D18" s="9" t="s">
        <v>31</v>
      </c>
      <c r="E18" s="10" t="s">
        <v>50</v>
      </c>
      <c r="F18" s="9" t="s">
        <v>64</v>
      </c>
      <c r="G18" s="10" t="s">
        <v>75</v>
      </c>
      <c r="H18" s="9" t="s">
        <v>91</v>
      </c>
      <c r="I18" s="10" t="s">
        <v>96</v>
      </c>
      <c r="J18" s="9">
        <v>4</v>
      </c>
      <c r="K18" s="9"/>
    </row>
    <row r="19" spans="1:11" ht="36.75" thickBot="1" x14ac:dyDescent="0.3">
      <c r="A19" s="1"/>
      <c r="B19" s="11">
        <f>ROW(B19) - ROW($B$2)</f>
        <v>17</v>
      </c>
      <c r="C19" s="12" t="s">
        <v>14</v>
      </c>
      <c r="D19" s="7" t="s">
        <v>32</v>
      </c>
      <c r="E19" s="8" t="s">
        <v>51</v>
      </c>
      <c r="F19" s="7" t="s">
        <v>65</v>
      </c>
      <c r="G19" s="8" t="s">
        <v>65</v>
      </c>
      <c r="H19" s="7" t="s">
        <v>92</v>
      </c>
      <c r="I19" s="8" t="s">
        <v>65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14</v>
      </c>
      <c r="D20" s="9" t="s">
        <v>33</v>
      </c>
      <c r="E20" s="10" t="s">
        <v>52</v>
      </c>
      <c r="F20" s="9" t="s">
        <v>102</v>
      </c>
      <c r="G20" s="10" t="s">
        <v>76</v>
      </c>
      <c r="H20" s="9" t="s">
        <v>93</v>
      </c>
      <c r="I20" s="10" t="s">
        <v>76</v>
      </c>
      <c r="J20" s="9">
        <v>1</v>
      </c>
      <c r="K20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2024-09-04T12:44:12Z</dcterms:modified>
</cp:coreProperties>
</file>