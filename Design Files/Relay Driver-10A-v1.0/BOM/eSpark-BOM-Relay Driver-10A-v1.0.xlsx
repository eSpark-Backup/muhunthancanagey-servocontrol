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muhunthancanagey-servocontrol\Design Files\Relay Driver-10A-v1.0\BOM\"/>
    </mc:Choice>
  </mc:AlternateContent>
  <bookViews>
    <workbookView xWindow="28680" yWindow="-120" windowWidth="29040" windowHeight="15840"/>
  </bookViews>
  <sheets>
    <sheet name="5 Boards" sheetId="1" r:id="rId1"/>
  </sheets>
  <calcPr calcId="162913"/>
</workbook>
</file>

<file path=xl/calcChain.xml><?xml version="1.0" encoding="utf-8"?>
<calcChain xmlns="http://schemas.openxmlformats.org/spreadsheetml/2006/main">
  <c r="Q26" i="1" l="1"/>
  <c r="Q27" i="1"/>
  <c r="M26" i="1"/>
  <c r="Q8" i="1" l="1"/>
  <c r="Q25" i="1" l="1"/>
  <c r="M25" i="1"/>
  <c r="B26" i="1"/>
  <c r="Q24" i="1"/>
  <c r="M24" i="1"/>
  <c r="B24" i="1"/>
  <c r="Q23" i="1"/>
  <c r="M23" i="1"/>
  <c r="B23" i="1"/>
  <c r="Q22" i="1"/>
  <c r="M22" i="1"/>
  <c r="B22" i="1"/>
  <c r="Q21" i="1"/>
  <c r="M21" i="1"/>
  <c r="B21" i="1"/>
  <c r="Q20" i="1"/>
  <c r="M20" i="1"/>
  <c r="B20" i="1"/>
  <c r="Q19" i="1"/>
  <c r="M19" i="1"/>
  <c r="B19" i="1"/>
  <c r="Q18" i="1"/>
  <c r="M18" i="1"/>
  <c r="B18" i="1"/>
  <c r="Q17" i="1"/>
  <c r="M17" i="1"/>
  <c r="B17" i="1"/>
  <c r="Q16" i="1"/>
  <c r="M16" i="1"/>
  <c r="B16" i="1"/>
  <c r="Q15" i="1"/>
  <c r="M15" i="1"/>
  <c r="B15" i="1"/>
  <c r="Q14" i="1"/>
  <c r="M14" i="1"/>
  <c r="B14" i="1"/>
  <c r="Q13" i="1"/>
  <c r="M13" i="1"/>
  <c r="B13" i="1"/>
  <c r="Q12" i="1"/>
  <c r="M12" i="1"/>
  <c r="B12" i="1"/>
  <c r="Q11" i="1"/>
  <c r="M11" i="1"/>
  <c r="B11" i="1"/>
  <c r="Q10" i="1"/>
  <c r="M10" i="1"/>
  <c r="B10" i="1"/>
  <c r="Q28" i="1" l="1"/>
  <c r="Q9" i="1"/>
  <c r="M9" i="1"/>
  <c r="B9" i="1"/>
  <c r="B8" i="1"/>
</calcChain>
</file>

<file path=xl/sharedStrings.xml><?xml version="1.0" encoding="utf-8"?>
<sst xmlns="http://schemas.openxmlformats.org/spreadsheetml/2006/main" count="211" uniqueCount="142">
  <si>
    <t>Component list</t>
  </si>
  <si>
    <t>Project:</t>
  </si>
  <si>
    <t>#</t>
  </si>
  <si>
    <t xml:space="preserve">Total Component Cost </t>
  </si>
  <si>
    <t>Single Board Cost</t>
  </si>
  <si>
    <t>Item Type</t>
  </si>
  <si>
    <t>Capacitor</t>
  </si>
  <si>
    <t>Bridge Rectifier</t>
  </si>
  <si>
    <t>Diode</t>
  </si>
  <si>
    <t>Terminal Blocks</t>
  </si>
  <si>
    <t>Fuse Holder</t>
  </si>
  <si>
    <t>Terminal Block</t>
  </si>
  <si>
    <t>Female Socket</t>
  </si>
  <si>
    <t>JST Connector</t>
  </si>
  <si>
    <t>Female Header</t>
  </si>
  <si>
    <t>Relay</t>
  </si>
  <si>
    <t>LED</t>
  </si>
  <si>
    <t>Resistor</t>
  </si>
  <si>
    <t>IC</t>
  </si>
  <si>
    <t>Designator</t>
  </si>
  <si>
    <t>C1, C2, C3</t>
  </si>
  <si>
    <t>D1</t>
  </si>
  <si>
    <t>D2</t>
  </si>
  <si>
    <t>D3</t>
  </si>
  <si>
    <t>J1</t>
  </si>
  <si>
    <t>J2</t>
  </si>
  <si>
    <t>J3</t>
  </si>
  <si>
    <t>J4, J5, J14, J15</t>
  </si>
  <si>
    <t>J6, J7, J16, J17</t>
  </si>
  <si>
    <t>J8, J9</t>
  </si>
  <si>
    <t>J10, J11, J12, J13</t>
  </si>
  <si>
    <t>J18</t>
  </si>
  <si>
    <t>K1, K2, K3, K4</t>
  </si>
  <si>
    <t>LED1, LED2, LED3, LED4</t>
  </si>
  <si>
    <t>R1</t>
  </si>
  <si>
    <t>R2, R3, R4, R5</t>
  </si>
  <si>
    <t>U1</t>
  </si>
  <si>
    <t>U2</t>
  </si>
  <si>
    <t>Description</t>
  </si>
  <si>
    <t>CAP ALUM 220UF 20% 50V SMD</t>
  </si>
  <si>
    <t>50A 1.1V@1A 1A 1kV DBS Bridge Rectifiers ROHS</t>
  </si>
  <si>
    <t>TVS DIODE 28VWM 45.4VC SMB</t>
  </si>
  <si>
    <t>DIODE SCHOTTKY 60V 5A SMA</t>
  </si>
  <si>
    <t>TERM BLK 2P SIDE ENT 5.08MM PCB</t>
  </si>
  <si>
    <t>FUSE HOLDER BLADE 80V PCB</t>
  </si>
  <si>
    <t>1x2P Barrier Block 2 1 16mm -40℃~+105℃ 76A 1kV Black 6~14 Straight pin 16 Plugin,P=16mm Barrier Terminal Blocks ROHS</t>
  </si>
  <si>
    <t>1x2P Corner With Cover Plate 2 1 7.62mm -40℃~+105℃ 20A 300V Black 12~22 Straight Needle Plugin,P=7.62mm Barrier Terminal Blocks ROHS</t>
  </si>
  <si>
    <t>CONN HDR RCPT 4POS VERT TIN PCB</t>
  </si>
  <si>
    <t>Conn Shrouded Header HDR 5 POS 2.5mm Solder ST Thru-Hole Box</t>
  </si>
  <si>
    <t>2.54mm Single Row Gold 3A 2P Brass -40℃~+105℃ 250V 260℃ Direct Insert 1x2P 8.5mm Top Square Hole Plugin,P=2.54mm Female Headers ROHS</t>
  </si>
  <si>
    <t>Conn Shrouded Header (4 Sides) HDR 2 POS 2.5mm Solder ST Thru-Hole Box</t>
  </si>
  <si>
    <t>RELAY GEN PURPOSE SPST 20A 24V</t>
  </si>
  <si>
    <t>blue 0603 Light Emitting Diodes (LED) ROHS</t>
  </si>
  <si>
    <t>Metal Film Resistors 100kΩ 500mW ±5% Plugin,D2.4xL6.3mm Through Hole Resistors ROHS</t>
  </si>
  <si>
    <t>RES 3.3K OHM 1% 1/16W 0402</t>
  </si>
  <si>
    <t>70V 5kV 50mA 100mV@1mA,20mA 1 6V 1.2V DC SMD-4 Transistor Output Optocoupler ROHS</t>
  </si>
  <si>
    <t>IC PWR RELAY 7NPN 1:1 16SOIC</t>
  </si>
  <si>
    <t>Footprint</t>
  </si>
  <si>
    <t>UCD-220uF-10mmDia</t>
  </si>
  <si>
    <t>DF10S</t>
  </si>
  <si>
    <t>SMB_</t>
  </si>
  <si>
    <t>SMA</t>
  </si>
  <si>
    <t>178.6165.0002</t>
  </si>
  <si>
    <t>KF88SA-16.0-2P</t>
  </si>
  <si>
    <t>DBT50G-7.62-2P-BK-P</t>
  </si>
  <si>
    <t>HDR1X2 (Female)</t>
  </si>
  <si>
    <t>LED-0603</t>
  </si>
  <si>
    <t>MFR50SJT-52-100K</t>
  </si>
  <si>
    <t>Res-0402</t>
  </si>
  <si>
    <t>PC817C</t>
  </si>
  <si>
    <t>Manufacturer Part Number</t>
  </si>
  <si>
    <t>UCD1H221MNL1GS</t>
  </si>
  <si>
    <t>SMBJ28A-13-F</t>
  </si>
  <si>
    <t>SS56</t>
  </si>
  <si>
    <t>B5B-XH-A(LF)(SN)</t>
  </si>
  <si>
    <t>X6511FV-02-C85D32</t>
  </si>
  <si>
    <t>B2B-XH-A(LF)(SN)</t>
  </si>
  <si>
    <t>G4A-1A-PE DC24</t>
  </si>
  <si>
    <t>NCD0603B3</t>
  </si>
  <si>
    <t>RC0402FR-073K3L</t>
  </si>
  <si>
    <t>ULN2003AIDR</t>
  </si>
  <si>
    <t>Manufacturer</t>
  </si>
  <si>
    <t>Nichicon</t>
  </si>
  <si>
    <t>MSKSEMI</t>
  </si>
  <si>
    <t>Diodes</t>
  </si>
  <si>
    <t>MDD</t>
  </si>
  <si>
    <t>Phoenix Contact</t>
  </si>
  <si>
    <t>Littelfuse Wickmann</t>
  </si>
  <si>
    <t>CiXi KaiFeng Electronics</t>
  </si>
  <si>
    <t>DORABO</t>
  </si>
  <si>
    <t>Molex</t>
  </si>
  <si>
    <t>JST</t>
  </si>
  <si>
    <t>XKB Connectivity</t>
  </si>
  <si>
    <t>Omron</t>
  </si>
  <si>
    <t>Foshan NationStar Optoelectronics</t>
  </si>
  <si>
    <t>Yageo</t>
  </si>
  <si>
    <t>Slkor</t>
  </si>
  <si>
    <t>Texas Instruments</t>
  </si>
  <si>
    <t>LCSC Part Number</t>
  </si>
  <si>
    <t>C116211</t>
  </si>
  <si>
    <t>C5174636</t>
  </si>
  <si>
    <t>C207061</t>
  </si>
  <si>
    <t>C707749</t>
  </si>
  <si>
    <t>C496127</t>
  </si>
  <si>
    <t>C157991</t>
  </si>
  <si>
    <t>C718243</t>
  </si>
  <si>
    <t>C158012</t>
  </si>
  <si>
    <t>C231366</t>
  </si>
  <si>
    <t>C158101</t>
  </si>
  <si>
    <t>C176621</t>
  </si>
  <si>
    <t>C137992</t>
  </si>
  <si>
    <t>C2936043</t>
  </si>
  <si>
    <t>220uF</t>
  </si>
  <si>
    <t>100K</t>
  </si>
  <si>
    <t>3.3K</t>
  </si>
  <si>
    <t>Quantity</t>
  </si>
  <si>
    <t>Alternate Part Number</t>
  </si>
  <si>
    <t>Value</t>
  </si>
  <si>
    <t xml:space="preserve"> Quantity (5 Boards)</t>
  </si>
  <si>
    <t>MOQ (5 Boards)</t>
  </si>
  <si>
    <t>Links</t>
  </si>
  <si>
    <t>Unit Cost (5 Boards)</t>
  </si>
  <si>
    <t>Total Cost (5 Boards)</t>
  </si>
  <si>
    <t xml:space="preserve"> Remarks</t>
  </si>
  <si>
    <t>Bill of Materials for Project [Relay Driver-10A-v1.0]</t>
  </si>
  <si>
    <t>Relay Driver-10A-v1.0</t>
  </si>
  <si>
    <t>LCSC</t>
  </si>
  <si>
    <t>-</t>
  </si>
  <si>
    <t>C91924</t>
  </si>
  <si>
    <t>C65009</t>
  </si>
  <si>
    <t>C480516</t>
  </si>
  <si>
    <t>Custom</t>
  </si>
  <si>
    <t>16-SOIC</t>
  </si>
  <si>
    <t>C6961258</t>
  </si>
  <si>
    <t>C94832</t>
  </si>
  <si>
    <t>----</t>
  </si>
  <si>
    <t>Peripheral</t>
  </si>
  <si>
    <t>Fuse</t>
  </si>
  <si>
    <t>32V 1kA Blade fuse 1A Automotive Fuses ROHS</t>
  </si>
  <si>
    <t>0287001.PXCN</t>
  </si>
  <si>
    <t xml:space="preserve">Littelfuse </t>
  </si>
  <si>
    <t>C142679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</si>
</sst>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9]h:mm:ss\ AM/PM;@"/>
    <numFmt numFmtId="165" formatCode="&quot;$&quot;#,##0.0000"/>
    <numFmt numFmtId="166" formatCode="&quot;$&quot;#,##0.00"/>
  </numFmts>
  <fonts count="20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24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1" tint="0.499984740745262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9" fillId="0" borderId="0" applyNumberFormat="0" applyFill="0" applyBorder="0" applyAlignment="0" applyProtection="0"/>
  </cellStyleXfs>
  <cellXfs count="51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6" fillId="3" borderId="5" xfId="0" applyFont="1" applyFill="1" applyBorder="1" applyAlignment="1">
      <alignment vertical="center"/>
    </xf>
    <xf numFmtId="0" fontId="11" fillId="3" borderId="4" xfId="0" applyFont="1" applyFill="1" applyBorder="1" applyAlignment="1">
      <alignment vertical="center"/>
    </xf>
    <xf numFmtId="0" fontId="12" fillId="3" borderId="5" xfId="0" applyFont="1" applyFill="1" applyBorder="1" applyAlignment="1">
      <alignment vertical="center"/>
    </xf>
    <xf numFmtId="0" fontId="1" fillId="2" borderId="0" xfId="0" applyFont="1" applyFill="1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3" borderId="2" xfId="0" applyFont="1" applyFill="1" applyBorder="1" applyAlignment="1">
      <alignment horizontal="center"/>
    </xf>
    <xf numFmtId="0" fontId="14" fillId="4" borderId="6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15" fillId="2" borderId="7" xfId="0" applyFont="1" applyFill="1" applyBorder="1" applyAlignment="1">
      <alignment horizontal="center" vertical="center" wrapText="1"/>
    </xf>
    <xf numFmtId="165" fontId="15" fillId="2" borderId="7" xfId="0" applyNumberFormat="1" applyFont="1" applyFill="1" applyBorder="1" applyAlignment="1">
      <alignment horizontal="center" vertical="center" wrapText="1"/>
    </xf>
    <xf numFmtId="0" fontId="9" fillId="4" borderId="7" xfId="0" applyFont="1" applyFill="1" applyBorder="1" applyAlignment="1">
      <alignment horizontal="center" vertical="center" wrapText="1"/>
    </xf>
    <xf numFmtId="0" fontId="9" fillId="4" borderId="8" xfId="0" applyFont="1" applyFill="1" applyBorder="1" applyAlignment="1">
      <alignment horizontal="center" vertical="center" wrapText="1"/>
    </xf>
    <xf numFmtId="166" fontId="12" fillId="3" borderId="6" xfId="0" quotePrefix="1" applyNumberFormat="1" applyFont="1" applyFill="1" applyBorder="1" applyAlignment="1">
      <alignment horizontal="center" vertical="center" wrapText="1"/>
    </xf>
    <xf numFmtId="166" fontId="12" fillId="3" borderId="10" xfId="0" applyNumberFormat="1" applyFont="1" applyFill="1" applyBorder="1" applyAlignment="1">
      <alignment horizontal="center" vertical="center"/>
    </xf>
    <xf numFmtId="0" fontId="15" fillId="2" borderId="8" xfId="0" applyFont="1" applyFill="1" applyBorder="1" applyAlignment="1">
      <alignment horizontal="center" vertical="center" wrapText="1"/>
    </xf>
    <xf numFmtId="165" fontId="15" fillId="2" borderId="8" xfId="0" applyNumberFormat="1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center" vertical="center" wrapText="1"/>
    </xf>
    <xf numFmtId="0" fontId="16" fillId="2" borderId="8" xfId="0" applyFont="1" applyFill="1" applyBorder="1" applyAlignment="1">
      <alignment horizontal="center" vertical="center" wrapText="1"/>
    </xf>
    <xf numFmtId="0" fontId="7" fillId="3" borderId="0" xfId="0" applyFont="1" applyFill="1" applyBorder="1"/>
    <xf numFmtId="0" fontId="10" fillId="3" borderId="0" xfId="0" applyFont="1" applyFill="1" applyBorder="1" applyAlignment="1">
      <alignment horizontal="left"/>
    </xf>
    <xf numFmtId="0" fontId="3" fillId="3" borderId="0" xfId="0" applyFont="1" applyFill="1" applyBorder="1" applyAlignment="1">
      <alignment horizontal="center"/>
    </xf>
    <xf numFmtId="0" fontId="9" fillId="3" borderId="0" xfId="0" applyFont="1" applyFill="1" applyBorder="1"/>
    <xf numFmtId="0" fontId="10" fillId="3" borderId="0" xfId="0" applyFont="1" applyFill="1" applyBorder="1"/>
    <xf numFmtId="0" fontId="10" fillId="3" borderId="5" xfId="0" applyFont="1" applyFill="1" applyBorder="1"/>
    <xf numFmtId="0" fontId="7" fillId="3" borderId="5" xfId="0" applyFont="1" applyFill="1" applyBorder="1"/>
    <xf numFmtId="0" fontId="12" fillId="3" borderId="4" xfId="0" applyFont="1" applyFill="1" applyBorder="1" applyAlignment="1">
      <alignment vertical="center"/>
    </xf>
    <xf numFmtId="0" fontId="6" fillId="3" borderId="4" xfId="0" applyFont="1" applyFill="1" applyBorder="1" applyAlignment="1">
      <alignment vertical="center"/>
    </xf>
    <xf numFmtId="0" fontId="5" fillId="3" borderId="0" xfId="0" applyFont="1" applyFill="1" applyBorder="1" applyAlignment="1">
      <alignment horizontal="center"/>
    </xf>
    <xf numFmtId="0" fontId="13" fillId="3" borderId="0" xfId="0" applyFont="1" applyFill="1" applyBorder="1"/>
    <xf numFmtId="0" fontId="8" fillId="3" borderId="0" xfId="0" applyFont="1" applyFill="1" applyBorder="1"/>
    <xf numFmtId="0" fontId="4" fillId="3" borderId="0" xfId="0" applyFont="1" applyFill="1" applyBorder="1" applyAlignment="1">
      <alignment horizontal="center"/>
    </xf>
    <xf numFmtId="164" fontId="10" fillId="3" borderId="0" xfId="0" applyNumberFormat="1" applyFont="1" applyFill="1" applyBorder="1" applyAlignment="1">
      <alignment horizontal="left"/>
    </xf>
    <xf numFmtId="0" fontId="17" fillId="0" borderId="0" xfId="0" applyFont="1"/>
    <xf numFmtId="0" fontId="12" fillId="3" borderId="0" xfId="0" applyFont="1" applyFill="1" applyBorder="1" applyAlignment="1">
      <alignment horizontal="center"/>
    </xf>
    <xf numFmtId="0" fontId="12" fillId="3" borderId="5" xfId="0" quotePrefix="1" applyFont="1" applyFill="1" applyBorder="1" applyAlignment="1">
      <alignment vertical="center"/>
    </xf>
    <xf numFmtId="0" fontId="9" fillId="3" borderId="5" xfId="0" quotePrefix="1" applyFont="1" applyFill="1" applyBorder="1" applyAlignment="1">
      <alignment horizontal="left"/>
    </xf>
    <xf numFmtId="0" fontId="19" fillId="2" borderId="8" xfId="1" applyFill="1" applyBorder="1" applyAlignment="1">
      <alignment horizontal="center" vertical="center" wrapText="1"/>
    </xf>
    <xf numFmtId="0" fontId="15" fillId="2" borderId="11" xfId="0" applyFont="1" applyFill="1" applyBorder="1" applyAlignment="1">
      <alignment horizontal="center" vertical="center" wrapText="1"/>
    </xf>
    <xf numFmtId="0" fontId="15" fillId="2" borderId="12" xfId="0" applyFont="1" applyFill="1" applyBorder="1" applyAlignment="1">
      <alignment horizontal="center" vertical="center" wrapText="1"/>
    </xf>
    <xf numFmtId="0" fontId="19" fillId="2" borderId="7" xfId="1" applyFill="1" applyBorder="1" applyAlignment="1">
      <alignment horizontal="center" vertical="center" wrapText="1"/>
    </xf>
    <xf numFmtId="166" fontId="15" fillId="2" borderId="7" xfId="0" applyNumberFormat="1" applyFont="1" applyFill="1" applyBorder="1" applyAlignment="1">
      <alignment horizontal="center" vertical="center" wrapText="1"/>
    </xf>
    <xf numFmtId="0" fontId="15" fillId="2" borderId="7" xfId="0" quotePrefix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8" fillId="3" borderId="9" xfId="0" applyFont="1" applyFill="1" applyBorder="1" applyAlignment="1" applyProtection="1">
      <alignment horizontal="center" vertical="top"/>
      <protection locked="0"/>
    </xf>
    <xf numFmtId="0" fontId="18" fillId="3" borderId="5" xfId="0" applyFont="1" applyFill="1" applyBorder="1" applyAlignment="1" applyProtection="1">
      <alignment horizontal="center" vertical="top"/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csc.com/product-detail/Barrier-Terminal-Blocks_Cixi-Kefa-Elec-KF88SA-16-0-2P_C707749.html" TargetMode="External"/><Relationship Id="rId13" Type="http://schemas.openxmlformats.org/officeDocument/2006/relationships/hyperlink" Target="https://www.lcsc.com/product-detail/Power-Relays_Omron-Electronics-G4A-1A-PE-DC24_C231366.html" TargetMode="External"/><Relationship Id="rId18" Type="http://schemas.openxmlformats.org/officeDocument/2006/relationships/hyperlink" Target="https://www.lcsc.com/product-detail/Darlington-Transistor-Arrays_Texas-Instruments-ULN2003AIDR_C94832.html" TargetMode="External"/><Relationship Id="rId3" Type="http://schemas.openxmlformats.org/officeDocument/2006/relationships/hyperlink" Target="https://www.lcsc.com/product-detail/Schottky-Diodes_MDD-Microdiode-Semiconductor-SS56_C65009.html" TargetMode="External"/><Relationship Id="rId7" Type="http://schemas.openxmlformats.org/officeDocument/2006/relationships/hyperlink" Target="https://www.lcsc.com/product-detail/Fuseholders_Littelfuse-178-6165-0002_C207061.html" TargetMode="External"/><Relationship Id="rId12" Type="http://schemas.openxmlformats.org/officeDocument/2006/relationships/hyperlink" Target="https://www.lcsc.com/product-detail/Wire-To-Board-Connector_JST-B2B-XH-A-LF-SN_C158012.html" TargetMode="External"/><Relationship Id="rId17" Type="http://schemas.openxmlformats.org/officeDocument/2006/relationships/hyperlink" Target="https://www.lcsc.com/product-detail/Transistor-Photovoltaic-Output-Optoisolators_Slkor-SLKORMICRO-Elec-PC817C_C2936043.html" TargetMode="External"/><Relationship Id="rId2" Type="http://schemas.openxmlformats.org/officeDocument/2006/relationships/hyperlink" Target="https://www.lcsc.com/product-detail/ESD-and-Surge-Protection-TVS-ESD_Diodes-Incorporated-SMBJ28A-13-F_C91924.html" TargetMode="External"/><Relationship Id="rId16" Type="http://schemas.openxmlformats.org/officeDocument/2006/relationships/hyperlink" Target="https://www.lcsc.com/product-detail/Chip-Resistor-Surface-Mount_YAGEO-RC0402FR-073K3L_C137992.html" TargetMode="External"/><Relationship Id="rId20" Type="http://schemas.openxmlformats.org/officeDocument/2006/relationships/printerSettings" Target="../printerSettings/printerSettings1.bin"/><Relationship Id="rId1" Type="http://schemas.openxmlformats.org/officeDocument/2006/relationships/hyperlink" Target="https://www.lcsc.com/product-detail/Aluminum-Electrolytic-Capacitors-SMD_Nichicon-UCD1H221MNL1GS_C116211.html" TargetMode="External"/><Relationship Id="rId6" Type="http://schemas.openxmlformats.org/officeDocument/2006/relationships/hyperlink" Target="https://www.lcsc.com/product-detail/Bridge-Rectifiers_MSKSEMI-DF10S_C5174636.html" TargetMode="External"/><Relationship Id="rId11" Type="http://schemas.openxmlformats.org/officeDocument/2006/relationships/hyperlink" Target="https://www.lcsc.com/product-detail/Female-Headers_XKB-Connection-X6511FV-02-C85D32_C718243.html" TargetMode="External"/><Relationship Id="rId5" Type="http://schemas.openxmlformats.org/officeDocument/2006/relationships/hyperlink" Target="https://www.lcsc.com/product-detail/Wire-To-Board-Connector_MOLEX-0447690401_C6961258.html" TargetMode="External"/><Relationship Id="rId15" Type="http://schemas.openxmlformats.org/officeDocument/2006/relationships/hyperlink" Target="https://www.lcsc.com/product-detail/Through-Hole-Resistors_YAGEO-MFR50SJT-52-100K_C176621.html" TargetMode="External"/><Relationship Id="rId10" Type="http://schemas.openxmlformats.org/officeDocument/2006/relationships/hyperlink" Target="https://www.lcsc.com/product-detail/Wire-To-Board-Connector_JST-B5B-XH-A-LF-SN_C157991.html" TargetMode="External"/><Relationship Id="rId19" Type="http://schemas.openxmlformats.org/officeDocument/2006/relationships/hyperlink" Target="https://www.lcsc.com/product-detail/Automotive-Fuses_Littelfuse-0287001-PXCN_C142679.html" TargetMode="External"/><Relationship Id="rId4" Type="http://schemas.openxmlformats.org/officeDocument/2006/relationships/hyperlink" Target="https://www.lcsc.com/product-detail/Screw-Terminal-Blocks_Phoenix-Contact-1715721_C480516.html" TargetMode="External"/><Relationship Id="rId9" Type="http://schemas.openxmlformats.org/officeDocument/2006/relationships/hyperlink" Target="https://www.lcsc.com/product-detail/Barrier-Terminal-Blocks_DORABO-DBT50G-7-62-2P-BK-P_C496127.html" TargetMode="External"/><Relationship Id="rId14" Type="http://schemas.openxmlformats.org/officeDocument/2006/relationships/hyperlink" Target="https://www.lcsc.com/product-detail/LED-Indication-Discrete_Foshan-NationStar-Optoelectronics-NCD0603B3_C15810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R40"/>
  <sheetViews>
    <sheetView tabSelected="1" workbookViewId="0">
      <selection activeCell="F33" sqref="F33"/>
    </sheetView>
  </sheetViews>
  <sheetFormatPr defaultRowHeight="15" x14ac:dyDescent="0.25"/>
  <cols>
    <col min="2" max="2" width="3.140625" style="10" customWidth="1"/>
    <col min="3" max="3" width="18" style="10" bestFit="1" customWidth="1"/>
    <col min="4" max="4" width="27.42578125" customWidth="1"/>
    <col min="5" max="5" width="30.85546875" customWidth="1"/>
    <col min="6" max="6" width="22.28515625" bestFit="1" customWidth="1"/>
    <col min="7" max="7" width="33.42578125" bestFit="1" customWidth="1"/>
    <col min="8" max="8" width="21.42578125" bestFit="1" customWidth="1"/>
    <col min="9" max="9" width="21.5703125" bestFit="1" customWidth="1"/>
    <col min="10" max="10" width="17" bestFit="1" customWidth="1"/>
    <col min="11" max="11" width="6.140625" bestFit="1" customWidth="1"/>
    <col min="12" max="12" width="8.7109375" bestFit="1" customWidth="1"/>
    <col min="13" max="13" width="18.7109375" bestFit="1" customWidth="1"/>
    <col min="14" max="14" width="15.140625" bestFit="1" customWidth="1"/>
    <col min="15" max="15" width="5.42578125" bestFit="1" customWidth="1"/>
    <col min="16" max="16" width="18.7109375" bestFit="1" customWidth="1"/>
    <col min="17" max="17" width="26.42578125" bestFit="1" customWidth="1"/>
    <col min="18" max="18" width="16.5703125" bestFit="1" customWidth="1"/>
  </cols>
  <sheetData>
    <row r="1" spans="1:18" ht="15.75" thickBot="1" x14ac:dyDescent="0.3">
      <c r="A1" s="1"/>
      <c r="B1" s="6"/>
      <c r="C1" s="6"/>
      <c r="D1" s="2"/>
      <c r="E1" s="2"/>
      <c r="F1" s="2"/>
      <c r="G1" s="2"/>
      <c r="H1" s="2"/>
      <c r="I1" s="2"/>
      <c r="J1" s="2"/>
      <c r="K1" s="48"/>
      <c r="L1" s="48"/>
      <c r="M1" s="48"/>
      <c r="N1" s="48"/>
      <c r="O1" s="48"/>
      <c r="P1" s="48"/>
      <c r="Q1" s="48"/>
      <c r="R1" s="48"/>
    </row>
    <row r="2" spans="1:18" ht="32.25" thickBot="1" x14ac:dyDescent="0.3">
      <c r="A2" s="1"/>
      <c r="B2" s="7"/>
      <c r="C2" s="13"/>
      <c r="D2" s="4" t="s">
        <v>0</v>
      </c>
      <c r="E2" s="4"/>
      <c r="F2" s="40" t="s">
        <v>124</v>
      </c>
      <c r="G2" s="5"/>
      <c r="H2" s="3"/>
      <c r="I2" s="31"/>
      <c r="J2" s="32"/>
      <c r="K2" s="32"/>
      <c r="L2" s="32"/>
      <c r="M2" s="32"/>
      <c r="N2" s="32"/>
      <c r="O2" s="32"/>
      <c r="P2" s="32"/>
      <c r="Q2" s="32"/>
      <c r="R2" s="32"/>
    </row>
    <row r="3" spans="1:18" ht="16.5" thickBot="1" x14ac:dyDescent="0.3">
      <c r="A3" s="1"/>
      <c r="B3" s="8"/>
      <c r="C3" s="26"/>
      <c r="D3" s="39" t="s">
        <v>1</v>
      </c>
      <c r="E3" s="27"/>
      <c r="F3" s="41" t="s">
        <v>125</v>
      </c>
      <c r="G3" s="29"/>
      <c r="H3" s="30"/>
      <c r="I3" s="28"/>
      <c r="J3" s="24"/>
      <c r="K3" s="24"/>
      <c r="L3" s="24"/>
      <c r="M3" s="24"/>
      <c r="N3" s="24"/>
      <c r="O3" s="24"/>
      <c r="P3" s="24"/>
      <c r="Q3" s="24"/>
      <c r="R3" s="24"/>
    </row>
    <row r="4" spans="1:18" ht="15" customHeight="1" x14ac:dyDescent="0.25">
      <c r="A4" s="1"/>
      <c r="B4" s="8"/>
      <c r="C4" s="26"/>
      <c r="D4" s="27"/>
      <c r="E4" s="27"/>
      <c r="F4" s="25"/>
      <c r="G4" s="28"/>
      <c r="H4" s="24"/>
      <c r="I4" s="28"/>
      <c r="J4" s="24"/>
      <c r="K4" s="24"/>
      <c r="L4" s="24"/>
      <c r="M4" s="24"/>
      <c r="N4" s="24"/>
      <c r="O4" s="24"/>
      <c r="P4" s="24"/>
      <c r="Q4" s="24"/>
      <c r="R4" s="24"/>
    </row>
    <row r="5" spans="1:18" ht="15" customHeight="1" x14ac:dyDescent="0.25">
      <c r="A5" s="1"/>
      <c r="B5" s="9"/>
      <c r="C5" s="33"/>
      <c r="D5" s="34"/>
      <c r="E5" s="34"/>
      <c r="F5" s="25"/>
      <c r="G5" s="34"/>
      <c r="H5" s="35"/>
      <c r="I5" s="34"/>
      <c r="J5" s="35"/>
      <c r="K5" s="35"/>
      <c r="L5" s="35"/>
      <c r="M5" s="35"/>
      <c r="N5" s="35"/>
      <c r="O5" s="35"/>
      <c r="P5" s="35"/>
      <c r="Q5" s="35"/>
      <c r="R5" s="35"/>
    </row>
    <row r="6" spans="1:18" ht="15.75" customHeight="1" thickBot="1" x14ac:dyDescent="0.3">
      <c r="A6" s="1"/>
      <c r="B6" s="11"/>
      <c r="C6" s="36"/>
      <c r="D6" s="28"/>
      <c r="E6" s="28"/>
      <c r="F6" s="37"/>
      <c r="G6" s="34"/>
      <c r="H6" s="35"/>
      <c r="I6" s="34"/>
      <c r="J6" s="35"/>
      <c r="K6" s="35"/>
      <c r="L6" s="35"/>
      <c r="M6" s="35"/>
      <c r="N6" s="35"/>
      <c r="O6" s="35"/>
      <c r="P6" s="35"/>
      <c r="Q6" s="35"/>
      <c r="R6" s="35"/>
    </row>
    <row r="7" spans="1:18" ht="15.75" thickBot="1" x14ac:dyDescent="0.3">
      <c r="A7" s="1"/>
      <c r="B7" s="12" t="s">
        <v>2</v>
      </c>
      <c r="C7" s="12" t="s">
        <v>5</v>
      </c>
      <c r="D7" s="12" t="s">
        <v>19</v>
      </c>
      <c r="E7" s="12" t="s">
        <v>38</v>
      </c>
      <c r="F7" s="12" t="s">
        <v>57</v>
      </c>
      <c r="G7" s="12" t="s">
        <v>70</v>
      </c>
      <c r="H7" s="12" t="s">
        <v>81</v>
      </c>
      <c r="I7" s="12" t="s">
        <v>116</v>
      </c>
      <c r="J7" s="12" t="s">
        <v>98</v>
      </c>
      <c r="K7" s="12" t="s">
        <v>117</v>
      </c>
      <c r="L7" s="12" t="s">
        <v>115</v>
      </c>
      <c r="M7" s="12" t="s">
        <v>118</v>
      </c>
      <c r="N7" s="12" t="s">
        <v>119</v>
      </c>
      <c r="O7" s="12" t="s">
        <v>120</v>
      </c>
      <c r="P7" s="12" t="s">
        <v>121</v>
      </c>
      <c r="Q7" s="12" t="s">
        <v>122</v>
      </c>
      <c r="R7" s="12" t="s">
        <v>123</v>
      </c>
    </row>
    <row r="8" spans="1:18" x14ac:dyDescent="0.25">
      <c r="A8" s="1"/>
      <c r="B8" s="16">
        <f>ROW(B8) - ROW($B$7)</f>
        <v>1</v>
      </c>
      <c r="C8" s="22" t="s">
        <v>6</v>
      </c>
      <c r="D8" s="14" t="s">
        <v>20</v>
      </c>
      <c r="E8" s="14" t="s">
        <v>39</v>
      </c>
      <c r="F8" s="14" t="s">
        <v>58</v>
      </c>
      <c r="G8" s="14" t="s">
        <v>71</v>
      </c>
      <c r="H8" s="14" t="s">
        <v>82</v>
      </c>
      <c r="I8" s="47" t="s">
        <v>135</v>
      </c>
      <c r="J8" s="14" t="s">
        <v>99</v>
      </c>
      <c r="K8" s="43" t="s">
        <v>112</v>
      </c>
      <c r="L8" s="14">
        <v>3</v>
      </c>
      <c r="M8" s="14">
        <v>20</v>
      </c>
      <c r="N8" s="20">
        <v>25</v>
      </c>
      <c r="O8" s="42" t="s">
        <v>126</v>
      </c>
      <c r="P8" s="15">
        <v>0.29310000000000003</v>
      </c>
      <c r="Q8" s="46">
        <f>P8*N8</f>
        <v>7.3275000000000006</v>
      </c>
      <c r="R8" s="14"/>
    </row>
    <row r="9" spans="1:18" ht="24" x14ac:dyDescent="0.25">
      <c r="A9" s="1"/>
      <c r="B9" s="17">
        <f t="shared" ref="B9:B26" si="0">ROW(B9) - ROW($B$7)</f>
        <v>2</v>
      </c>
      <c r="C9" s="23" t="s">
        <v>7</v>
      </c>
      <c r="D9" s="20" t="s">
        <v>21</v>
      </c>
      <c r="E9" s="20" t="s">
        <v>40</v>
      </c>
      <c r="F9" s="20" t="s">
        <v>59</v>
      </c>
      <c r="G9" s="20" t="s">
        <v>59</v>
      </c>
      <c r="H9" s="20" t="s">
        <v>83</v>
      </c>
      <c r="I9" s="47" t="s">
        <v>135</v>
      </c>
      <c r="J9" s="20" t="s">
        <v>100</v>
      </c>
      <c r="K9" s="44" t="s">
        <v>127</v>
      </c>
      <c r="L9" s="20">
        <v>1</v>
      </c>
      <c r="M9" s="20">
        <f t="shared" ref="M9" si="1">L9*5</f>
        <v>5</v>
      </c>
      <c r="N9" s="20">
        <v>10</v>
      </c>
      <c r="O9" s="42" t="s">
        <v>126</v>
      </c>
      <c r="P9" s="21">
        <v>4.3299999999999998E-2</v>
      </c>
      <c r="Q9" s="21">
        <f t="shared" ref="Q9" si="2">P9*N9</f>
        <v>0.433</v>
      </c>
      <c r="R9" s="20"/>
    </row>
    <row r="10" spans="1:18" x14ac:dyDescent="0.25">
      <c r="A10" s="1"/>
      <c r="B10" s="16">
        <f>ROW(B10) - ROW($B$7)</f>
        <v>3</v>
      </c>
      <c r="C10" s="22" t="s">
        <v>8</v>
      </c>
      <c r="D10" s="14" t="s">
        <v>22</v>
      </c>
      <c r="E10" s="14" t="s">
        <v>41</v>
      </c>
      <c r="F10" s="14" t="s">
        <v>60</v>
      </c>
      <c r="G10" s="14" t="s">
        <v>72</v>
      </c>
      <c r="H10" s="14" t="s">
        <v>84</v>
      </c>
      <c r="I10" s="47" t="s">
        <v>135</v>
      </c>
      <c r="J10" s="20" t="s">
        <v>128</v>
      </c>
      <c r="K10" s="44" t="s">
        <v>127</v>
      </c>
      <c r="L10" s="14">
        <v>1</v>
      </c>
      <c r="M10" s="14">
        <f>L10*5</f>
        <v>5</v>
      </c>
      <c r="N10" s="20">
        <v>10</v>
      </c>
      <c r="O10" s="45" t="s">
        <v>126</v>
      </c>
      <c r="P10" s="21">
        <v>0.153</v>
      </c>
      <c r="Q10" s="15">
        <f>P10*N10</f>
        <v>1.53</v>
      </c>
      <c r="R10" s="14"/>
    </row>
    <row r="11" spans="1:18" x14ac:dyDescent="0.25">
      <c r="A11" s="1"/>
      <c r="B11" s="17">
        <f t="shared" si="0"/>
        <v>4</v>
      </c>
      <c r="C11" s="22" t="s">
        <v>8</v>
      </c>
      <c r="D11" s="20" t="s">
        <v>23</v>
      </c>
      <c r="E11" s="20" t="s">
        <v>42</v>
      </c>
      <c r="F11" s="20" t="s">
        <v>61</v>
      </c>
      <c r="G11" s="20" t="s">
        <v>73</v>
      </c>
      <c r="H11" s="20" t="s">
        <v>85</v>
      </c>
      <c r="I11" s="47" t="s">
        <v>135</v>
      </c>
      <c r="J11" s="14" t="s">
        <v>129</v>
      </c>
      <c r="K11" s="44" t="s">
        <v>127</v>
      </c>
      <c r="L11" s="20">
        <v>1</v>
      </c>
      <c r="M11" s="20">
        <f t="shared" ref="M11" si="3">L11*5</f>
        <v>5</v>
      </c>
      <c r="N11" s="14">
        <v>10</v>
      </c>
      <c r="O11" s="45" t="s">
        <v>126</v>
      </c>
      <c r="P11" s="15">
        <v>4.53E-2</v>
      </c>
      <c r="Q11" s="21">
        <f t="shared" ref="Q11" si="4">P11*N11</f>
        <v>0.45300000000000001</v>
      </c>
      <c r="R11" s="20"/>
    </row>
    <row r="12" spans="1:18" x14ac:dyDescent="0.25">
      <c r="A12" s="1"/>
      <c r="B12" s="16">
        <f>ROW(B12) - ROW($B$7)</f>
        <v>5</v>
      </c>
      <c r="C12" s="22" t="s">
        <v>9</v>
      </c>
      <c r="D12" s="14" t="s">
        <v>24</v>
      </c>
      <c r="E12" s="14" t="s">
        <v>43</v>
      </c>
      <c r="F12" s="14" t="s">
        <v>131</v>
      </c>
      <c r="G12" s="14">
        <v>1715721</v>
      </c>
      <c r="H12" s="14" t="s">
        <v>86</v>
      </c>
      <c r="I12" s="47" t="s">
        <v>135</v>
      </c>
      <c r="J12" s="14" t="s">
        <v>130</v>
      </c>
      <c r="K12" s="44" t="s">
        <v>127</v>
      </c>
      <c r="L12" s="14">
        <v>1</v>
      </c>
      <c r="M12" s="14">
        <f>L12*5</f>
        <v>5</v>
      </c>
      <c r="N12" s="14">
        <v>6</v>
      </c>
      <c r="O12" s="45" t="s">
        <v>126</v>
      </c>
      <c r="P12" s="15">
        <v>0.30509999999999998</v>
      </c>
      <c r="Q12" s="15">
        <f>P12*N12</f>
        <v>1.8306</v>
      </c>
      <c r="R12" s="14"/>
    </row>
    <row r="13" spans="1:18" x14ac:dyDescent="0.25">
      <c r="A13" s="1"/>
      <c r="B13" s="17">
        <f t="shared" si="0"/>
        <v>6</v>
      </c>
      <c r="C13" s="23" t="s">
        <v>10</v>
      </c>
      <c r="D13" s="20" t="s">
        <v>25</v>
      </c>
      <c r="E13" s="20" t="s">
        <v>44</v>
      </c>
      <c r="F13" s="14" t="s">
        <v>131</v>
      </c>
      <c r="G13" s="20" t="s">
        <v>62</v>
      </c>
      <c r="H13" s="20" t="s">
        <v>87</v>
      </c>
      <c r="I13" s="47" t="s">
        <v>135</v>
      </c>
      <c r="J13" s="20" t="s">
        <v>101</v>
      </c>
      <c r="K13" s="44" t="s">
        <v>127</v>
      </c>
      <c r="L13" s="20">
        <v>1</v>
      </c>
      <c r="M13" s="20">
        <f t="shared" ref="M13" si="5">L13*5</f>
        <v>5</v>
      </c>
      <c r="N13" s="20">
        <v>6</v>
      </c>
      <c r="O13" s="42" t="s">
        <v>126</v>
      </c>
      <c r="P13" s="21">
        <v>1.2242</v>
      </c>
      <c r="Q13" s="21">
        <f t="shared" ref="Q13" si="6">P13*N13</f>
        <v>7.3452000000000002</v>
      </c>
      <c r="R13" s="20"/>
    </row>
    <row r="14" spans="1:18" ht="48" x14ac:dyDescent="0.25">
      <c r="A14" s="1"/>
      <c r="B14" s="16">
        <f>ROW(B14) - ROW($B$7)</f>
        <v>7</v>
      </c>
      <c r="C14" s="22" t="s">
        <v>11</v>
      </c>
      <c r="D14" s="14" t="s">
        <v>26</v>
      </c>
      <c r="E14" s="14" t="s">
        <v>45</v>
      </c>
      <c r="F14" s="14" t="s">
        <v>131</v>
      </c>
      <c r="G14" s="14" t="s">
        <v>63</v>
      </c>
      <c r="H14" s="14" t="s">
        <v>88</v>
      </c>
      <c r="I14" s="47" t="s">
        <v>135</v>
      </c>
      <c r="J14" s="14" t="s">
        <v>102</v>
      </c>
      <c r="K14" s="44" t="s">
        <v>127</v>
      </c>
      <c r="L14" s="14">
        <v>1</v>
      </c>
      <c r="M14" s="14">
        <f>L14*5</f>
        <v>5</v>
      </c>
      <c r="N14" s="14">
        <v>6</v>
      </c>
      <c r="O14" s="45" t="s">
        <v>126</v>
      </c>
      <c r="P14" s="15">
        <v>0.41930000000000001</v>
      </c>
      <c r="Q14" s="15">
        <f>P14*N14</f>
        <v>2.5158</v>
      </c>
      <c r="R14" s="14"/>
    </row>
    <row r="15" spans="1:18" ht="60" x14ac:dyDescent="0.25">
      <c r="A15" s="1"/>
      <c r="B15" s="17">
        <f t="shared" si="0"/>
        <v>8</v>
      </c>
      <c r="C15" s="23" t="s">
        <v>11</v>
      </c>
      <c r="D15" s="20" t="s">
        <v>27</v>
      </c>
      <c r="E15" s="20" t="s">
        <v>46</v>
      </c>
      <c r="F15" s="14" t="s">
        <v>131</v>
      </c>
      <c r="G15" s="20" t="s">
        <v>64</v>
      </c>
      <c r="H15" s="20" t="s">
        <v>89</v>
      </c>
      <c r="I15" s="47" t="s">
        <v>135</v>
      </c>
      <c r="J15" s="20" t="s">
        <v>103</v>
      </c>
      <c r="K15" s="44" t="s">
        <v>127</v>
      </c>
      <c r="L15" s="20">
        <v>4</v>
      </c>
      <c r="M15" s="20">
        <f t="shared" ref="M15" si="7">L15*5</f>
        <v>20</v>
      </c>
      <c r="N15" s="20">
        <v>21</v>
      </c>
      <c r="O15" s="42" t="s">
        <v>126</v>
      </c>
      <c r="P15" s="21">
        <v>0.22620000000000001</v>
      </c>
      <c r="Q15" s="21">
        <f t="shared" ref="Q15" si="8">P15*N15</f>
        <v>4.7502000000000004</v>
      </c>
      <c r="R15" s="20"/>
    </row>
    <row r="16" spans="1:18" x14ac:dyDescent="0.25">
      <c r="A16" s="1"/>
      <c r="B16" s="16">
        <f>ROW(B16) - ROW($B$7)</f>
        <v>9</v>
      </c>
      <c r="C16" s="22" t="s">
        <v>12</v>
      </c>
      <c r="D16" s="14" t="s">
        <v>28</v>
      </c>
      <c r="E16" s="14" t="s">
        <v>47</v>
      </c>
      <c r="F16" s="14" t="s">
        <v>131</v>
      </c>
      <c r="G16" s="14">
        <v>447690401</v>
      </c>
      <c r="H16" s="14" t="s">
        <v>90</v>
      </c>
      <c r="I16" s="47" t="s">
        <v>135</v>
      </c>
      <c r="J16" s="20" t="s">
        <v>133</v>
      </c>
      <c r="K16" s="44" t="s">
        <v>127</v>
      </c>
      <c r="L16" s="14">
        <v>4</v>
      </c>
      <c r="M16" s="14">
        <f>L16*5</f>
        <v>20</v>
      </c>
      <c r="N16" s="20">
        <v>21</v>
      </c>
      <c r="O16" s="42" t="s">
        <v>126</v>
      </c>
      <c r="P16" s="21">
        <v>4.3689999999999998</v>
      </c>
      <c r="Q16" s="15">
        <f>P16*N16</f>
        <v>91.748999999999995</v>
      </c>
      <c r="R16" s="14"/>
    </row>
    <row r="17" spans="1:18" ht="24" x14ac:dyDescent="0.25">
      <c r="A17" s="1"/>
      <c r="B17" s="17">
        <f t="shared" si="0"/>
        <v>10</v>
      </c>
      <c r="C17" s="23" t="s">
        <v>13</v>
      </c>
      <c r="D17" s="20" t="s">
        <v>29</v>
      </c>
      <c r="E17" s="20" t="s">
        <v>48</v>
      </c>
      <c r="F17" s="14" t="s">
        <v>131</v>
      </c>
      <c r="G17" s="20" t="s">
        <v>74</v>
      </c>
      <c r="H17" s="20" t="s">
        <v>91</v>
      </c>
      <c r="I17" s="47" t="s">
        <v>135</v>
      </c>
      <c r="J17" s="20" t="s">
        <v>104</v>
      </c>
      <c r="K17" s="44" t="s">
        <v>127</v>
      </c>
      <c r="L17" s="20">
        <v>2</v>
      </c>
      <c r="M17" s="20">
        <f t="shared" ref="M17" si="9">L17*5</f>
        <v>10</v>
      </c>
      <c r="N17" s="20">
        <v>15</v>
      </c>
      <c r="O17" s="42" t="s">
        <v>126</v>
      </c>
      <c r="P17" s="21">
        <v>6.9000000000000006E-2</v>
      </c>
      <c r="Q17" s="21">
        <f t="shared" ref="Q17" si="10">P17*N17</f>
        <v>1.0350000000000001</v>
      </c>
      <c r="R17" s="20"/>
    </row>
    <row r="18" spans="1:18" ht="60" x14ac:dyDescent="0.25">
      <c r="A18" s="1"/>
      <c r="B18" s="16">
        <f>ROW(B18) - ROW($B$7)</f>
        <v>11</v>
      </c>
      <c r="C18" s="22" t="s">
        <v>14</v>
      </c>
      <c r="D18" s="14" t="s">
        <v>30</v>
      </c>
      <c r="E18" s="14" t="s">
        <v>49</v>
      </c>
      <c r="F18" s="14" t="s">
        <v>65</v>
      </c>
      <c r="G18" s="14" t="s">
        <v>75</v>
      </c>
      <c r="H18" s="14" t="s">
        <v>92</v>
      </c>
      <c r="I18" s="47" t="s">
        <v>135</v>
      </c>
      <c r="J18" s="14" t="s">
        <v>105</v>
      </c>
      <c r="K18" s="44" t="s">
        <v>127</v>
      </c>
      <c r="L18" s="14">
        <v>4</v>
      </c>
      <c r="M18" s="14">
        <f>L18*5</f>
        <v>20</v>
      </c>
      <c r="N18" s="14">
        <v>25</v>
      </c>
      <c r="O18" s="42" t="s">
        <v>126</v>
      </c>
      <c r="P18" s="15">
        <v>9.0899999999999995E-2</v>
      </c>
      <c r="Q18" s="15">
        <f>P18*N18</f>
        <v>2.2725</v>
      </c>
      <c r="R18" s="14"/>
    </row>
    <row r="19" spans="1:18" ht="24" x14ac:dyDescent="0.25">
      <c r="A19" s="1"/>
      <c r="B19" s="17">
        <f t="shared" si="0"/>
        <v>12</v>
      </c>
      <c r="C19" s="23" t="s">
        <v>13</v>
      </c>
      <c r="D19" s="20" t="s">
        <v>31</v>
      </c>
      <c r="E19" s="20" t="s">
        <v>50</v>
      </c>
      <c r="F19" s="14" t="s">
        <v>131</v>
      </c>
      <c r="G19" s="20" t="s">
        <v>76</v>
      </c>
      <c r="H19" s="20" t="s">
        <v>91</v>
      </c>
      <c r="I19" s="47" t="s">
        <v>135</v>
      </c>
      <c r="J19" s="20" t="s">
        <v>106</v>
      </c>
      <c r="K19" s="44" t="s">
        <v>127</v>
      </c>
      <c r="L19" s="20">
        <v>1</v>
      </c>
      <c r="M19" s="20">
        <f t="shared" ref="M19" si="11">L19*5</f>
        <v>5</v>
      </c>
      <c r="N19" s="20">
        <v>20</v>
      </c>
      <c r="O19" s="42" t="s">
        <v>126</v>
      </c>
      <c r="P19" s="21">
        <v>3.1899999999999998E-2</v>
      </c>
      <c r="Q19" s="21">
        <f t="shared" ref="Q19" si="12">P19*N19</f>
        <v>0.6379999999999999</v>
      </c>
      <c r="R19" s="20"/>
    </row>
    <row r="20" spans="1:18" x14ac:dyDescent="0.25">
      <c r="A20" s="1"/>
      <c r="B20" s="16">
        <f>ROW(B20) - ROW($B$7)</f>
        <v>13</v>
      </c>
      <c r="C20" s="22" t="s">
        <v>15</v>
      </c>
      <c r="D20" s="14" t="s">
        <v>32</v>
      </c>
      <c r="E20" s="14" t="s">
        <v>51</v>
      </c>
      <c r="F20" s="14" t="s">
        <v>131</v>
      </c>
      <c r="G20" s="14" t="s">
        <v>77</v>
      </c>
      <c r="H20" s="14" t="s">
        <v>93</v>
      </c>
      <c r="I20" s="47" t="s">
        <v>135</v>
      </c>
      <c r="J20" s="14" t="s">
        <v>107</v>
      </c>
      <c r="K20" s="44" t="s">
        <v>127</v>
      </c>
      <c r="L20" s="14">
        <v>4</v>
      </c>
      <c r="M20" s="14">
        <f>L20*5</f>
        <v>20</v>
      </c>
      <c r="N20" s="14">
        <v>21</v>
      </c>
      <c r="O20" s="42" t="s">
        <v>126</v>
      </c>
      <c r="P20" s="15">
        <v>1.3631</v>
      </c>
      <c r="Q20" s="15">
        <f>P20*N20</f>
        <v>28.6251</v>
      </c>
      <c r="R20" s="14"/>
    </row>
    <row r="21" spans="1:18" ht="24" x14ac:dyDescent="0.25">
      <c r="A21" s="1"/>
      <c r="B21" s="17">
        <f t="shared" si="0"/>
        <v>14</v>
      </c>
      <c r="C21" s="23" t="s">
        <v>16</v>
      </c>
      <c r="D21" s="20" t="s">
        <v>33</v>
      </c>
      <c r="E21" s="20" t="s">
        <v>52</v>
      </c>
      <c r="F21" s="20" t="s">
        <v>66</v>
      </c>
      <c r="G21" s="20" t="s">
        <v>78</v>
      </c>
      <c r="H21" s="20" t="s">
        <v>94</v>
      </c>
      <c r="I21" s="47" t="s">
        <v>135</v>
      </c>
      <c r="J21" s="20" t="s">
        <v>108</v>
      </c>
      <c r="K21" s="44" t="s">
        <v>127</v>
      </c>
      <c r="L21" s="20">
        <v>4</v>
      </c>
      <c r="M21" s="20">
        <f t="shared" ref="M21" si="13">L21*5</f>
        <v>20</v>
      </c>
      <c r="N21" s="20">
        <v>40</v>
      </c>
      <c r="O21" s="42" t="s">
        <v>126</v>
      </c>
      <c r="P21" s="21">
        <v>3.0599999999999999E-2</v>
      </c>
      <c r="Q21" s="21">
        <f t="shared" ref="Q21" si="14">P21*N21</f>
        <v>1.224</v>
      </c>
      <c r="R21" s="20"/>
    </row>
    <row r="22" spans="1:18" ht="36" x14ac:dyDescent="0.25">
      <c r="A22" s="1"/>
      <c r="B22" s="16">
        <f>ROW(B22) - ROW($B$7)</f>
        <v>15</v>
      </c>
      <c r="C22" s="22" t="s">
        <v>17</v>
      </c>
      <c r="D22" s="14" t="s">
        <v>34</v>
      </c>
      <c r="E22" s="14" t="s">
        <v>53</v>
      </c>
      <c r="F22" s="14" t="s">
        <v>131</v>
      </c>
      <c r="G22" s="14" t="s">
        <v>67</v>
      </c>
      <c r="H22" s="14" t="s">
        <v>95</v>
      </c>
      <c r="I22" s="47" t="s">
        <v>135</v>
      </c>
      <c r="J22" s="14" t="s">
        <v>109</v>
      </c>
      <c r="K22" s="43" t="s">
        <v>113</v>
      </c>
      <c r="L22" s="14">
        <v>1</v>
      </c>
      <c r="M22" s="14">
        <f>L22*5</f>
        <v>5</v>
      </c>
      <c r="N22" s="14">
        <v>50</v>
      </c>
      <c r="O22" s="42" t="s">
        <v>126</v>
      </c>
      <c r="P22" s="15">
        <v>1.52E-2</v>
      </c>
      <c r="Q22" s="15">
        <f>P22*N22</f>
        <v>0.76</v>
      </c>
      <c r="R22" s="14"/>
    </row>
    <row r="23" spans="1:18" x14ac:dyDescent="0.25">
      <c r="A23" s="1"/>
      <c r="B23" s="17">
        <f t="shared" si="0"/>
        <v>16</v>
      </c>
      <c r="C23" s="23" t="s">
        <v>17</v>
      </c>
      <c r="D23" s="20" t="s">
        <v>35</v>
      </c>
      <c r="E23" s="20" t="s">
        <v>54</v>
      </c>
      <c r="F23" s="20" t="s">
        <v>68</v>
      </c>
      <c r="G23" s="20" t="s">
        <v>79</v>
      </c>
      <c r="H23" s="20" t="s">
        <v>95</v>
      </c>
      <c r="I23" s="47" t="s">
        <v>135</v>
      </c>
      <c r="J23" s="20" t="s">
        <v>110</v>
      </c>
      <c r="K23" s="44" t="s">
        <v>114</v>
      </c>
      <c r="L23" s="20">
        <v>4</v>
      </c>
      <c r="M23" s="20">
        <f t="shared" ref="M23" si="15">L23*5</f>
        <v>20</v>
      </c>
      <c r="N23" s="20">
        <v>100</v>
      </c>
      <c r="O23" s="42" t="s">
        <v>126</v>
      </c>
      <c r="P23" s="21">
        <v>6.9999999999999999E-4</v>
      </c>
      <c r="Q23" s="21">
        <f t="shared" ref="Q23" si="16">P23*N23</f>
        <v>6.9999999999999993E-2</v>
      </c>
      <c r="R23" s="20"/>
    </row>
    <row r="24" spans="1:18" ht="36" x14ac:dyDescent="0.25">
      <c r="A24" s="1"/>
      <c r="B24" s="16">
        <f>ROW(B24) - ROW($B$7)</f>
        <v>17</v>
      </c>
      <c r="C24" s="22" t="s">
        <v>18</v>
      </c>
      <c r="D24" s="14" t="s">
        <v>36</v>
      </c>
      <c r="E24" s="14" t="s">
        <v>55</v>
      </c>
      <c r="F24" s="14" t="s">
        <v>131</v>
      </c>
      <c r="G24" s="14" t="s">
        <v>69</v>
      </c>
      <c r="H24" s="14" t="s">
        <v>96</v>
      </c>
      <c r="I24" s="47" t="s">
        <v>135</v>
      </c>
      <c r="J24" s="14" t="s">
        <v>111</v>
      </c>
      <c r="K24" s="43" t="s">
        <v>127</v>
      </c>
      <c r="L24" s="14">
        <v>1</v>
      </c>
      <c r="M24" s="14">
        <f>L24*5</f>
        <v>5</v>
      </c>
      <c r="N24" s="14">
        <v>10</v>
      </c>
      <c r="O24" s="42" t="s">
        <v>126</v>
      </c>
      <c r="P24" s="15">
        <v>6.59E-2</v>
      </c>
      <c r="Q24" s="15">
        <f>P24*N24</f>
        <v>0.65900000000000003</v>
      </c>
      <c r="R24" s="14"/>
    </row>
    <row r="25" spans="1:18" x14ac:dyDescent="0.25">
      <c r="A25" s="1"/>
      <c r="B25" s="16"/>
      <c r="C25" s="23" t="s">
        <v>18</v>
      </c>
      <c r="D25" s="20" t="s">
        <v>37</v>
      </c>
      <c r="E25" s="20" t="s">
        <v>56</v>
      </c>
      <c r="F25" s="20" t="s">
        <v>132</v>
      </c>
      <c r="G25" s="20" t="s">
        <v>80</v>
      </c>
      <c r="H25" s="20" t="s">
        <v>97</v>
      </c>
      <c r="I25" s="47" t="s">
        <v>135</v>
      </c>
      <c r="J25" s="20" t="s">
        <v>134</v>
      </c>
      <c r="K25" s="44" t="s">
        <v>127</v>
      </c>
      <c r="L25" s="20">
        <v>1</v>
      </c>
      <c r="M25" s="20">
        <f t="shared" ref="M25:M26" si="17">L25*5</f>
        <v>5</v>
      </c>
      <c r="N25" s="20">
        <v>10</v>
      </c>
      <c r="O25" s="42" t="s">
        <v>126</v>
      </c>
      <c r="P25" s="21">
        <v>0.20780000000000001</v>
      </c>
      <c r="Q25" s="21">
        <f t="shared" ref="Q25:Q26" si="18">P25*N25</f>
        <v>2.0780000000000003</v>
      </c>
      <c r="R25" s="20"/>
    </row>
    <row r="26" spans="1:18" ht="24.75" thickBot="1" x14ac:dyDescent="0.3">
      <c r="A26" s="1"/>
      <c r="B26" s="17">
        <f t="shared" si="0"/>
        <v>19</v>
      </c>
      <c r="C26" s="23" t="s">
        <v>136</v>
      </c>
      <c r="D26" s="20" t="s">
        <v>137</v>
      </c>
      <c r="E26" s="44" t="s">
        <v>138</v>
      </c>
      <c r="F26" s="20" t="s">
        <v>131</v>
      </c>
      <c r="G26" s="44" t="s">
        <v>139</v>
      </c>
      <c r="H26" s="20" t="s">
        <v>140</v>
      </c>
      <c r="I26" s="47" t="s">
        <v>135</v>
      </c>
      <c r="J26" s="20" t="s">
        <v>141</v>
      </c>
      <c r="K26" s="44" t="s">
        <v>127</v>
      </c>
      <c r="L26" s="20">
        <v>1</v>
      </c>
      <c r="M26" s="20">
        <f t="shared" si="17"/>
        <v>5</v>
      </c>
      <c r="N26" s="20">
        <v>5</v>
      </c>
      <c r="O26" s="42" t="s">
        <v>126</v>
      </c>
      <c r="P26" s="21">
        <v>8.8800000000000004E-2</v>
      </c>
      <c r="Q26" s="21">
        <f t="shared" si="18"/>
        <v>0.44400000000000001</v>
      </c>
      <c r="R26" s="20"/>
    </row>
    <row r="27" spans="1:18" ht="19.5" thickBo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49" t="s">
        <v>3</v>
      </c>
      <c r="O27" s="50"/>
      <c r="P27" s="50"/>
      <c r="Q27" s="18">
        <f>SUM(Q8:Q26)</f>
        <v>155.73989999999995</v>
      </c>
      <c r="R27" s="1"/>
    </row>
    <row r="28" spans="1:18" ht="19.5" thickBo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49" t="s">
        <v>4</v>
      </c>
      <c r="O28" s="50"/>
      <c r="P28" s="50"/>
      <c r="Q28" s="19">
        <f>Q27/5</f>
        <v>31.14797999999999</v>
      </c>
      <c r="R28" s="1"/>
    </row>
    <row r="40" spans="13:13" x14ac:dyDescent="0.25">
      <c r="M40" s="38"/>
    </row>
  </sheetData>
  <mergeCells count="3">
    <mergeCell ref="K1:R1"/>
    <mergeCell ref="N27:P27"/>
    <mergeCell ref="N28:P28"/>
  </mergeCells>
  <hyperlinks>
    <hyperlink ref="O8" r:id="rId1"/>
    <hyperlink ref="O10" r:id="rId2"/>
    <hyperlink ref="O11" r:id="rId3"/>
    <hyperlink ref="O12" r:id="rId4"/>
    <hyperlink ref="O16" r:id="rId5"/>
    <hyperlink ref="O9" r:id="rId6"/>
    <hyperlink ref="O13" r:id="rId7"/>
    <hyperlink ref="O14" r:id="rId8"/>
    <hyperlink ref="O15" r:id="rId9"/>
    <hyperlink ref="O17" r:id="rId10"/>
    <hyperlink ref="O18" r:id="rId11"/>
    <hyperlink ref="O19" r:id="rId12"/>
    <hyperlink ref="O20" r:id="rId13"/>
    <hyperlink ref="O21" r:id="rId14"/>
    <hyperlink ref="O22" r:id="rId15"/>
    <hyperlink ref="O23" r:id="rId16"/>
    <hyperlink ref="O24" r:id="rId17"/>
    <hyperlink ref="O25" r:id="rId18"/>
    <hyperlink ref="O26" r:id="rId19"/>
  </hyperlinks>
  <pageMargins left="0.7" right="0.7" top="0.75" bottom="0.75" header="0.3" footer="0.3"/>
  <pageSetup paperSize="9" orientation="portrait" r:id="rId2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 Boards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2024-09-25T10:57:32Z</dcterms:modified>
</cp:coreProperties>
</file>