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Driv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6" i="1" l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<sst xmlns="http://schemas.openxmlformats.org/spreadsheetml/2006/main" count="738" uniqueCount="476">
  <si>
    <t>#</t>
  </si>
  <si>
    <t>Item Type</t>
  </si>
  <si>
    <t>Capacitor</t>
  </si>
  <si>
    <t>Schottky Diode</t>
  </si>
  <si>
    <t>Diode</t>
  </si>
  <si>
    <t>Fuse</t>
  </si>
  <si>
    <t>Ferrite Bead</t>
  </si>
  <si>
    <t>Terminal Block</t>
  </si>
  <si>
    <t>USB Connector</t>
  </si>
  <si>
    <t>Male Header</t>
  </si>
  <si>
    <t>RJ45 Connector</t>
  </si>
  <si>
    <t>Terminal Blocks</t>
  </si>
  <si>
    <t>Relay</t>
  </si>
  <si>
    <t>Inductor</t>
  </si>
  <si>
    <t>LED</t>
  </si>
  <si>
    <t>Transistor</t>
  </si>
  <si>
    <t>IC</t>
  </si>
  <si>
    <t>Resistors</t>
  </si>
  <si>
    <t>Resistor</t>
  </si>
  <si>
    <t>Switch</t>
  </si>
  <si>
    <t>Microcontrollers</t>
  </si>
  <si>
    <t>Crystal</t>
  </si>
  <si>
    <t>Designator</t>
  </si>
  <si>
    <t>C1, C3, C12, C14, C15, C28, C42, C43, C45, C46, C49, C50, C51, C53</t>
  </si>
  <si>
    <t>C2</t>
  </si>
  <si>
    <t>C4</t>
  </si>
  <si>
    <t>C5</t>
  </si>
  <si>
    <t>C6</t>
  </si>
  <si>
    <t>C7</t>
  </si>
  <si>
    <t>C8, C9, C16</t>
  </si>
  <si>
    <t>C10, C23, C26, C29, C30, C31</t>
  </si>
  <si>
    <t>C11</t>
  </si>
  <si>
    <t>C13, C60, C66</t>
  </si>
  <si>
    <t>C17</t>
  </si>
  <si>
    <t>C18</t>
  </si>
  <si>
    <t>C19</t>
  </si>
  <si>
    <t>C20, C21</t>
  </si>
  <si>
    <t>C22</t>
  </si>
  <si>
    <t>C24, C25</t>
  </si>
  <si>
    <t>C27, C40</t>
  </si>
  <si>
    <t>C32</t>
  </si>
  <si>
    <t>C33, C34, C35, C36, C37, C38, C39</t>
  </si>
  <si>
    <t>C41, C44, C47, C52</t>
  </si>
  <si>
    <t>C48</t>
  </si>
  <si>
    <t>C54, C55</t>
  </si>
  <si>
    <t>C56, C57, C58, C59, C62, C63, C64, C65</t>
  </si>
  <si>
    <t>C61, C67, C68</t>
  </si>
  <si>
    <t>D1</t>
  </si>
  <si>
    <t>D2, D15</t>
  </si>
  <si>
    <t>D3</t>
  </si>
  <si>
    <t>D4</t>
  </si>
  <si>
    <t>D5, D16</t>
  </si>
  <si>
    <t>D6, D7</t>
  </si>
  <si>
    <t>D8</t>
  </si>
  <si>
    <t>D9, D10, D11</t>
  </si>
  <si>
    <t>F1, F2, F3, F4, F5, F6</t>
  </si>
  <si>
    <t>FB1, FB2</t>
  </si>
  <si>
    <t>J1, J29</t>
  </si>
  <si>
    <t>J2</t>
  </si>
  <si>
    <t>J3</t>
  </si>
  <si>
    <t>J4</t>
  </si>
  <si>
    <t>J5</t>
  </si>
  <si>
    <t>J6</t>
  </si>
  <si>
    <t>J9, J10</t>
  </si>
  <si>
    <t>J11, J12, J13, J14, J15, J16, J17, J18, J19, J20, J21, J22, J23, J24, J25, J26</t>
  </si>
  <si>
    <t>J27</t>
  </si>
  <si>
    <t>J30, J31, J32</t>
  </si>
  <si>
    <t>J33, J34, J35, J36</t>
  </si>
  <si>
    <t>J37</t>
  </si>
  <si>
    <t>K1, K2, K3, K4, K5, K6, K7, K8, K9, K10, K11, K12, K13, K14, K15, K16</t>
  </si>
  <si>
    <t>L1</t>
  </si>
  <si>
    <t>L2</t>
  </si>
  <si>
    <t>L3</t>
  </si>
  <si>
    <t>L4</t>
  </si>
  <si>
    <t>LED1, LED2, LED3, LED4, LED5, LED7</t>
  </si>
  <si>
    <t>LED6</t>
  </si>
  <si>
    <t>LED8, LED9, LED10, LED11, LED12, LED13, LED14, LED15, LED16, LED17, LED18, LED19, LED20, LED21, LED22, LED23</t>
  </si>
  <si>
    <t>Q1, Q2</t>
  </si>
  <si>
    <t>Q3</t>
  </si>
  <si>
    <t>R1</t>
  </si>
  <si>
    <t>R2</t>
  </si>
  <si>
    <t>R3, R4</t>
  </si>
  <si>
    <t>R5</t>
  </si>
  <si>
    <t>R6</t>
  </si>
  <si>
    <t>R7, R27, R28, R54, R55, R57, R58, R59, R68</t>
  </si>
  <si>
    <t>R8</t>
  </si>
  <si>
    <t>R9, R76, R77, R78, R79, R80, R81, R82, R83, R84, R85, R86, R87, R88, R89, R90, R91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</si>
  <si>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</si>
  <si>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</si>
  <si>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</si>
  <si>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</si>
  <si>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</si>
  <si>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</si>
  <si>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</si>
  <si>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</si>
  <si>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</si>
  <si>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</si>
  <si>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R20, R21</t>
  </si>
  <si>
    <t>R22, R23</t>
  </si>
  <si>
    <t>R24</t>
  </si>
  <si>
    <t>R25, R26</t>
  </si>
  <si>
    <t>R29</t>
  </si>
  <si>
    <t>R30, R32</t>
  </si>
  <si>
    <t>R31</t>
  </si>
  <si>
    <t>R33, R34, R35, R36, R37, R40, R44, R45, R46, R47, R48, R51, R62</t>
  </si>
  <si>
    <t>R38, R39, R42, R43, R49, R50</t>
  </si>
  <si>
    <t>R41, R52</t>
  </si>
  <si>
    <t>R53, R56</t>
  </si>
  <si>
    <t>R60</t>
  </si>
  <si>
    <t>R61</t>
  </si>
  <si>
    <t>R63, R64, R65, R66, R71, R72, R73, R74</t>
  </si>
  <si>
    <t>R67, R75</t>
  </si>
  <si>
    <t>R69, R70</t>
  </si>
  <si>
    <t>SW1, SW2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</si>
  <si>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</si>
  <si>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</si>
  <si>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</si>
  <si>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</si>
  <si>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</si>
  <si>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</si>
  <si>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</si>
  <si>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</si>
  <si>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</si>
  <si>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U11, U12, U13</t>
  </si>
  <si>
    <t>X1</t>
  </si>
  <si>
    <t>X2</t>
  </si>
  <si>
    <t>X3</t>
  </si>
  <si>
    <t>Description</t>
  </si>
  <si>
    <t>CAP CER 0.1UF 50V X7R 0402</t>
  </si>
  <si>
    <t>CAP CER 2.2UF 50V X5R 0805</t>
  </si>
  <si>
    <t>CAP ALUM POLY 10UF 20% 50V SMD</t>
  </si>
  <si>
    <t>CAP CER 390PF 50V C0G 0402</t>
  </si>
  <si>
    <t>50V 40nF Y5V ±20% 0805 Multilayer Ceramic Capacitors MLCC - SMD/SMT ROHS</t>
  </si>
  <si>
    <t>CAP CER 0.22UF 25V X5R 0402</t>
  </si>
  <si>
    <t>CAP CER 10UF 25V X5R 0603</t>
  </si>
  <si>
    <t>CAP CER 0.1UF 16V X7R 0402</t>
  </si>
  <si>
    <t>CAP ALUM POLY 47UF 20% 25V SMD</t>
  </si>
  <si>
    <t>CAP CER 0.022UF 16V X7R 0402</t>
  </si>
  <si>
    <t>100uF 10V 55mA@120Hz ±20% SMD,D6.3xL5.4mm Aluminum Electrolytic Capacitors - SMD ROHS</t>
  </si>
  <si>
    <t>CAP CER 0.068UF 50V X7R 0402</t>
  </si>
  <si>
    <t>CAP CER 1000PF 25V C0G 0402</t>
  </si>
  <si>
    <t>CAP CER 6.8PF 50V C0G/NPO 0402</t>
  </si>
  <si>
    <t>CAP CER 4700PF 50V C0G/NPO 0603</t>
  </si>
  <si>
    <t>CAP CER 20PF 50V C0G/NPO 0402</t>
  </si>
  <si>
    <t>CAP CER 4.7UF 10V X5R 0402</t>
  </si>
  <si>
    <t>CAP CER 4700PF 50V X7R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</si>
  <si>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</si>
  <si>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</si>
  <si>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</si>
  <si>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</si>
  <si>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</si>
  <si>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ALUM 220UF 20% 50V SMD</t>
  </si>
  <si>
    <t>60V 700mV@1A 1A SMA(DO-214AC) Schottky Barrier Diodes (SBD) ROHS</t>
  </si>
  <si>
    <t>TVS DIODE 28VWM 45.4VC SMB</t>
  </si>
  <si>
    <t>DIODE SCHOTTKY 100V 20A D2PAK</t>
  </si>
  <si>
    <t>DIODE SCHOTTKY 50V 1A SMA</t>
  </si>
  <si>
    <t>TVS DIODE 5V 9.8V SOD923</t>
  </si>
  <si>
    <t>TVS DIODE 5VWM 6.3VC DSN0603-2</t>
  </si>
  <si>
    <t>SOT-23 TVS ROHS</t>
  </si>
  <si>
    <t>9V 200mA 100A 500mA 0805 Resettable Fuses ROHS</t>
  </si>
  <si>
    <t>FERRITE BEAD 10 OHM 0402 1LN</t>
  </si>
  <si>
    <t>Tin 1x2P Corner pin Three sides 2 1 9.5mm -40℃~+105℃ 20A 300V Black 10~22 Copper Alloy 0.5~4 Plugin,P=9.5mm Barrier Terminal Blocks ROHS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</si>
  <si>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</si>
  <si>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</si>
  <si>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</si>
  <si>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</si>
  <si>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</si>
  <si>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RJ45 RJReceptacle 1 WithLED Plugin Ethernet Connectors/Modular Connectors (RJ45 RJ11) ROHS</t>
  </si>
  <si>
    <t>3A Straight Square Pins 2.5mm 6P 6mm -40℃~+105℃ 3mm 2.54mm 双排 Black 2x3P 2.54mm Plugin,P=2.54mm Pin Headers ROHS</t>
  </si>
  <si>
    <t>1x3P 18A -40℃~+105℃ 250V Green 14~30 Straight pin 5.08mm 2.5 1 3 Plugin,P=5.08mm Screw terminal ROHS</t>
  </si>
  <si>
    <t>TERM BLK 2P SIDE ENT 5.08MM PCB</t>
  </si>
  <si>
    <t>1x8P -40℃~+105℃ 15A 250V Green 14~26 Straight 5mm 1.5 1 8 Plugin,P=5mm Screw Terminal Blocks ROHS</t>
  </si>
  <si>
    <t>M4 Plugin PCB Welding Terminal ROHS</t>
  </si>
  <si>
    <t>250V@AC 24V 15A SPDT (1 Form C) Plugin,15.6x19.2mm Power Relays ROHS</t>
  </si>
  <si>
    <t>25.5A 1uH Molding Choke ±20% 37A SMD,13.5x12.5mm Power Inductors ROHS</t>
  </si>
  <si>
    <t>18A 5.6uH Integrated molded inductor ±20% 22.5A SMD,12.6x13.5mm Power Inductors ROHS</t>
  </si>
  <si>
    <t>2A 47uH ±20% 250mΩ SMD,6.6x7.2mm Inductors (SMD)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</si>
  <si>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</si>
  <si>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</si>
  <si>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</si>
  <si>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</si>
  <si>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60V 100A SUPERSO8</t>
  </si>
  <si>
    <t>MOSFET N-CH 100V 15A 8VSON</t>
  </si>
  <si>
    <t>RES SMD 10 OHM 1% 1/5W 0402</t>
  </si>
  <si>
    <t>6W 2mΩ Surface Mount Shunt ±50ppm/℃ ±1% 3920 Current Sense Resistors / Shunt Resistors ROHS</t>
  </si>
  <si>
    <t>RES 0 OHM JUMPER 1/16W 0402</t>
  </si>
  <si>
    <t>RES SMD 90.9KOHM 0.5% 1/16W 0402</t>
  </si>
  <si>
    <t>62.5mW Thick Film Resistors 50V ±100ppm/℃ ±1% 21.5kΩ 0402 Chip Resistor - Surface Mount ROHS</t>
  </si>
  <si>
    <t>RES 10K OHM 1% 1/16W 0402</t>
  </si>
  <si>
    <t>RES 7.5K OHM 1% 1/16W 0402</t>
  </si>
  <si>
    <t>RES 3.9K OHM 1% 1/16W 0402</t>
  </si>
  <si>
    <t>RES 120K OHM 1% 1/16W 0402</t>
  </si>
  <si>
    <t>RES 1.5K OHM 1% 1/16W 0402</t>
  </si>
  <si>
    <t>62.5mW Thick Film Resistors ±100ppm/℃ ±1% 191Ω 0402 Chip Resistor - Surface Mount ROHS</t>
  </si>
  <si>
    <t>RES 100 OHM 1% 1/16W 0402</t>
  </si>
  <si>
    <t>RES 470 OHM 1% 1/16W 0402</t>
  </si>
  <si>
    <t>1W 4mΩ Current Sensing Resistors ±50ppm/℃ ±1% 1206 Current Sense Resistors / Shunt Resistors ROHS</t>
  </si>
  <si>
    <t>RES 2.49K OHM 1% 1/16W 0402</t>
  </si>
  <si>
    <t>RES 48.7K OHM 1% 1/10W 0603</t>
  </si>
  <si>
    <t>RES 3.3K OHM 1% 1/16W 0402</t>
  </si>
  <si>
    <t>RES 200 OHM 1% 1/16W 0402</t>
  </si>
  <si>
    <t>RES 0 OHM JUMPER 1/10W 0603</t>
  </si>
  <si>
    <t>RES 5.1K OHM 1% 1/16W 0402</t>
  </si>
  <si>
    <t>RES SMD 1M OHM 5%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</si>
  <si>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</si>
  <si>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</si>
  <si>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</si>
  <si>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</si>
  <si>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</si>
  <si>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</si>
  <si>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</si>
  <si>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</si>
  <si>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</si>
  <si>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</si>
  <si>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</si>
  <si>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</si>
  <si>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LOW VOLTAGE LM5141- SYNC BUCK CO</t>
  </si>
  <si>
    <t>IC REG LINEAR 3.3V 1.2A SOT223</t>
  </si>
  <si>
    <t>2.2MHZ WIDE INPUT NONSYNCHRONOUS</t>
  </si>
  <si>
    <t>IC REG BUCK 5V 2A 8SOP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</si>
  <si>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</si>
  <si>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</si>
  <si>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</si>
  <si>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</si>
  <si>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</si>
  <si>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</si>
  <si>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</si>
  <si>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</si>
  <si>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</si>
  <si>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</si>
  <si>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</si>
  <si>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Cap-0805</t>
  </si>
  <si>
    <t>50SVPF10M</t>
  </si>
  <si>
    <t>Cap-0402</t>
  </si>
  <si>
    <t>Cap-0603</t>
  </si>
  <si>
    <t>25SVPF47M</t>
  </si>
  <si>
    <t>RVT1A101M0605</t>
  </si>
  <si>
    <t>UCD-220uF-10mmDia</t>
  </si>
  <si>
    <t>SMA</t>
  </si>
  <si>
    <t>SMB_</t>
  </si>
  <si>
    <t>D2Pak.</t>
  </si>
  <si>
    <t>SOD-923.</t>
  </si>
  <si>
    <t>DSN0603-2</t>
  </si>
  <si>
    <t>SOT-23</t>
  </si>
  <si>
    <t>Fuse-0805</t>
  </si>
  <si>
    <t>IND-0402</t>
  </si>
  <si>
    <t>MXHB9500-9.5-02P-BK01-Cu-S-A</t>
  </si>
  <si>
    <t>HDR 1x8 TH male</t>
  </si>
  <si>
    <t>HDR1X4_</t>
  </si>
  <si>
    <t>HDR1X3_</t>
  </si>
  <si>
    <t>HDR1X6_</t>
  </si>
  <si>
    <t>HR911105A</t>
  </si>
  <si>
    <t>PH-01291</t>
  </si>
  <si>
    <t>WJ500V-5.08-3P</t>
  </si>
  <si>
    <t>DB127V-5.0-8P-GN-S</t>
  </si>
  <si>
    <t>T44001</t>
  </si>
  <si>
    <t>SRD-24VDC-SL-C</t>
  </si>
  <si>
    <t>FCM1250-1R0M-L-S</t>
  </si>
  <si>
    <t>FXL1360-5R6-M</t>
  </si>
  <si>
    <t>CYA0650-47UH</t>
  </si>
  <si>
    <t>LED-0603</t>
  </si>
  <si>
    <t>PG-TDSON-8</t>
  </si>
  <si>
    <t>VSONP-8(3.1x3.1)</t>
  </si>
  <si>
    <t>Res-0402</t>
  </si>
  <si>
    <t>RES 3920</t>
  </si>
  <si>
    <t>Res-1206</t>
  </si>
  <si>
    <t>Res-0603</t>
  </si>
  <si>
    <t>Res-0201</t>
  </si>
  <si>
    <t>B3U-1000P</t>
  </si>
  <si>
    <t>24-WQFN (4x4)</t>
  </si>
  <si>
    <t>SOT- 223</t>
  </si>
  <si>
    <t>HTSSOP-14-EP</t>
  </si>
  <si>
    <t>SOP-8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</si>
  <si>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</si>
  <si>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</si>
  <si>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</si>
  <si>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</si>
  <si>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</si>
  <si>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</si>
  <si>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</si>
  <si>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</si>
  <si>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</si>
  <si>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C2012X5R1H225K125AB</t>
  </si>
  <si>
    <t>CGA2B2C0G1H391J050BA</t>
  </si>
  <si>
    <t>0805F403M500NT</t>
  </si>
  <si>
    <t>CC0402KRX5R8BB224</t>
  </si>
  <si>
    <t>C1608X5R1E106M080AC</t>
  </si>
  <si>
    <t>CC0402JRX7R7BB104</t>
  </si>
  <si>
    <t>CC0402JRX7R7BB223</t>
  </si>
  <si>
    <t>CC0402KRX7R9BB683</t>
  </si>
  <si>
    <t>C1005C0G1E102JT000F</t>
  </si>
  <si>
    <t>CC0402CRNPO9BN6R8</t>
  </si>
  <si>
    <t>CC0603JRNPO9BN472</t>
  </si>
  <si>
    <t>CC0402JRNPO9BN200</t>
  </si>
  <si>
    <t>CC0402KRX5R6BB475</t>
  </si>
  <si>
    <t>CC0402KRX7R9BB472</t>
  </si>
  <si>
    <t>GRM155R62A104KE14D</t>
  </si>
  <si>
    <t>CC0402KRX5R6BB105</t>
  </si>
  <si>
    <t>0603B471K500CT</t>
  </si>
  <si>
    <t>GCM1555C1H180GA16D</t>
  </si>
  <si>
    <t>GRM1555C1H100JA01D</t>
  </si>
  <si>
    <t>UCD1H221MNL1GS</t>
  </si>
  <si>
    <t>SS16</t>
  </si>
  <si>
    <t>SMBJ28A-13-F</t>
  </si>
  <si>
    <t>STPS20M100SG-TR</t>
  </si>
  <si>
    <t>B150-13-F</t>
  </si>
  <si>
    <t>ESD9L5.0ST5G</t>
  </si>
  <si>
    <t>PESD5V0H1BSFYL</t>
  </si>
  <si>
    <t>SM712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</si>
  <si>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</si>
  <si>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</si>
  <si>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</si>
  <si>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</si>
  <si>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</si>
  <si>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</si>
  <si>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</si>
  <si>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</si>
  <si>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</si>
  <si>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</si>
  <si>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BSC0702LSATMA1</t>
  </si>
  <si>
    <t>CSD19538Q3A</t>
  </si>
  <si>
    <t>CRCW040210R0FKEDHP</t>
  </si>
  <si>
    <t>ASR-F-5-2F</t>
  </si>
  <si>
    <t>RC0402FR-070RL</t>
  </si>
  <si>
    <t>AT0402DRD0790K9L</t>
  </si>
  <si>
    <t>0402WGF2152TCE</t>
  </si>
  <si>
    <t>RC0402FR-0710KL</t>
  </si>
  <si>
    <t>RC0402FR-077K5L</t>
  </si>
  <si>
    <t>RC0402FR-073K9L</t>
  </si>
  <si>
    <t>RC0402FR-07120KL</t>
  </si>
  <si>
    <t>RC0402FR-071K5L</t>
  </si>
  <si>
    <t>FRC0402F1910TS</t>
  </si>
  <si>
    <t>RC0402FR-07100RL</t>
  </si>
  <si>
    <t>RC0402FR-07470RL</t>
  </si>
  <si>
    <t>FRM121WFR004TM</t>
  </si>
  <si>
    <t>RC0402FR-072K49L</t>
  </si>
  <si>
    <t>RC0603FR-0748K7L</t>
  </si>
  <si>
    <t>RC0402FR-073K3L</t>
  </si>
  <si>
    <t>RC0402FR-07200RL</t>
  </si>
  <si>
    <t>RC0603JR-070RL</t>
  </si>
  <si>
    <t>RC0402FR-075K1L</t>
  </si>
  <si>
    <t>AF0402JR-071ML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</si>
  <si>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</si>
  <si>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</si>
  <si>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</si>
  <si>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</si>
  <si>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</si>
  <si>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</si>
  <si>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</si>
  <si>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</si>
  <si>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</si>
  <si>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</si>
  <si>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</si>
  <si>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LM25141RGET</t>
  </si>
  <si>
    <t>LDL1117S33R</t>
  </si>
  <si>
    <t>LM5156HPWPR</t>
  </si>
  <si>
    <t>AP1509-50SG-13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</si>
  <si>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</si>
  <si>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</si>
  <si>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</si>
  <si>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</si>
  <si>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</si>
  <si>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</si>
  <si>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</si>
  <si>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</si>
  <si>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</si>
  <si>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</si>
  <si>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</si>
  <si>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Panasonic</t>
  </si>
  <si>
    <t>FH (Guangdong Fenghua Advanced Tech)</t>
  </si>
  <si>
    <t>Yageo</t>
  </si>
  <si>
    <t>ROQANG</t>
  </si>
  <si>
    <t>Murata</t>
  </si>
  <si>
    <t>Walsin Technologies</t>
  </si>
  <si>
    <t>Nichicon</t>
  </si>
  <si>
    <t>MDD</t>
  </si>
  <si>
    <t>Diodes</t>
  </si>
  <si>
    <t>STMicroelectronics</t>
  </si>
  <si>
    <t>Diodes Incorporated</t>
  </si>
  <si>
    <t>ON Semiconductor</t>
  </si>
  <si>
    <t>Nexperia</t>
  </si>
  <si>
    <t>TECH PUBLIC</t>
  </si>
  <si>
    <t>RUILON</t>
  </si>
  <si>
    <t>MAX</t>
  </si>
  <si>
    <t>Korean Hroparts Elec</t>
  </si>
  <si>
    <t>XKB</t>
  </si>
  <si>
    <t>HANRUN</t>
  </si>
  <si>
    <t>Liansheng</t>
  </si>
  <si>
    <t>Ningbo Kangnex Elec</t>
  </si>
  <si>
    <t>Phoenix Contact</t>
  </si>
  <si>
    <t>DIBO</t>
  </si>
  <si>
    <t>XFCN</t>
  </si>
  <si>
    <t>Ningbo Forward Relay</t>
  </si>
  <si>
    <t>FANGCHENG</t>
  </si>
  <si>
    <t>cjiang</t>
  </si>
  <si>
    <t>SHOU HAN</t>
  </si>
  <si>
    <t>Foshan NationStar Optoelectronics</t>
  </si>
  <si>
    <t>Infineon</t>
  </si>
  <si>
    <t>Texas Instruments</t>
  </si>
  <si>
    <t>Vishay Dale</t>
  </si>
  <si>
    <t>Shenzhen Yezhan Elec</t>
  </si>
  <si>
    <t>Uniroyal</t>
  </si>
  <si>
    <t>FOJAN</t>
  </si>
  <si>
    <t>YAGEO</t>
  </si>
  <si>
    <t>Omron</t>
  </si>
  <si>
    <t>UMW</t>
  </si>
  <si>
    <t>Microchip</t>
  </si>
  <si>
    <t>Seiko Epson</t>
  </si>
  <si>
    <t>JYJE</t>
  </si>
  <si>
    <t>YXC</t>
  </si>
  <si>
    <t>100nF</t>
  </si>
  <si>
    <t>2.2uF</t>
  </si>
  <si>
    <t>10uF</t>
  </si>
  <si>
    <t>390pF</t>
  </si>
  <si>
    <t>40nF</t>
  </si>
  <si>
    <t>220nF</t>
  </si>
  <si>
    <t>0.1uF</t>
  </si>
  <si>
    <t>47uF</t>
  </si>
  <si>
    <t>22nF</t>
  </si>
  <si>
    <t>100uF</t>
  </si>
  <si>
    <t>68nF</t>
  </si>
  <si>
    <t>1nF</t>
  </si>
  <si>
    <t>DNP</t>
  </si>
  <si>
    <t>4.7nF</t>
  </si>
  <si>
    <t>20pF</t>
  </si>
  <si>
    <t>4.7uF</t>
  </si>
  <si>
    <t>0.1uf</t>
  </si>
  <si>
    <t>1uF</t>
  </si>
  <si>
    <t>470pF</t>
  </si>
  <si>
    <t>18pF</t>
  </si>
  <si>
    <t>220uF</t>
  </si>
  <si>
    <t>1uH</t>
  </si>
  <si>
    <t>5.6uH</t>
  </si>
  <si>
    <t>47uH</t>
  </si>
  <si>
    <t>10R</t>
  </si>
  <si>
    <t>2mR</t>
  </si>
  <si>
    <t>0R</t>
  </si>
  <si>
    <t>90.9K</t>
  </si>
  <si>
    <t>21.5K</t>
  </si>
  <si>
    <t>10K</t>
  </si>
  <si>
    <t>7.5K</t>
  </si>
  <si>
    <t>3.9K</t>
  </si>
  <si>
    <t>120K</t>
  </si>
  <si>
    <t>1.5K</t>
  </si>
  <si>
    <t>191R</t>
  </si>
  <si>
    <t>100R</t>
  </si>
  <si>
    <t>470R</t>
  </si>
  <si>
    <t>4mR</t>
  </si>
  <si>
    <t>2.49K</t>
  </si>
  <si>
    <t>48.7K</t>
  </si>
  <si>
    <t>3.3K</t>
  </si>
  <si>
    <t>200R</t>
  </si>
  <si>
    <t>5.1K</t>
  </si>
  <si>
    <t>1M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</si>
  <si>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</si>
  <si>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</si>
  <si>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</si>
  <si>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</si>
  <si>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</si>
  <si>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</si>
  <si>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</si>
  <si>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</si>
  <si>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</si>
  <si>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</si>
  <si>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</si>
  <si>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</si>
  <si>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</si>
  <si>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Value</t>
  </si>
  <si>
    <t>Remarks</t>
  </si>
  <si>
    <t>-</t>
  </si>
  <si>
    <t>Custom</t>
  </si>
  <si>
    <t xml:space="preserve">16-SOIC </t>
  </si>
  <si>
    <t>DO NOT MOUNT</t>
  </si>
  <si>
    <t>20A 350W 16V 4V 3.3V SOD-323 ESD and Surge Protection (TVS/ESD) ROHS</t>
  </si>
  <si>
    <t>SOD-323</t>
  </si>
  <si>
    <t>SD03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</si>
</sst>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6"/>
  <sheetViews>
    <sheetView tabSelected="1" topLeftCell="A10" workbookViewId="0">
      <selection activeCell="E32" sqref="E32:H32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5.28515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11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127</v>
      </c>
      <c r="F2" s="5" t="s">
        <v>229</v>
      </c>
      <c r="G2" s="6" t="s">
        <v>280</v>
      </c>
      <c r="H2" s="5" t="s">
        <v>366</v>
      </c>
      <c r="I2" s="6" t="s">
        <v>467</v>
      </c>
      <c r="J2" s="5" t="s">
        <v>466</v>
      </c>
      <c r="K2" s="5" t="s">
        <v>468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128</v>
      </c>
      <c r="F3" s="7" t="s">
        <v>230</v>
      </c>
      <c r="G3" s="8" t="s">
        <v>281</v>
      </c>
      <c r="H3" s="7" t="s">
        <v>367</v>
      </c>
      <c r="I3" s="8" t="s">
        <v>410</v>
      </c>
      <c r="J3" s="7">
        <v>14</v>
      </c>
      <c r="K3" s="7"/>
    </row>
    <row r="4" spans="1:11" ht="15.75" thickBot="1" x14ac:dyDescent="0.3">
      <c r="A4" s="1"/>
      <c r="B4" s="11">
        <f t="shared" ref="B4:B106" si="0">ROW(B4) - ROW($B$2)</f>
        <v>2</v>
      </c>
      <c r="C4" s="13" t="s">
        <v>2</v>
      </c>
      <c r="D4" s="9" t="s">
        <v>24</v>
      </c>
      <c r="E4" s="10" t="s">
        <v>129</v>
      </c>
      <c r="F4" s="9" t="s">
        <v>231</v>
      </c>
      <c r="G4" s="10" t="s">
        <v>282</v>
      </c>
      <c r="H4" s="9" t="s">
        <v>367</v>
      </c>
      <c r="I4" s="10" t="s">
        <v>411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25</v>
      </c>
      <c r="E5" s="8" t="s">
        <v>130</v>
      </c>
      <c r="F5" s="7" t="s">
        <v>470</v>
      </c>
      <c r="G5" s="8" t="s">
        <v>232</v>
      </c>
      <c r="H5" s="7" t="s">
        <v>368</v>
      </c>
      <c r="I5" s="8" t="s">
        <v>412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26</v>
      </c>
      <c r="E6" s="10" t="s">
        <v>131</v>
      </c>
      <c r="F6" s="9" t="s">
        <v>233</v>
      </c>
      <c r="G6" s="10" t="s">
        <v>283</v>
      </c>
      <c r="H6" s="9" t="s">
        <v>367</v>
      </c>
      <c r="I6" s="10" t="s">
        <v>413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2" t="s">
        <v>2</v>
      </c>
      <c r="D7" s="7" t="s">
        <v>27</v>
      </c>
      <c r="E7" s="8" t="s">
        <v>132</v>
      </c>
      <c r="F7" s="7" t="s">
        <v>231</v>
      </c>
      <c r="G7" s="8" t="s">
        <v>284</v>
      </c>
      <c r="H7" s="7" t="s">
        <v>369</v>
      </c>
      <c r="I7" s="8" t="s">
        <v>414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28</v>
      </c>
      <c r="E8" s="10" t="s">
        <v>133</v>
      </c>
      <c r="F8" s="9" t="s">
        <v>233</v>
      </c>
      <c r="G8" s="10" t="s">
        <v>285</v>
      </c>
      <c r="H8" s="9" t="s">
        <v>370</v>
      </c>
      <c r="I8" s="10" t="s">
        <v>415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29</v>
      </c>
      <c r="E9" s="8" t="s">
        <v>134</v>
      </c>
      <c r="F9" s="7" t="s">
        <v>234</v>
      </c>
      <c r="G9" s="8" t="s">
        <v>286</v>
      </c>
      <c r="H9" s="7" t="s">
        <v>367</v>
      </c>
      <c r="I9" s="8" t="s">
        <v>412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30</v>
      </c>
      <c r="E10" s="10" t="s">
        <v>135</v>
      </c>
      <c r="F10" s="9" t="s">
        <v>233</v>
      </c>
      <c r="G10" s="10" t="s">
        <v>287</v>
      </c>
      <c r="H10" s="9" t="s">
        <v>370</v>
      </c>
      <c r="I10" s="10" t="s">
        <v>416</v>
      </c>
      <c r="J10" s="9">
        <v>6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31</v>
      </c>
      <c r="E11" s="8" t="s">
        <v>136</v>
      </c>
      <c r="F11" s="7" t="s">
        <v>470</v>
      </c>
      <c r="G11" s="8" t="s">
        <v>235</v>
      </c>
      <c r="H11" s="7" t="s">
        <v>368</v>
      </c>
      <c r="I11" s="8" t="s">
        <v>417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32</v>
      </c>
      <c r="E12" s="10" t="s">
        <v>137</v>
      </c>
      <c r="F12" s="9" t="s">
        <v>233</v>
      </c>
      <c r="G12" s="10" t="s">
        <v>288</v>
      </c>
      <c r="H12" s="9" t="s">
        <v>370</v>
      </c>
      <c r="I12" s="10" t="s">
        <v>418</v>
      </c>
      <c r="J12" s="9">
        <v>3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2</v>
      </c>
      <c r="D13" s="7" t="s">
        <v>33</v>
      </c>
      <c r="E13" s="8" t="s">
        <v>138</v>
      </c>
      <c r="F13" s="7" t="s">
        <v>470</v>
      </c>
      <c r="G13" s="8" t="s">
        <v>236</v>
      </c>
      <c r="H13" s="7" t="s">
        <v>371</v>
      </c>
      <c r="I13" s="8" t="s">
        <v>419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34</v>
      </c>
      <c r="E14" s="10" t="s">
        <v>139</v>
      </c>
      <c r="F14" s="9" t="s">
        <v>233</v>
      </c>
      <c r="G14" s="10" t="s">
        <v>289</v>
      </c>
      <c r="H14" s="9" t="s">
        <v>370</v>
      </c>
      <c r="I14" s="10" t="s">
        <v>420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35</v>
      </c>
      <c r="E15" s="8" t="s">
        <v>140</v>
      </c>
      <c r="F15" s="7" t="s">
        <v>233</v>
      </c>
      <c r="G15" s="8" t="s">
        <v>290</v>
      </c>
      <c r="H15" s="7" t="s">
        <v>367</v>
      </c>
      <c r="I15" s="8" t="s">
        <v>421</v>
      </c>
      <c r="J15" s="7">
        <v>1</v>
      </c>
      <c r="K15" s="7"/>
    </row>
    <row r="16" spans="1:11" s="18" customFormat="1" ht="15.75" thickBot="1" x14ac:dyDescent="0.3">
      <c r="A16" s="17"/>
      <c r="B16" s="11">
        <f t="shared" si="0"/>
        <v>14</v>
      </c>
      <c r="C16" s="12" t="s">
        <v>2</v>
      </c>
      <c r="D16" s="14" t="s">
        <v>36</v>
      </c>
      <c r="E16" s="15" t="s">
        <v>141</v>
      </c>
      <c r="F16" s="14" t="s">
        <v>233</v>
      </c>
      <c r="G16" s="15" t="s">
        <v>291</v>
      </c>
      <c r="H16" s="14" t="s">
        <v>370</v>
      </c>
      <c r="I16" s="15" t="s">
        <v>422</v>
      </c>
      <c r="J16" s="14">
        <v>2</v>
      </c>
      <c r="K16" s="16" t="s">
        <v>472</v>
      </c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37</v>
      </c>
      <c r="E17" s="8" t="s">
        <v>142</v>
      </c>
      <c r="F17" s="7" t="s">
        <v>234</v>
      </c>
      <c r="G17" s="8" t="s">
        <v>292</v>
      </c>
      <c r="H17" s="7" t="s">
        <v>370</v>
      </c>
      <c r="I17" s="8" t="s">
        <v>423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38</v>
      </c>
      <c r="E18" s="10" t="s">
        <v>143</v>
      </c>
      <c r="F18" s="9" t="s">
        <v>233</v>
      </c>
      <c r="G18" s="10" t="s">
        <v>293</v>
      </c>
      <c r="H18" s="9" t="s">
        <v>370</v>
      </c>
      <c r="I18" s="10" t="s">
        <v>424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39</v>
      </c>
      <c r="E19" s="8" t="s">
        <v>144</v>
      </c>
      <c r="F19" s="7" t="s">
        <v>233</v>
      </c>
      <c r="G19" s="8" t="s">
        <v>294</v>
      </c>
      <c r="H19" s="7" t="s">
        <v>370</v>
      </c>
      <c r="I19" s="8" t="s">
        <v>425</v>
      </c>
      <c r="J19" s="7">
        <v>2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2</v>
      </c>
      <c r="D20" s="9" t="s">
        <v>40</v>
      </c>
      <c r="E20" s="10" t="s">
        <v>145</v>
      </c>
      <c r="F20" s="9" t="s">
        <v>233</v>
      </c>
      <c r="G20" s="10" t="s">
        <v>295</v>
      </c>
      <c r="H20" s="9" t="s">
        <v>370</v>
      </c>
      <c r="I20" s="10" t="s">
        <v>423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41</v>
      </c>
      <c r="E21" s="8" t="s">
        <v>146</v>
      </c>
      <c r="F21" s="7" t="s">
        <v>233</v>
      </c>
      <c r="G21" s="8" t="s">
        <v>296</v>
      </c>
      <c r="H21" s="7" t="s">
        <v>372</v>
      </c>
      <c r="I21" s="8" t="s">
        <v>426</v>
      </c>
      <c r="J21" s="7">
        <v>7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2</v>
      </c>
      <c r="D22" s="9" t="s">
        <v>42</v>
      </c>
      <c r="E22" s="10" t="s">
        <v>147</v>
      </c>
      <c r="F22" s="9" t="s">
        <v>233</v>
      </c>
      <c r="G22" s="10" t="s">
        <v>297</v>
      </c>
      <c r="H22" s="9" t="s">
        <v>370</v>
      </c>
      <c r="I22" s="10" t="s">
        <v>427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43</v>
      </c>
      <c r="E23" s="8" t="s">
        <v>148</v>
      </c>
      <c r="F23" s="7" t="s">
        <v>234</v>
      </c>
      <c r="G23" s="8" t="s">
        <v>298</v>
      </c>
      <c r="H23" s="7" t="s">
        <v>373</v>
      </c>
      <c r="I23" s="8" t="s">
        <v>428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2" t="s">
        <v>2</v>
      </c>
      <c r="D24" s="9" t="s">
        <v>44</v>
      </c>
      <c r="E24" s="10" t="s">
        <v>149</v>
      </c>
      <c r="F24" s="9" t="s">
        <v>233</v>
      </c>
      <c r="G24" s="10" t="s">
        <v>299</v>
      </c>
      <c r="H24" s="9" t="s">
        <v>372</v>
      </c>
      <c r="I24" s="10" t="s">
        <v>429</v>
      </c>
      <c r="J24" s="9">
        <v>2</v>
      </c>
      <c r="K24" s="9"/>
    </row>
    <row r="25" spans="1:11" s="18" customFormat="1" ht="15.75" thickBot="1" x14ac:dyDescent="0.3">
      <c r="A25" s="17"/>
      <c r="B25" s="11">
        <f>ROW(B25) - ROW($B$2)</f>
        <v>23</v>
      </c>
      <c r="C25" s="12" t="s">
        <v>2</v>
      </c>
      <c r="D25" s="14" t="s">
        <v>45</v>
      </c>
      <c r="E25" s="15" t="s">
        <v>150</v>
      </c>
      <c r="F25" s="14" t="s">
        <v>233</v>
      </c>
      <c r="G25" s="15" t="s">
        <v>300</v>
      </c>
      <c r="H25" s="14" t="s">
        <v>372</v>
      </c>
      <c r="I25" s="15" t="s">
        <v>422</v>
      </c>
      <c r="J25" s="14">
        <v>8</v>
      </c>
      <c r="K25" s="16" t="s">
        <v>472</v>
      </c>
    </row>
    <row r="26" spans="1:11" ht="15.75" thickBot="1" x14ac:dyDescent="0.3">
      <c r="A26" s="1"/>
      <c r="B26" s="11">
        <f t="shared" si="0"/>
        <v>24</v>
      </c>
      <c r="C26" s="12" t="s">
        <v>2</v>
      </c>
      <c r="D26" s="9" t="s">
        <v>46</v>
      </c>
      <c r="E26" s="10" t="s">
        <v>151</v>
      </c>
      <c r="F26" s="9" t="s">
        <v>237</v>
      </c>
      <c r="G26" s="10" t="s">
        <v>301</v>
      </c>
      <c r="H26" s="9" t="s">
        <v>374</v>
      </c>
      <c r="I26" s="10" t="s">
        <v>430</v>
      </c>
      <c r="J26" s="9">
        <v>3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3</v>
      </c>
      <c r="D27" s="7" t="s">
        <v>47</v>
      </c>
      <c r="E27" s="8" t="s">
        <v>152</v>
      </c>
      <c r="F27" s="7" t="s">
        <v>238</v>
      </c>
      <c r="G27" s="8" t="s">
        <v>302</v>
      </c>
      <c r="H27" s="7" t="s">
        <v>375</v>
      </c>
      <c r="I27" s="8" t="s">
        <v>469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48</v>
      </c>
      <c r="E28" s="10" t="s">
        <v>153</v>
      </c>
      <c r="F28" s="9" t="s">
        <v>239</v>
      </c>
      <c r="G28" s="10" t="s">
        <v>303</v>
      </c>
      <c r="H28" s="9" t="s">
        <v>376</v>
      </c>
      <c r="I28" s="8" t="s">
        <v>469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49</v>
      </c>
      <c r="E29" s="8" t="s">
        <v>154</v>
      </c>
      <c r="F29" s="7" t="s">
        <v>240</v>
      </c>
      <c r="G29" s="8" t="s">
        <v>304</v>
      </c>
      <c r="H29" s="7" t="s">
        <v>377</v>
      </c>
      <c r="I29" s="8" t="s">
        <v>469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4</v>
      </c>
      <c r="D30" s="9" t="s">
        <v>50</v>
      </c>
      <c r="E30" s="10" t="s">
        <v>155</v>
      </c>
      <c r="F30" s="9" t="s">
        <v>238</v>
      </c>
      <c r="G30" s="10" t="s">
        <v>305</v>
      </c>
      <c r="H30" s="9" t="s">
        <v>378</v>
      </c>
      <c r="I30" s="8" t="s">
        <v>469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4</v>
      </c>
      <c r="D31" s="7" t="s">
        <v>51</v>
      </c>
      <c r="E31" s="8" t="s">
        <v>156</v>
      </c>
      <c r="F31" s="7" t="s">
        <v>241</v>
      </c>
      <c r="G31" s="8" t="s">
        <v>306</v>
      </c>
      <c r="H31" s="7" t="s">
        <v>379</v>
      </c>
      <c r="I31" s="8" t="s">
        <v>469</v>
      </c>
      <c r="J31" s="7">
        <v>2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4</v>
      </c>
      <c r="D32" s="9" t="s">
        <v>52</v>
      </c>
      <c r="E32" s="9" t="s">
        <v>473</v>
      </c>
      <c r="F32" s="9" t="s">
        <v>474</v>
      </c>
      <c r="G32" s="9" t="s">
        <v>475</v>
      </c>
      <c r="H32" s="9" t="s">
        <v>375</v>
      </c>
      <c r="I32" s="8" t="s">
        <v>469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4</v>
      </c>
      <c r="D33" s="7" t="s">
        <v>53</v>
      </c>
      <c r="E33" s="8" t="s">
        <v>157</v>
      </c>
      <c r="F33" s="7" t="s">
        <v>242</v>
      </c>
      <c r="G33" s="8" t="s">
        <v>307</v>
      </c>
      <c r="H33" s="7" t="s">
        <v>380</v>
      </c>
      <c r="I33" s="8" t="s">
        <v>469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4</v>
      </c>
      <c r="D34" s="9" t="s">
        <v>54</v>
      </c>
      <c r="E34" s="10" t="s">
        <v>158</v>
      </c>
      <c r="F34" s="9" t="s">
        <v>243</v>
      </c>
      <c r="G34" s="10" t="s">
        <v>308</v>
      </c>
      <c r="H34" s="9" t="s">
        <v>381</v>
      </c>
      <c r="I34" s="8" t="s">
        <v>469</v>
      </c>
      <c r="J34" s="9">
        <v>3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5</v>
      </c>
      <c r="D35" s="7" t="s">
        <v>55</v>
      </c>
      <c r="E35" s="8" t="s">
        <v>159</v>
      </c>
      <c r="F35" s="7" t="s">
        <v>244</v>
      </c>
      <c r="G35" s="8" t="s">
        <v>309</v>
      </c>
      <c r="H35" s="7" t="s">
        <v>382</v>
      </c>
      <c r="I35" s="8" t="s">
        <v>469</v>
      </c>
      <c r="J35" s="7">
        <v>6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56</v>
      </c>
      <c r="E36" s="10" t="s">
        <v>160</v>
      </c>
      <c r="F36" s="9" t="s">
        <v>245</v>
      </c>
      <c r="G36" s="10" t="s">
        <v>310</v>
      </c>
      <c r="H36" s="9" t="s">
        <v>372</v>
      </c>
      <c r="I36" s="8" t="s">
        <v>469</v>
      </c>
      <c r="J36" s="9">
        <v>2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7</v>
      </c>
      <c r="D37" s="7" t="s">
        <v>57</v>
      </c>
      <c r="E37" s="8" t="s">
        <v>161</v>
      </c>
      <c r="F37" s="7" t="s">
        <v>470</v>
      </c>
      <c r="G37" s="8" t="s">
        <v>246</v>
      </c>
      <c r="H37" s="7" t="s">
        <v>383</v>
      </c>
      <c r="I37" s="8" t="s">
        <v>469</v>
      </c>
      <c r="J37" s="7">
        <v>2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8</v>
      </c>
      <c r="D38" s="9" t="s">
        <v>58</v>
      </c>
      <c r="E38" s="10" t="s">
        <v>162</v>
      </c>
      <c r="F38" s="7" t="s">
        <v>470</v>
      </c>
      <c r="G38" s="10" t="s">
        <v>311</v>
      </c>
      <c r="H38" s="9" t="s">
        <v>384</v>
      </c>
      <c r="I38" s="8" t="s">
        <v>469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59</v>
      </c>
      <c r="E39" s="8" t="s">
        <v>163</v>
      </c>
      <c r="F39" s="7" t="s">
        <v>247</v>
      </c>
      <c r="G39" s="8" t="s">
        <v>312</v>
      </c>
      <c r="H39" s="7" t="s">
        <v>385</v>
      </c>
      <c r="I39" s="8" t="s">
        <v>469</v>
      </c>
      <c r="J39" s="7">
        <v>1</v>
      </c>
      <c r="K39" s="7"/>
    </row>
    <row r="40" spans="1:11" ht="48.75" thickBot="1" x14ac:dyDescent="0.3">
      <c r="A40" s="1"/>
      <c r="B40" s="11">
        <f t="shared" si="0"/>
        <v>38</v>
      </c>
      <c r="C40" s="13" t="s">
        <v>9</v>
      </c>
      <c r="D40" s="9" t="s">
        <v>60</v>
      </c>
      <c r="E40" s="10" t="s">
        <v>164</v>
      </c>
      <c r="F40" s="9" t="s">
        <v>248</v>
      </c>
      <c r="G40" s="10" t="s">
        <v>313</v>
      </c>
      <c r="H40" s="9" t="s">
        <v>385</v>
      </c>
      <c r="I40" s="8" t="s">
        <v>469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9</v>
      </c>
      <c r="D41" s="7" t="s">
        <v>61</v>
      </c>
      <c r="E41" s="8" t="s">
        <v>165</v>
      </c>
      <c r="F41" s="7" t="s">
        <v>249</v>
      </c>
      <c r="G41" s="8"/>
      <c r="H41" s="7"/>
      <c r="I41" s="8" t="s">
        <v>469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9</v>
      </c>
      <c r="D42" s="9" t="s">
        <v>62</v>
      </c>
      <c r="E42" s="10" t="s">
        <v>166</v>
      </c>
      <c r="F42" s="9" t="s">
        <v>250</v>
      </c>
      <c r="G42" s="10" t="s">
        <v>314</v>
      </c>
      <c r="H42" s="9" t="s">
        <v>385</v>
      </c>
      <c r="I42" s="8" t="s">
        <v>469</v>
      </c>
      <c r="J42" s="9">
        <v>1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10</v>
      </c>
      <c r="D43" s="7" t="s">
        <v>63</v>
      </c>
      <c r="E43" s="8" t="s">
        <v>167</v>
      </c>
      <c r="F43" s="7" t="s">
        <v>470</v>
      </c>
      <c r="G43" s="8" t="s">
        <v>251</v>
      </c>
      <c r="H43" s="7" t="s">
        <v>386</v>
      </c>
      <c r="I43" s="8" t="s">
        <v>469</v>
      </c>
      <c r="J43" s="7">
        <v>2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9</v>
      </c>
      <c r="D44" s="9" t="s">
        <v>64</v>
      </c>
      <c r="E44" s="10" t="s">
        <v>168</v>
      </c>
      <c r="F44" s="7" t="s">
        <v>470</v>
      </c>
      <c r="G44" s="10" t="s">
        <v>252</v>
      </c>
      <c r="H44" s="9" t="s">
        <v>387</v>
      </c>
      <c r="I44" s="8" t="s">
        <v>469</v>
      </c>
      <c r="J44" s="9">
        <v>16</v>
      </c>
      <c r="K44" s="9"/>
    </row>
    <row r="45" spans="1:11" ht="48.75" thickBot="1" x14ac:dyDescent="0.3">
      <c r="A45" s="1"/>
      <c r="B45" s="11">
        <f>ROW(B45) - ROW($B$2)</f>
        <v>43</v>
      </c>
      <c r="C45" s="12" t="s">
        <v>7</v>
      </c>
      <c r="D45" s="7" t="s">
        <v>65</v>
      </c>
      <c r="E45" s="8" t="s">
        <v>169</v>
      </c>
      <c r="F45" s="7" t="s">
        <v>470</v>
      </c>
      <c r="G45" s="8" t="s">
        <v>253</v>
      </c>
      <c r="H45" s="7" t="s">
        <v>388</v>
      </c>
      <c r="I45" s="8" t="s">
        <v>469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11</v>
      </c>
      <c r="D46" s="9" t="s">
        <v>66</v>
      </c>
      <c r="E46" s="10" t="s">
        <v>170</v>
      </c>
      <c r="F46" s="7" t="s">
        <v>470</v>
      </c>
      <c r="G46" s="10">
        <v>1715721</v>
      </c>
      <c r="H46" s="9" t="s">
        <v>389</v>
      </c>
      <c r="I46" s="8" t="s">
        <v>469</v>
      </c>
      <c r="J46" s="9">
        <v>3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7</v>
      </c>
      <c r="D47" s="7" t="s">
        <v>67</v>
      </c>
      <c r="E47" s="8" t="s">
        <v>171</v>
      </c>
      <c r="F47" s="7" t="s">
        <v>470</v>
      </c>
      <c r="G47" s="8" t="s">
        <v>254</v>
      </c>
      <c r="H47" s="7" t="s">
        <v>390</v>
      </c>
      <c r="I47" s="8" t="s">
        <v>469</v>
      </c>
      <c r="J47" s="7">
        <v>4</v>
      </c>
      <c r="K47" s="7"/>
    </row>
    <row r="48" spans="1:11" ht="24.75" thickBot="1" x14ac:dyDescent="0.3">
      <c r="A48" s="1"/>
      <c r="B48" s="11">
        <f t="shared" si="0"/>
        <v>46</v>
      </c>
      <c r="C48" s="13"/>
      <c r="D48" s="9" t="s">
        <v>68</v>
      </c>
      <c r="E48" s="10" t="s">
        <v>172</v>
      </c>
      <c r="F48" s="7" t="s">
        <v>470</v>
      </c>
      <c r="G48" s="10" t="s">
        <v>255</v>
      </c>
      <c r="H48" s="9" t="s">
        <v>391</v>
      </c>
      <c r="I48" s="8" t="s">
        <v>469</v>
      </c>
      <c r="J48" s="9">
        <v>1</v>
      </c>
      <c r="K48" s="9"/>
    </row>
    <row r="49" spans="1:11" ht="36.75" thickBot="1" x14ac:dyDescent="0.3">
      <c r="A49" s="1"/>
      <c r="B49" s="11">
        <f>ROW(B49) - ROW($B$2)</f>
        <v>47</v>
      </c>
      <c r="C49" s="12" t="s">
        <v>12</v>
      </c>
      <c r="D49" s="7" t="s">
        <v>69</v>
      </c>
      <c r="E49" s="8" t="s">
        <v>173</v>
      </c>
      <c r="F49" s="7" t="s">
        <v>470</v>
      </c>
      <c r="G49" s="8" t="s">
        <v>256</v>
      </c>
      <c r="H49" s="7" t="s">
        <v>392</v>
      </c>
      <c r="I49" s="8" t="s">
        <v>469</v>
      </c>
      <c r="J49" s="7">
        <v>16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13</v>
      </c>
      <c r="D50" s="9" t="s">
        <v>70</v>
      </c>
      <c r="E50" s="10" t="s">
        <v>174</v>
      </c>
      <c r="F50" s="7" t="s">
        <v>470</v>
      </c>
      <c r="G50" s="10" t="s">
        <v>257</v>
      </c>
      <c r="H50" s="9" t="s">
        <v>393</v>
      </c>
      <c r="I50" s="10" t="s">
        <v>431</v>
      </c>
      <c r="J50" s="9">
        <v>1</v>
      </c>
      <c r="K50" s="9"/>
    </row>
    <row r="51" spans="1:11" ht="48.75" thickBot="1" x14ac:dyDescent="0.3">
      <c r="A51" s="1"/>
      <c r="B51" s="11">
        <f>ROW(B51) - ROW($B$2)</f>
        <v>49</v>
      </c>
      <c r="C51" s="12" t="s">
        <v>13</v>
      </c>
      <c r="D51" s="7" t="s">
        <v>71</v>
      </c>
      <c r="E51" s="8" t="s">
        <v>175</v>
      </c>
      <c r="F51" s="7" t="s">
        <v>470</v>
      </c>
      <c r="G51" s="8" t="s">
        <v>258</v>
      </c>
      <c r="H51" s="7" t="s">
        <v>394</v>
      </c>
      <c r="I51" s="8" t="s">
        <v>432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13</v>
      </c>
      <c r="D52" s="9" t="s">
        <v>72</v>
      </c>
      <c r="E52" s="10" t="s">
        <v>176</v>
      </c>
      <c r="F52" s="7" t="s">
        <v>470</v>
      </c>
      <c r="G52" s="10" t="s">
        <v>259</v>
      </c>
      <c r="H52" s="9" t="s">
        <v>395</v>
      </c>
      <c r="I52" s="10" t="s">
        <v>433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6</v>
      </c>
      <c r="D53" s="7" t="s">
        <v>73</v>
      </c>
      <c r="E53" s="8" t="s">
        <v>177</v>
      </c>
      <c r="F53" s="7" t="s">
        <v>245</v>
      </c>
      <c r="G53" s="8" t="s">
        <v>315</v>
      </c>
      <c r="H53" s="7" t="s">
        <v>372</v>
      </c>
      <c r="I53" s="8" t="s">
        <v>469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14</v>
      </c>
      <c r="D54" s="9" t="s">
        <v>74</v>
      </c>
      <c r="E54" s="10" t="s">
        <v>178</v>
      </c>
      <c r="F54" s="9" t="s">
        <v>260</v>
      </c>
      <c r="G54" s="10" t="s">
        <v>316</v>
      </c>
      <c r="H54" s="9" t="s">
        <v>396</v>
      </c>
      <c r="I54" s="8" t="s">
        <v>469</v>
      </c>
      <c r="J54" s="9">
        <v>6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14</v>
      </c>
      <c r="D55" s="7" t="s">
        <v>75</v>
      </c>
      <c r="E55" s="8" t="s">
        <v>179</v>
      </c>
      <c r="F55" s="7" t="s">
        <v>260</v>
      </c>
      <c r="G55" s="8" t="s">
        <v>317</v>
      </c>
      <c r="H55" s="7" t="s">
        <v>396</v>
      </c>
      <c r="I55" s="8" t="s">
        <v>469</v>
      </c>
      <c r="J55" s="7">
        <v>1</v>
      </c>
      <c r="K55" s="7"/>
    </row>
    <row r="56" spans="1:11" ht="36.75" thickBot="1" x14ac:dyDescent="0.3">
      <c r="A56" s="1"/>
      <c r="B56" s="11">
        <f t="shared" si="0"/>
        <v>54</v>
      </c>
      <c r="C56" s="13" t="s">
        <v>14</v>
      </c>
      <c r="D56" s="9" t="s">
        <v>76</v>
      </c>
      <c r="E56" s="10" t="s">
        <v>180</v>
      </c>
      <c r="F56" s="9" t="s">
        <v>260</v>
      </c>
      <c r="G56" s="10" t="s">
        <v>318</v>
      </c>
      <c r="H56" s="9" t="s">
        <v>396</v>
      </c>
      <c r="I56" s="8" t="s">
        <v>469</v>
      </c>
      <c r="J56" s="9">
        <v>16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15</v>
      </c>
      <c r="D57" s="7" t="s">
        <v>77</v>
      </c>
      <c r="E57" s="8" t="s">
        <v>181</v>
      </c>
      <c r="F57" s="7" t="s">
        <v>261</v>
      </c>
      <c r="G57" s="8" t="s">
        <v>319</v>
      </c>
      <c r="H57" s="7" t="s">
        <v>397</v>
      </c>
      <c r="I57" s="8" t="s">
        <v>469</v>
      </c>
      <c r="J57" s="7">
        <v>2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16</v>
      </c>
      <c r="D58" s="9" t="s">
        <v>78</v>
      </c>
      <c r="E58" s="10" t="s">
        <v>182</v>
      </c>
      <c r="F58" s="9" t="s">
        <v>262</v>
      </c>
      <c r="G58" s="10" t="s">
        <v>320</v>
      </c>
      <c r="H58" s="9" t="s">
        <v>398</v>
      </c>
      <c r="I58" s="8" t="s">
        <v>469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17</v>
      </c>
      <c r="D59" s="7" t="s">
        <v>79</v>
      </c>
      <c r="E59" s="8" t="s">
        <v>183</v>
      </c>
      <c r="F59" s="7" t="s">
        <v>263</v>
      </c>
      <c r="G59" s="8" t="s">
        <v>321</v>
      </c>
      <c r="H59" s="7" t="s">
        <v>399</v>
      </c>
      <c r="I59" s="8" t="s">
        <v>434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17</v>
      </c>
      <c r="D60" s="9" t="s">
        <v>80</v>
      </c>
      <c r="E60" s="10" t="s">
        <v>184</v>
      </c>
      <c r="F60" s="9" t="s">
        <v>264</v>
      </c>
      <c r="G60" s="10" t="s">
        <v>322</v>
      </c>
      <c r="H60" s="9" t="s">
        <v>400</v>
      </c>
      <c r="I60" s="10" t="s">
        <v>435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17</v>
      </c>
      <c r="D61" s="7" t="s">
        <v>81</v>
      </c>
      <c r="E61" s="8" t="s">
        <v>185</v>
      </c>
      <c r="F61" s="7" t="s">
        <v>263</v>
      </c>
      <c r="G61" s="8" t="s">
        <v>323</v>
      </c>
      <c r="H61" s="7" t="s">
        <v>370</v>
      </c>
      <c r="I61" s="8" t="s">
        <v>436</v>
      </c>
      <c r="J61" s="7">
        <v>2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18</v>
      </c>
      <c r="D62" s="9" t="s">
        <v>82</v>
      </c>
      <c r="E62" s="10" t="s">
        <v>186</v>
      </c>
      <c r="F62" s="9" t="s">
        <v>263</v>
      </c>
      <c r="G62" s="10" t="s">
        <v>324</v>
      </c>
      <c r="H62" s="9" t="s">
        <v>370</v>
      </c>
      <c r="I62" s="10" t="s">
        <v>437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18</v>
      </c>
      <c r="D63" s="7" t="s">
        <v>83</v>
      </c>
      <c r="E63" s="8" t="s">
        <v>187</v>
      </c>
      <c r="F63" s="7" t="s">
        <v>263</v>
      </c>
      <c r="G63" s="8" t="s">
        <v>325</v>
      </c>
      <c r="H63" s="7" t="s">
        <v>401</v>
      </c>
      <c r="I63" s="8" t="s">
        <v>438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18</v>
      </c>
      <c r="D64" s="9" t="s">
        <v>84</v>
      </c>
      <c r="E64" s="10" t="s">
        <v>188</v>
      </c>
      <c r="F64" s="9" t="s">
        <v>263</v>
      </c>
      <c r="G64" s="10" t="s">
        <v>326</v>
      </c>
      <c r="H64" s="9" t="s">
        <v>370</v>
      </c>
      <c r="I64" s="10" t="s">
        <v>439</v>
      </c>
      <c r="J64" s="9">
        <v>9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18</v>
      </c>
      <c r="D65" s="7" t="s">
        <v>85</v>
      </c>
      <c r="E65" s="8" t="s">
        <v>189</v>
      </c>
      <c r="F65" s="7" t="s">
        <v>263</v>
      </c>
      <c r="G65" s="8" t="s">
        <v>327</v>
      </c>
      <c r="H65" s="7" t="s">
        <v>370</v>
      </c>
      <c r="I65" s="8" t="s">
        <v>440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18</v>
      </c>
      <c r="D66" s="9" t="s">
        <v>86</v>
      </c>
      <c r="E66" s="10" t="s">
        <v>190</v>
      </c>
      <c r="F66" s="9" t="s">
        <v>263</v>
      </c>
      <c r="G66" s="10" t="s">
        <v>328</v>
      </c>
      <c r="H66" s="9" t="s">
        <v>370</v>
      </c>
      <c r="I66" s="10" t="s">
        <v>441</v>
      </c>
      <c r="J66" s="9">
        <v>17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18</v>
      </c>
      <c r="D67" s="7" t="s">
        <v>87</v>
      </c>
      <c r="E67" s="8" t="s">
        <v>191</v>
      </c>
      <c r="F67" s="7" t="s">
        <v>263</v>
      </c>
      <c r="G67" s="8" t="s">
        <v>329</v>
      </c>
      <c r="H67" s="7" t="s">
        <v>370</v>
      </c>
      <c r="I67" s="8" t="s">
        <v>442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2" t="s">
        <v>18</v>
      </c>
      <c r="D68" s="9" t="s">
        <v>88</v>
      </c>
      <c r="E68" s="10" t="s">
        <v>192</v>
      </c>
      <c r="F68" s="9" t="s">
        <v>263</v>
      </c>
      <c r="G68" s="10" t="s">
        <v>330</v>
      </c>
      <c r="H68" s="9" t="s">
        <v>370</v>
      </c>
      <c r="I68" s="10" t="s">
        <v>443</v>
      </c>
      <c r="J68" s="9">
        <v>1</v>
      </c>
      <c r="K68" s="9"/>
    </row>
    <row r="69" spans="1:11" ht="36.75" thickBot="1" x14ac:dyDescent="0.3">
      <c r="A69" s="1"/>
      <c r="B69" s="11">
        <f>ROW(B69) - ROW($B$2)</f>
        <v>67</v>
      </c>
      <c r="C69" s="12" t="s">
        <v>18</v>
      </c>
      <c r="D69" s="7" t="s">
        <v>89</v>
      </c>
      <c r="E69" s="8" t="s">
        <v>193</v>
      </c>
      <c r="F69" s="7" t="s">
        <v>263</v>
      </c>
      <c r="G69" s="8" t="s">
        <v>331</v>
      </c>
      <c r="H69" s="7" t="s">
        <v>402</v>
      </c>
      <c r="I69" s="8" t="s">
        <v>444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18</v>
      </c>
      <c r="D70" s="9" t="s">
        <v>90</v>
      </c>
      <c r="E70" s="10" t="s">
        <v>194</v>
      </c>
      <c r="F70" s="9" t="s">
        <v>263</v>
      </c>
      <c r="G70" s="10" t="s">
        <v>332</v>
      </c>
      <c r="H70" s="9" t="s">
        <v>370</v>
      </c>
      <c r="I70" s="10" t="s">
        <v>445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18</v>
      </c>
      <c r="D71" s="7" t="s">
        <v>91</v>
      </c>
      <c r="E71" s="8" t="s">
        <v>195</v>
      </c>
      <c r="F71" s="7" t="s">
        <v>263</v>
      </c>
      <c r="G71" s="8" t="s">
        <v>333</v>
      </c>
      <c r="H71" s="7" t="s">
        <v>370</v>
      </c>
      <c r="I71" s="8" t="s">
        <v>446</v>
      </c>
      <c r="J71" s="7">
        <v>1</v>
      </c>
      <c r="K71" s="7"/>
    </row>
    <row r="72" spans="1:11" ht="36.75" thickBot="1" x14ac:dyDescent="0.3">
      <c r="A72" s="1"/>
      <c r="B72" s="11">
        <f t="shared" si="0"/>
        <v>70</v>
      </c>
      <c r="C72" s="12" t="s">
        <v>18</v>
      </c>
      <c r="D72" s="9" t="s">
        <v>92</v>
      </c>
      <c r="E72" s="10" t="s">
        <v>196</v>
      </c>
      <c r="F72" s="9" t="s">
        <v>265</v>
      </c>
      <c r="G72" s="10" t="s">
        <v>334</v>
      </c>
      <c r="H72" s="9" t="s">
        <v>402</v>
      </c>
      <c r="I72" s="10" t="s">
        <v>447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18</v>
      </c>
      <c r="D73" s="7" t="s">
        <v>93</v>
      </c>
      <c r="E73" s="8" t="s">
        <v>197</v>
      </c>
      <c r="F73" s="7" t="s">
        <v>263</v>
      </c>
      <c r="G73" s="8" t="s">
        <v>335</v>
      </c>
      <c r="H73" s="7" t="s">
        <v>370</v>
      </c>
      <c r="I73" s="8" t="s">
        <v>448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2" t="s">
        <v>18</v>
      </c>
      <c r="D74" s="9" t="s">
        <v>94</v>
      </c>
      <c r="E74" s="10" t="s">
        <v>198</v>
      </c>
      <c r="F74" s="9" t="s">
        <v>266</v>
      </c>
      <c r="G74" s="10" t="s">
        <v>336</v>
      </c>
      <c r="H74" s="9" t="s">
        <v>370</v>
      </c>
      <c r="I74" s="10" t="s">
        <v>449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18</v>
      </c>
      <c r="D75" s="7" t="s">
        <v>95</v>
      </c>
      <c r="E75" s="8" t="s">
        <v>199</v>
      </c>
      <c r="F75" s="7" t="s">
        <v>263</v>
      </c>
      <c r="G75" s="8" t="s">
        <v>337</v>
      </c>
      <c r="H75" s="7" t="s">
        <v>370</v>
      </c>
      <c r="I75" s="8" t="s">
        <v>450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2" t="s">
        <v>18</v>
      </c>
      <c r="D76" s="9" t="s">
        <v>96</v>
      </c>
      <c r="E76" s="10" t="s">
        <v>200</v>
      </c>
      <c r="F76" s="9" t="s">
        <v>263</v>
      </c>
      <c r="G76" s="10" t="s">
        <v>338</v>
      </c>
      <c r="H76" s="9" t="s">
        <v>370</v>
      </c>
      <c r="I76" s="10" t="s">
        <v>451</v>
      </c>
      <c r="J76" s="9">
        <v>1</v>
      </c>
      <c r="K76" s="9"/>
    </row>
    <row r="77" spans="1:11" s="18" customFormat="1" ht="15.75" thickBot="1" x14ac:dyDescent="0.3">
      <c r="A77" s="17"/>
      <c r="B77" s="11">
        <f>ROW(B77) - ROW($B$2)</f>
        <v>75</v>
      </c>
      <c r="C77" s="12" t="s">
        <v>18</v>
      </c>
      <c r="D77" s="14" t="s">
        <v>97</v>
      </c>
      <c r="E77" s="15" t="s">
        <v>201</v>
      </c>
      <c r="F77" s="14" t="s">
        <v>266</v>
      </c>
      <c r="G77" s="15" t="s">
        <v>339</v>
      </c>
      <c r="H77" s="14" t="s">
        <v>370</v>
      </c>
      <c r="I77" s="15" t="s">
        <v>422</v>
      </c>
      <c r="J77" s="14">
        <v>2</v>
      </c>
      <c r="K77" s="16" t="s">
        <v>472</v>
      </c>
    </row>
    <row r="78" spans="1:11" ht="15.75" thickBot="1" x14ac:dyDescent="0.3">
      <c r="A78" s="1"/>
      <c r="B78" s="11">
        <f t="shared" si="0"/>
        <v>76</v>
      </c>
      <c r="C78" s="12" t="s">
        <v>18</v>
      </c>
      <c r="D78" s="9" t="s">
        <v>98</v>
      </c>
      <c r="E78" s="10" t="s">
        <v>202</v>
      </c>
      <c r="F78" s="9" t="s">
        <v>263</v>
      </c>
      <c r="G78" s="10" t="s">
        <v>340</v>
      </c>
      <c r="H78" s="9" t="s">
        <v>370</v>
      </c>
      <c r="I78" s="10" t="s">
        <v>452</v>
      </c>
      <c r="J78" s="9">
        <v>2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18</v>
      </c>
      <c r="D79" s="7" t="s">
        <v>99</v>
      </c>
      <c r="E79" s="8" t="s">
        <v>203</v>
      </c>
      <c r="F79" s="7" t="s">
        <v>263</v>
      </c>
      <c r="G79" s="8" t="s">
        <v>341</v>
      </c>
      <c r="H79" s="7" t="s">
        <v>370</v>
      </c>
      <c r="I79" s="8" t="s">
        <v>453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2" t="s">
        <v>18</v>
      </c>
      <c r="D80" s="9" t="s">
        <v>100</v>
      </c>
      <c r="E80" s="10" t="s">
        <v>201</v>
      </c>
      <c r="F80" s="9" t="s">
        <v>266</v>
      </c>
      <c r="G80" s="10" t="s">
        <v>339</v>
      </c>
      <c r="H80" s="9" t="s">
        <v>370</v>
      </c>
      <c r="I80" s="10" t="s">
        <v>436</v>
      </c>
      <c r="J80" s="9">
        <v>2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18</v>
      </c>
      <c r="D81" s="7" t="s">
        <v>101</v>
      </c>
      <c r="E81" s="8" t="s">
        <v>204</v>
      </c>
      <c r="F81" s="7" t="s">
        <v>263</v>
      </c>
      <c r="G81" s="8" t="s">
        <v>342</v>
      </c>
      <c r="H81" s="7" t="s">
        <v>403</v>
      </c>
      <c r="I81" s="8" t="s">
        <v>454</v>
      </c>
      <c r="J81" s="7">
        <v>1</v>
      </c>
      <c r="K81" s="7"/>
    </row>
    <row r="82" spans="1:11" ht="36.75" thickBot="1" x14ac:dyDescent="0.3">
      <c r="A82" s="1"/>
      <c r="B82" s="11">
        <f t="shared" si="0"/>
        <v>80</v>
      </c>
      <c r="C82" s="12" t="s">
        <v>18</v>
      </c>
      <c r="D82" s="9" t="s">
        <v>102</v>
      </c>
      <c r="E82" s="10" t="s">
        <v>205</v>
      </c>
      <c r="F82" s="9" t="s">
        <v>266</v>
      </c>
      <c r="G82" s="10" t="s">
        <v>343</v>
      </c>
      <c r="H82" s="9"/>
      <c r="I82" s="10" t="s">
        <v>455</v>
      </c>
      <c r="J82" s="9">
        <v>2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18</v>
      </c>
      <c r="D83" s="7" t="s">
        <v>103</v>
      </c>
      <c r="E83" s="8" t="s">
        <v>206</v>
      </c>
      <c r="F83" s="7" t="s">
        <v>263</v>
      </c>
      <c r="G83" s="8" t="s">
        <v>344</v>
      </c>
      <c r="H83" s="7" t="s">
        <v>370</v>
      </c>
      <c r="I83" s="8" t="s">
        <v>456</v>
      </c>
      <c r="J83" s="7">
        <v>1</v>
      </c>
      <c r="K83" s="7"/>
    </row>
    <row r="84" spans="1:11" ht="24.75" thickBot="1" x14ac:dyDescent="0.3">
      <c r="A84" s="1"/>
      <c r="B84" s="11">
        <f t="shared" si="0"/>
        <v>82</v>
      </c>
      <c r="C84" s="12" t="s">
        <v>18</v>
      </c>
      <c r="D84" s="9" t="s">
        <v>104</v>
      </c>
      <c r="E84" s="10" t="s">
        <v>207</v>
      </c>
      <c r="F84" s="9" t="s">
        <v>263</v>
      </c>
      <c r="G84" s="10" t="s">
        <v>345</v>
      </c>
      <c r="H84" s="9" t="s">
        <v>370</v>
      </c>
      <c r="I84" s="10" t="s">
        <v>457</v>
      </c>
      <c r="J84" s="9">
        <v>13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18</v>
      </c>
      <c r="D85" s="7" t="s">
        <v>105</v>
      </c>
      <c r="E85" s="8" t="s">
        <v>208</v>
      </c>
      <c r="F85" s="7" t="s">
        <v>267</v>
      </c>
      <c r="G85" s="8" t="s">
        <v>346</v>
      </c>
      <c r="H85" s="7" t="s">
        <v>370</v>
      </c>
      <c r="I85" s="8" t="s">
        <v>458</v>
      </c>
      <c r="J85" s="7">
        <v>6</v>
      </c>
      <c r="K85" s="7"/>
    </row>
    <row r="86" spans="1:11" ht="15.75" thickBot="1" x14ac:dyDescent="0.3">
      <c r="A86" s="1"/>
      <c r="B86" s="11">
        <f t="shared" si="0"/>
        <v>84</v>
      </c>
      <c r="C86" s="12" t="s">
        <v>18</v>
      </c>
      <c r="D86" s="9" t="s">
        <v>106</v>
      </c>
      <c r="E86" s="10" t="s">
        <v>209</v>
      </c>
      <c r="F86" s="9" t="s">
        <v>266</v>
      </c>
      <c r="G86" s="10" t="s">
        <v>347</v>
      </c>
      <c r="H86" s="9" t="s">
        <v>370</v>
      </c>
      <c r="I86" s="10" t="s">
        <v>459</v>
      </c>
      <c r="J86" s="9">
        <v>2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18</v>
      </c>
      <c r="D87" s="7" t="s">
        <v>107</v>
      </c>
      <c r="E87" s="8" t="s">
        <v>210</v>
      </c>
      <c r="F87" s="7" t="s">
        <v>266</v>
      </c>
      <c r="G87" s="8" t="s">
        <v>348</v>
      </c>
      <c r="H87" s="7" t="s">
        <v>370</v>
      </c>
      <c r="I87" s="8" t="s">
        <v>460</v>
      </c>
      <c r="J87" s="7">
        <v>2</v>
      </c>
      <c r="K87" s="7"/>
    </row>
    <row r="88" spans="1:11" ht="15.75" thickBot="1" x14ac:dyDescent="0.3">
      <c r="A88" s="1"/>
      <c r="B88" s="11">
        <f t="shared" si="0"/>
        <v>86</v>
      </c>
      <c r="C88" s="12" t="s">
        <v>18</v>
      </c>
      <c r="D88" s="9" t="s">
        <v>108</v>
      </c>
      <c r="E88" s="10" t="s">
        <v>211</v>
      </c>
      <c r="F88" s="9" t="s">
        <v>263</v>
      </c>
      <c r="G88" s="10" t="s">
        <v>349</v>
      </c>
      <c r="H88" s="9" t="s">
        <v>370</v>
      </c>
      <c r="I88" s="10" t="s">
        <v>461</v>
      </c>
      <c r="J88" s="9">
        <v>1</v>
      </c>
      <c r="K88" s="9"/>
    </row>
    <row r="89" spans="1:11" s="18" customFormat="1" ht="15.75" thickBot="1" x14ac:dyDescent="0.3">
      <c r="A89" s="17"/>
      <c r="B89" s="11">
        <f>ROW(B89) - ROW($B$2)</f>
        <v>87</v>
      </c>
      <c r="C89" s="12" t="s">
        <v>18</v>
      </c>
      <c r="D89" s="14" t="s">
        <v>109</v>
      </c>
      <c r="E89" s="15" t="s">
        <v>207</v>
      </c>
      <c r="F89" s="14" t="s">
        <v>263</v>
      </c>
      <c r="G89" s="15" t="s">
        <v>345</v>
      </c>
      <c r="H89" s="14" t="s">
        <v>370</v>
      </c>
      <c r="I89" s="15" t="s">
        <v>422</v>
      </c>
      <c r="J89" s="14">
        <v>1</v>
      </c>
      <c r="K89" s="16" t="s">
        <v>472</v>
      </c>
    </row>
    <row r="90" spans="1:11" ht="15.75" thickBot="1" x14ac:dyDescent="0.3">
      <c r="A90" s="1"/>
      <c r="B90" s="11">
        <f t="shared" si="0"/>
        <v>88</v>
      </c>
      <c r="C90" s="12" t="s">
        <v>18</v>
      </c>
      <c r="D90" s="9" t="s">
        <v>110</v>
      </c>
      <c r="E90" s="10" t="s">
        <v>212</v>
      </c>
      <c r="F90" s="9" t="s">
        <v>266</v>
      </c>
      <c r="G90" s="10" t="s">
        <v>350</v>
      </c>
      <c r="H90" s="9" t="s">
        <v>370</v>
      </c>
      <c r="I90" s="10" t="s">
        <v>462</v>
      </c>
      <c r="J90" s="9">
        <v>8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18</v>
      </c>
      <c r="D91" s="7" t="s">
        <v>111</v>
      </c>
      <c r="E91" s="8" t="s">
        <v>213</v>
      </c>
      <c r="F91" s="7" t="s">
        <v>263</v>
      </c>
      <c r="G91" s="8" t="s">
        <v>351</v>
      </c>
      <c r="H91" s="7" t="s">
        <v>370</v>
      </c>
      <c r="I91" s="8" t="s">
        <v>436</v>
      </c>
      <c r="J91" s="7">
        <v>2</v>
      </c>
      <c r="K91" s="7"/>
    </row>
    <row r="92" spans="1:11" ht="15.75" thickBot="1" x14ac:dyDescent="0.3">
      <c r="A92" s="1"/>
      <c r="B92" s="11">
        <f t="shared" si="0"/>
        <v>90</v>
      </c>
      <c r="C92" s="12" t="s">
        <v>18</v>
      </c>
      <c r="D92" s="9" t="s">
        <v>112</v>
      </c>
      <c r="E92" s="10" t="s">
        <v>214</v>
      </c>
      <c r="F92" s="9" t="s">
        <v>263</v>
      </c>
      <c r="G92" s="10" t="s">
        <v>352</v>
      </c>
      <c r="H92" s="9" t="s">
        <v>370</v>
      </c>
      <c r="I92" s="10" t="s">
        <v>463</v>
      </c>
      <c r="J92" s="9">
        <v>2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19</v>
      </c>
      <c r="D93" s="7" t="s">
        <v>113</v>
      </c>
      <c r="E93" s="8" t="s">
        <v>215</v>
      </c>
      <c r="F93" s="7" t="s">
        <v>268</v>
      </c>
      <c r="G93" s="8" t="s">
        <v>268</v>
      </c>
      <c r="H93" s="7" t="s">
        <v>404</v>
      </c>
      <c r="I93" s="8" t="s">
        <v>469</v>
      </c>
      <c r="J93" s="7">
        <v>2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16</v>
      </c>
      <c r="D94" s="9" t="s">
        <v>114</v>
      </c>
      <c r="E94" s="10" t="s">
        <v>216</v>
      </c>
      <c r="F94" s="9" t="s">
        <v>269</v>
      </c>
      <c r="G94" s="10" t="s">
        <v>353</v>
      </c>
      <c r="H94" s="9" t="s">
        <v>398</v>
      </c>
      <c r="I94" s="8" t="s">
        <v>469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16</v>
      </c>
      <c r="D95" s="7" t="s">
        <v>115</v>
      </c>
      <c r="E95" s="8" t="s">
        <v>217</v>
      </c>
      <c r="F95" s="7" t="s">
        <v>270</v>
      </c>
      <c r="G95" s="8" t="s">
        <v>354</v>
      </c>
      <c r="H95" s="7" t="s">
        <v>377</v>
      </c>
      <c r="I95" s="8" t="s">
        <v>469</v>
      </c>
      <c r="J95" s="7">
        <v>1</v>
      </c>
      <c r="K95" s="7"/>
    </row>
    <row r="96" spans="1:11" ht="24.75" thickBot="1" x14ac:dyDescent="0.3">
      <c r="A96" s="1"/>
      <c r="B96" s="11">
        <f t="shared" si="0"/>
        <v>94</v>
      </c>
      <c r="C96" s="13" t="s">
        <v>16</v>
      </c>
      <c r="D96" s="9" t="s">
        <v>116</v>
      </c>
      <c r="E96" s="10" t="s">
        <v>218</v>
      </c>
      <c r="F96" s="9" t="s">
        <v>271</v>
      </c>
      <c r="G96" s="10" t="s">
        <v>355</v>
      </c>
      <c r="H96" s="9" t="s">
        <v>398</v>
      </c>
      <c r="I96" s="8" t="s">
        <v>469</v>
      </c>
      <c r="J96" s="9">
        <v>1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16</v>
      </c>
      <c r="D97" s="7" t="s">
        <v>117</v>
      </c>
      <c r="E97" s="8" t="s">
        <v>219</v>
      </c>
      <c r="F97" s="7" t="s">
        <v>272</v>
      </c>
      <c r="G97" s="8" t="s">
        <v>356</v>
      </c>
      <c r="H97" s="7" t="s">
        <v>376</v>
      </c>
      <c r="I97" s="8" t="s">
        <v>469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20</v>
      </c>
      <c r="D98" s="9" t="s">
        <v>118</v>
      </c>
      <c r="E98" s="10" t="s">
        <v>220</v>
      </c>
      <c r="F98" s="9" t="s">
        <v>273</v>
      </c>
      <c r="G98" s="10" t="s">
        <v>357</v>
      </c>
      <c r="H98" s="9" t="s">
        <v>377</v>
      </c>
      <c r="I98" s="8" t="s">
        <v>469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16</v>
      </c>
      <c r="D99" s="7" t="s">
        <v>119</v>
      </c>
      <c r="E99" s="8" t="s">
        <v>221</v>
      </c>
      <c r="F99" s="7" t="s">
        <v>274</v>
      </c>
      <c r="G99" s="8" t="s">
        <v>358</v>
      </c>
      <c r="H99" s="7" t="s">
        <v>398</v>
      </c>
      <c r="I99" s="8" t="s">
        <v>469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16</v>
      </c>
      <c r="D100" s="9" t="s">
        <v>120</v>
      </c>
      <c r="E100" s="10" t="s">
        <v>222</v>
      </c>
      <c r="F100" s="9" t="s">
        <v>275</v>
      </c>
      <c r="G100" s="10" t="s">
        <v>359</v>
      </c>
      <c r="H100" s="9" t="s">
        <v>398</v>
      </c>
      <c r="I100" s="8" t="s">
        <v>469</v>
      </c>
      <c r="J100" s="9">
        <v>2</v>
      </c>
      <c r="K100" s="9"/>
    </row>
    <row r="101" spans="1:11" ht="24.75" thickBot="1" x14ac:dyDescent="0.3">
      <c r="A101" s="1"/>
      <c r="B101" s="11">
        <f>ROW(B101) - ROW($B$2)</f>
        <v>99</v>
      </c>
      <c r="C101" s="12" t="s">
        <v>16</v>
      </c>
      <c r="D101" s="7" t="s">
        <v>121</v>
      </c>
      <c r="E101" s="8" t="s">
        <v>223</v>
      </c>
      <c r="F101" s="7" t="s">
        <v>276</v>
      </c>
      <c r="G101" s="8" t="s">
        <v>360</v>
      </c>
      <c r="H101" s="7" t="s">
        <v>405</v>
      </c>
      <c r="I101" s="8" t="s">
        <v>469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16</v>
      </c>
      <c r="D102" s="9" t="s">
        <v>122</v>
      </c>
      <c r="E102" s="10" t="s">
        <v>224</v>
      </c>
      <c r="F102" s="9" t="s">
        <v>277</v>
      </c>
      <c r="G102" s="10" t="s">
        <v>361</v>
      </c>
      <c r="H102" s="9" t="s">
        <v>406</v>
      </c>
      <c r="I102" s="8" t="s">
        <v>469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16</v>
      </c>
      <c r="D103" s="7" t="s">
        <v>123</v>
      </c>
      <c r="E103" s="8" t="s">
        <v>225</v>
      </c>
      <c r="F103" s="7" t="s">
        <v>471</v>
      </c>
      <c r="G103" s="8" t="s">
        <v>362</v>
      </c>
      <c r="H103" s="7" t="s">
        <v>398</v>
      </c>
      <c r="I103" s="8" t="s">
        <v>469</v>
      </c>
      <c r="J103" s="7">
        <v>3</v>
      </c>
      <c r="K103" s="7"/>
    </row>
    <row r="104" spans="1:11" ht="24.75" thickBot="1" x14ac:dyDescent="0.3">
      <c r="A104" s="1"/>
      <c r="B104" s="11">
        <f t="shared" si="0"/>
        <v>102</v>
      </c>
      <c r="C104" s="13" t="s">
        <v>21</v>
      </c>
      <c r="D104" s="14" t="s">
        <v>124</v>
      </c>
      <c r="E104" s="15" t="s">
        <v>226</v>
      </c>
      <c r="F104" s="14" t="s">
        <v>278</v>
      </c>
      <c r="G104" s="15" t="s">
        <v>363</v>
      </c>
      <c r="H104" s="14" t="s">
        <v>407</v>
      </c>
      <c r="I104" s="15" t="s">
        <v>422</v>
      </c>
      <c r="J104" s="14">
        <v>1</v>
      </c>
      <c r="K104" s="16" t="s">
        <v>472</v>
      </c>
    </row>
    <row r="105" spans="1:11" ht="24.75" thickBot="1" x14ac:dyDescent="0.3">
      <c r="A105" s="1"/>
      <c r="B105" s="11">
        <f>ROW(B105) - ROW($B$2)</f>
        <v>103</v>
      </c>
      <c r="C105" s="12" t="s">
        <v>21</v>
      </c>
      <c r="D105" s="7" t="s">
        <v>125</v>
      </c>
      <c r="E105" s="8" t="s">
        <v>227</v>
      </c>
      <c r="F105" s="7" t="s">
        <v>470</v>
      </c>
      <c r="G105" s="8" t="s">
        <v>364</v>
      </c>
      <c r="H105" s="7" t="s">
        <v>408</v>
      </c>
      <c r="I105" s="8" t="s">
        <v>464</v>
      </c>
      <c r="J105" s="7">
        <v>1</v>
      </c>
      <c r="K105" s="7"/>
    </row>
    <row r="106" spans="1:11" ht="24.75" thickBot="1" x14ac:dyDescent="0.3">
      <c r="A106" s="1"/>
      <c r="B106" s="11">
        <f t="shared" si="0"/>
        <v>104</v>
      </c>
      <c r="C106" s="13" t="s">
        <v>21</v>
      </c>
      <c r="D106" s="9" t="s">
        <v>126</v>
      </c>
      <c r="E106" s="10" t="s">
        <v>228</v>
      </c>
      <c r="F106" s="9" t="s">
        <v>279</v>
      </c>
      <c r="G106" s="10" t="s">
        <v>365</v>
      </c>
      <c r="H106" s="9" t="s">
        <v>409</v>
      </c>
      <c r="I106" s="10" t="s">
        <v>465</v>
      </c>
      <c r="J106" s="9">
        <v>1</v>
      </c>
      <c r="K10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2024-08-27T11:51:04Z</dcterms:modified>
</cp:coreProperties>
</file>