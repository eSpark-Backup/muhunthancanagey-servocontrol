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Relay-Driver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4" i="1" l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<sst xmlns="http://schemas.openxmlformats.org/spreadsheetml/2006/main" count="303" uniqueCount="211">
  <si>
    <t>#</t>
  </si>
  <si>
    <t>Item Type</t>
  </si>
  <si>
    <t>Capacitor</t>
  </si>
  <si>
    <t>Diode</t>
  </si>
  <si>
    <t>Fuse Holder</t>
  </si>
  <si>
    <t>Terminal Blocks</t>
  </si>
  <si>
    <t>Male Header</t>
  </si>
  <si>
    <t>JST Connector</t>
  </si>
  <si>
    <t>Terminal Block</t>
  </si>
  <si>
    <t>Relay</t>
  </si>
  <si>
    <t>Inductor</t>
  </si>
  <si>
    <t>LED</t>
  </si>
  <si>
    <t>IC</t>
  </si>
  <si>
    <t>Resistor</t>
  </si>
  <si>
    <t>Resistors</t>
  </si>
  <si>
    <t>Designator</t>
  </si>
  <si>
    <t>C1, C29, C30, C31</t>
  </si>
  <si>
    <t>C2, C3, C4, C22, C23</t>
  </si>
  <si>
    <t>C5, C6, C7, C8, C9, C10, C11, C12, C13, C14</t>
  </si>
  <si>
    <t>C15</t>
  </si>
  <si>
    <t>C16, C17, C18</t>
  </si>
  <si>
    <t>C19, C20, C21</t>
  </si>
  <si>
    <t>C24, C25</t>
  </si>
  <si>
    <t>C26</t>
  </si>
  <si>
    <t>C27</t>
  </si>
  <si>
    <t>C28</t>
  </si>
  <si>
    <t>C32</t>
  </si>
  <si>
    <t>D1, D2, D5</t>
  </si>
  <si>
    <t>D3</t>
  </si>
  <si>
    <t>D4</t>
  </si>
  <si>
    <t>J1</t>
  </si>
  <si>
    <t>J2</t>
  </si>
  <si>
    <t>J3, J4, J6, J7</t>
  </si>
  <si>
    <t>J5</t>
  </si>
  <si>
    <t>J8, J9, J10, J11</t>
  </si>
  <si>
    <t>K1, K2, K3, K4</t>
  </si>
  <si>
    <t>L1</t>
  </si>
  <si>
    <t>L2</t>
  </si>
  <si>
    <t>LED1, LED2, LED3</t>
  </si>
  <si>
    <t>LED4, LED5, LED6, LED7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</si>
  <si>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</si>
  <si>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</si>
  <si>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</si>
  <si>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</si>
  <si>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</si>
  <si>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</si>
  <si>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</si>
  <si>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</si>
  <si>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</si>
  <si>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</si>
  <si>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</si>
  <si>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</si>
  <si>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</si>
  <si>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</si>
  <si>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R14, R15, R16, R17</t>
  </si>
  <si>
    <t>U1</t>
  </si>
  <si>
    <t>U2</t>
  </si>
  <si>
    <t>U3</t>
  </si>
  <si>
    <t>Description</t>
  </si>
  <si>
    <t>CAP CER 0.1UF 50V X5R 0603</t>
  </si>
  <si>
    <t>CAP CER 4.7UF 50V X5R 1206</t>
  </si>
  <si>
    <t>CAP CER 10000PF 50V X7R 0402</t>
  </si>
  <si>
    <t>CAP CER 100PF 50V C0G/NPO 0402</t>
  </si>
  <si>
    <t>CAP CER 22UF 25V X5R 0805</t>
  </si>
  <si>
    <t>CAP ALUM 220UF 20% 50V SMD</t>
  </si>
  <si>
    <t>100V 22uF X7R ±10% 2220 Multilayer Ceramic Capacitors MLCC - SMD/SMT ROHS</t>
  </si>
  <si>
    <t>CAP CER 1UF 100V X7R 1206</t>
  </si>
  <si>
    <t>CAP CER 1UF 25V X5R 0402</t>
  </si>
  <si>
    <t>CAP CER 0.047UF 50V X7R 0402</t>
  </si>
  <si>
    <t>CAP CER 1nF 100V X7R 0603</t>
  </si>
  <si>
    <t>DIODE SCHOTTKY 60V 5A SMA</t>
  </si>
  <si>
    <t>TVS DIODE 28VWM 45.4VC SMB</t>
  </si>
  <si>
    <t>DIODE SCHOTTKY 100V 20A D2PAK</t>
  </si>
  <si>
    <t>FUSE HOLDER BLADE 80V PCB</t>
  </si>
  <si>
    <t>TERM BLK 2P SIDE ENT 5.08MM PCB</t>
  </si>
  <si>
    <t>3A Straight Square Pins 2.5mm 6P 6mm -40℃~+105℃ 3mm 2.54mm 双排 Black 2x3P 2.54mm Plugin,P=2.54mm Pin Headers ROHS</t>
  </si>
  <si>
    <t>Conn Shrouded Header HDR 5 POS 2.5mm Solder ST Thru-Hole Box</t>
  </si>
  <si>
    <t>1x3P 18A -40℃~+105℃ 250V Black 12~30 Straight pin 5.08mm 2.5 1 3 Plugin,P=5.08mm Screw terminal ROHS</t>
  </si>
  <si>
    <t>24V 8A One Conversion: 1C (SPDT-Conversion) DIP,10.6x15.7mm Power Relays ROHS</t>
  </si>
  <si>
    <t>Fixed Ind 6.8UH 12A 13.5MOHM SMD</t>
  </si>
  <si>
    <t>13.8A 15uH Integrated molded inductor ±20% 15.5A SMD,11.9x11mm Power Inductors ROHS</t>
  </si>
  <si>
    <t>RED LED 0603 Light Emitting Diodes</t>
  </si>
  <si>
    <t>blue 0603 Light Emitting Diodes (LED) ROHS</t>
  </si>
  <si>
    <t>MOSFET N-CH 100V 15A 8VSON</t>
  </si>
  <si>
    <t>RES 7.5K OHM 1% 1/16W 0402</t>
  </si>
  <si>
    <t>RES SMD 20K OHM 0.1% 1/16W 0402</t>
  </si>
  <si>
    <t>RES SMD 196K OHM 0.1% 1/10W 0603</t>
  </si>
  <si>
    <t>RES 3.9K OHM 1% 1/16W 0402</t>
  </si>
  <si>
    <t>RES SMD 10K OHM 0.1% 1/16W 0402</t>
  </si>
  <si>
    <t>RES 1.5K OHM 1% 1/16W 0402</t>
  </si>
  <si>
    <t>RES SMD 511 OHM 1% 1/16W 0402</t>
  </si>
  <si>
    <t>RES 100 OHM 1% 1/16W 0402</t>
  </si>
  <si>
    <t>RES SMD 120K OHM 0.1% 1/16W 0402</t>
  </si>
  <si>
    <t>RES 48.7K OHM 1% 1/10W 0603</t>
  </si>
  <si>
    <t>RES SMD 2.94KOHM 0.1% 1/16W 0402</t>
  </si>
  <si>
    <t>RES 2.49K OHM 1% 1/16W 0402</t>
  </si>
  <si>
    <t>RES 0.008 OHM 1% 2W 2512</t>
  </si>
  <si>
    <t>RES 3.3K OHM 1% 1/16W 0402</t>
  </si>
  <si>
    <t>IC REG BUCK ADJ 6A 10VQFN</t>
  </si>
  <si>
    <t>IC PWR RELAY 7NPN 1:1 16SOIC</t>
  </si>
  <si>
    <t>2.2MHZ WIDE INPUT NONSYNCHRONOUS</t>
  </si>
  <si>
    <t>Footprint</t>
  </si>
  <si>
    <t>Cap-0603</t>
  </si>
  <si>
    <t>Cap-1206</t>
  </si>
  <si>
    <t>Cap-0402</t>
  </si>
  <si>
    <t>Cap-0805</t>
  </si>
  <si>
    <t>UCD-220uF-10mmDia</t>
  </si>
  <si>
    <t>Cap 2220</t>
  </si>
  <si>
    <t>SMA</t>
  </si>
  <si>
    <t>SMB_</t>
  </si>
  <si>
    <t>D2Pak.</t>
  </si>
  <si>
    <t>178.6165.0002</t>
  </si>
  <si>
    <t>PH-01291</t>
  </si>
  <si>
    <t>DB128L-5.08-3P-BK-S</t>
  </si>
  <si>
    <t>HFD16/24-ZFH-3N</t>
  </si>
  <si>
    <t>MWSA1206S-6R8MT</t>
  </si>
  <si>
    <t>FEXL1010A-150M</t>
  </si>
  <si>
    <t>LED-0603</t>
  </si>
  <si>
    <t>VSONP-8(3.1x3.1)</t>
  </si>
  <si>
    <t>Res-0402</t>
  </si>
  <si>
    <t>Res-0603</t>
  </si>
  <si>
    <t>RES-2512</t>
  </si>
  <si>
    <t>10-VQFN-HR (3x3)</t>
  </si>
  <si>
    <t>HTSSOP-14-EP</t>
  </si>
  <si>
    <t>Manufacturer Part Number</t>
  </si>
  <si>
    <t>CC0603KRX5R9BB104</t>
  </si>
  <si>
    <t>CL31A475KB9LNNC</t>
  </si>
  <si>
    <t>CC0402KRX7R9BB103</t>
  </si>
  <si>
    <t>CC0402JRNPO9BN101</t>
  </si>
  <si>
    <t>CC0805MKX5R8BB226</t>
  </si>
  <si>
    <t>UCD1H221MNL1GS</t>
  </si>
  <si>
    <t>FS55X226K101LRG</t>
  </si>
  <si>
    <t>GRM31CR72A105KA01K</t>
  </si>
  <si>
    <t>CC0402KRX5R8BB105</t>
  </si>
  <si>
    <t>CC0402KRX7R9BB473</t>
  </si>
  <si>
    <t>CL10B102KC8NNNC</t>
  </si>
  <si>
    <t>SS56</t>
  </si>
  <si>
    <t>SMBJ28A-13-F</t>
  </si>
  <si>
    <t>STPS20M100SG-TR</t>
  </si>
  <si>
    <t>B5B-XH-A(LF)(SN)</t>
  </si>
  <si>
    <t>NCD0603R3</t>
  </si>
  <si>
    <t>NCD0603B3</t>
  </si>
  <si>
    <t>CSD19538Q3A</t>
  </si>
  <si>
    <t>RC0402FR-077K5L</t>
  </si>
  <si>
    <t>RT0402BRD0720KL</t>
  </si>
  <si>
    <t>RT0603BRE07196KL</t>
  </si>
  <si>
    <t>RC0402FR-073K9L</t>
  </si>
  <si>
    <t>RT0402BRD0710KL</t>
  </si>
  <si>
    <t>RC0402FR-071K5L</t>
  </si>
  <si>
    <t>AC0402FR-07511RL</t>
  </si>
  <si>
    <t>RC0402FR-07100RL</t>
  </si>
  <si>
    <t>RT0402BRD07120KL</t>
  </si>
  <si>
    <t>RC0603FR-0748K7L</t>
  </si>
  <si>
    <t>RT0402BRD072K94L</t>
  </si>
  <si>
    <t>RC0402FR-072K49L</t>
  </si>
  <si>
    <t>PMR100HZPFU8L00</t>
  </si>
  <si>
    <t>RC0402FR-073K3L</t>
  </si>
  <si>
    <t>TPS56637RPAR</t>
  </si>
  <si>
    <t>ULN2003AIDR</t>
  </si>
  <si>
    <t>LM5156HPWPR</t>
  </si>
  <si>
    <t>Manufacturer</t>
  </si>
  <si>
    <t>Yageo</t>
  </si>
  <si>
    <t>Samsung</t>
  </si>
  <si>
    <t>Nichicon</t>
  </si>
  <si>
    <t>PSA</t>
  </si>
  <si>
    <t>Murata</t>
  </si>
  <si>
    <t>MDD</t>
  </si>
  <si>
    <t>Diodes</t>
  </si>
  <si>
    <t>STMicroelectronics</t>
  </si>
  <si>
    <t>Littelfuse Wickmann</t>
  </si>
  <si>
    <t>Phoenix Contact</t>
  </si>
  <si>
    <t>Liansheng</t>
  </si>
  <si>
    <t>JST</t>
  </si>
  <si>
    <t>DIBO</t>
  </si>
  <si>
    <t>HF</t>
  </si>
  <si>
    <t>Sunlord</t>
  </si>
  <si>
    <t>cjiang</t>
  </si>
  <si>
    <t>Foshan NationStar Optoelectronics</t>
  </si>
  <si>
    <t>Texas Instruments</t>
  </si>
  <si>
    <t>Rohm</t>
  </si>
  <si>
    <t>100nF</t>
  </si>
  <si>
    <t>4.7uF</t>
  </si>
  <si>
    <t>10nF</t>
  </si>
  <si>
    <t>100pF</t>
  </si>
  <si>
    <t>22uF</t>
  </si>
  <si>
    <t>220uF</t>
  </si>
  <si>
    <t>1uF</t>
  </si>
  <si>
    <t>47nF</t>
  </si>
  <si>
    <t>1nF</t>
  </si>
  <si>
    <t>6.8uH</t>
  </si>
  <si>
    <t>15uH</t>
  </si>
  <si>
    <t>7.5K</t>
  </si>
  <si>
    <t>20K</t>
  </si>
  <si>
    <t>196K</t>
  </si>
  <si>
    <t>3.9K</t>
  </si>
  <si>
    <t>10K</t>
  </si>
  <si>
    <t>1.5K</t>
  </si>
  <si>
    <t>511R</t>
  </si>
  <si>
    <t>100R</t>
  </si>
  <si>
    <t>120K</t>
  </si>
  <si>
    <t>48.7K</t>
  </si>
  <si>
    <t>2.94K</t>
  </si>
  <si>
    <t>2.49K</t>
  </si>
  <si>
    <t>8mR</t>
  </si>
  <si>
    <t>3.3K</t>
  </si>
  <si>
    <t>Quantity</t>
  </si>
  <si>
    <t>Value</t>
  </si>
  <si>
    <t>Remarks</t>
  </si>
  <si>
    <t>-</t>
  </si>
  <si>
    <t>Custom</t>
  </si>
  <si>
    <t xml:space="preserve">16-SOIC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</si>
</sst>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4"/>
  <sheetViews>
    <sheetView tabSelected="1" workbookViewId="0">
      <selection activeCell="P15" sqref="P15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0.85546875" bestFit="1" customWidth="1"/>
    <col min="5" max="5" width="30" customWidth="1"/>
    <col min="6" max="6" width="17.285156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58</v>
      </c>
      <c r="F2" s="5" t="s">
        <v>101</v>
      </c>
      <c r="G2" s="6" t="s">
        <v>124</v>
      </c>
      <c r="H2" s="5" t="s">
        <v>160</v>
      </c>
      <c r="I2" s="6" t="s">
        <v>206</v>
      </c>
      <c r="J2" s="5" t="s">
        <v>205</v>
      </c>
      <c r="K2" s="5" t="s">
        <v>207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16</v>
      </c>
      <c r="E3" s="8" t="s">
        <v>59</v>
      </c>
      <c r="F3" s="7" t="s">
        <v>102</v>
      </c>
      <c r="G3" s="8" t="s">
        <v>125</v>
      </c>
      <c r="H3" s="7" t="s">
        <v>161</v>
      </c>
      <c r="I3" s="8" t="s">
        <v>180</v>
      </c>
      <c r="J3" s="7">
        <v>4</v>
      </c>
      <c r="K3" s="7"/>
    </row>
    <row r="4" spans="1:11" ht="15.75" thickBot="1" x14ac:dyDescent="0.3">
      <c r="A4" s="1"/>
      <c r="B4" s="11">
        <f t="shared" ref="B4:B44" si="0">ROW(B4) - ROW($B$2)</f>
        <v>2</v>
      </c>
      <c r="C4" s="13" t="s">
        <v>2</v>
      </c>
      <c r="D4" s="9" t="s">
        <v>17</v>
      </c>
      <c r="E4" s="10" t="s">
        <v>60</v>
      </c>
      <c r="F4" s="9" t="s">
        <v>103</v>
      </c>
      <c r="G4" s="10" t="s">
        <v>126</v>
      </c>
      <c r="H4" s="9" t="s">
        <v>162</v>
      </c>
      <c r="I4" s="10" t="s">
        <v>181</v>
      </c>
      <c r="J4" s="9">
        <v>5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18</v>
      </c>
      <c r="E5" s="8" t="s">
        <v>61</v>
      </c>
      <c r="F5" s="7" t="s">
        <v>104</v>
      </c>
      <c r="G5" s="8" t="s">
        <v>127</v>
      </c>
      <c r="H5" s="7" t="s">
        <v>161</v>
      </c>
      <c r="I5" s="8" t="s">
        <v>182</v>
      </c>
      <c r="J5" s="7">
        <v>10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19</v>
      </c>
      <c r="E6" s="10" t="s">
        <v>62</v>
      </c>
      <c r="F6" s="9" t="s">
        <v>104</v>
      </c>
      <c r="G6" s="10" t="s">
        <v>128</v>
      </c>
      <c r="H6" s="9" t="s">
        <v>161</v>
      </c>
      <c r="I6" s="10" t="s">
        <v>183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20</v>
      </c>
      <c r="E7" s="8" t="s">
        <v>63</v>
      </c>
      <c r="F7" s="7" t="s">
        <v>105</v>
      </c>
      <c r="G7" s="8" t="s">
        <v>129</v>
      </c>
      <c r="H7" s="7" t="s">
        <v>161</v>
      </c>
      <c r="I7" s="8" t="s">
        <v>184</v>
      </c>
      <c r="J7" s="7">
        <v>3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21</v>
      </c>
      <c r="E8" s="10" t="s">
        <v>64</v>
      </c>
      <c r="F8" s="9" t="s">
        <v>106</v>
      </c>
      <c r="G8" s="10" t="s">
        <v>130</v>
      </c>
      <c r="H8" s="9" t="s">
        <v>163</v>
      </c>
      <c r="I8" s="10" t="s">
        <v>185</v>
      </c>
      <c r="J8" s="9">
        <v>3</v>
      </c>
      <c r="K8" s="9"/>
    </row>
    <row r="9" spans="1:11" ht="36.75" thickBot="1" x14ac:dyDescent="0.3">
      <c r="A9" s="1"/>
      <c r="B9" s="11">
        <f>ROW(B9) - ROW($B$2)</f>
        <v>7</v>
      </c>
      <c r="C9" s="12" t="s">
        <v>2</v>
      </c>
      <c r="D9" s="7" t="s">
        <v>22</v>
      </c>
      <c r="E9" s="8" t="s">
        <v>65</v>
      </c>
      <c r="F9" s="7" t="s">
        <v>107</v>
      </c>
      <c r="G9" s="8" t="s">
        <v>131</v>
      </c>
      <c r="H9" s="7" t="s">
        <v>164</v>
      </c>
      <c r="I9" s="8" t="s">
        <v>184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2" t="s">
        <v>2</v>
      </c>
      <c r="D10" s="9" t="s">
        <v>23</v>
      </c>
      <c r="E10" s="10" t="s">
        <v>66</v>
      </c>
      <c r="F10" s="9" t="s">
        <v>103</v>
      </c>
      <c r="G10" s="10" t="s">
        <v>132</v>
      </c>
      <c r="H10" s="9" t="s">
        <v>165</v>
      </c>
      <c r="I10" s="10" t="s">
        <v>186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24</v>
      </c>
      <c r="E11" s="8" t="s">
        <v>67</v>
      </c>
      <c r="F11" s="7" t="s">
        <v>104</v>
      </c>
      <c r="G11" s="8" t="s">
        <v>133</v>
      </c>
      <c r="H11" s="7" t="s">
        <v>161</v>
      </c>
      <c r="I11" s="8" t="s">
        <v>186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2</v>
      </c>
      <c r="D12" s="9" t="s">
        <v>25</v>
      </c>
      <c r="E12" s="10" t="s">
        <v>68</v>
      </c>
      <c r="F12" s="9" t="s">
        <v>104</v>
      </c>
      <c r="G12" s="10" t="s">
        <v>134</v>
      </c>
      <c r="H12" s="9" t="s">
        <v>161</v>
      </c>
      <c r="I12" s="10" t="s">
        <v>187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26</v>
      </c>
      <c r="E13" s="8" t="s">
        <v>69</v>
      </c>
      <c r="F13" s="7" t="s">
        <v>102</v>
      </c>
      <c r="G13" s="8" t="s">
        <v>135</v>
      </c>
      <c r="H13" s="7" t="s">
        <v>162</v>
      </c>
      <c r="I13" s="8" t="s">
        <v>188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3</v>
      </c>
      <c r="D14" s="9" t="s">
        <v>27</v>
      </c>
      <c r="E14" s="10" t="s">
        <v>70</v>
      </c>
      <c r="F14" s="9" t="s">
        <v>108</v>
      </c>
      <c r="G14" s="10" t="s">
        <v>136</v>
      </c>
      <c r="H14" s="9" t="s">
        <v>166</v>
      </c>
      <c r="I14" s="10" t="s">
        <v>208</v>
      </c>
      <c r="J14" s="9">
        <v>3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3</v>
      </c>
      <c r="D15" s="7" t="s">
        <v>28</v>
      </c>
      <c r="E15" s="8" t="s">
        <v>71</v>
      </c>
      <c r="F15" s="7" t="s">
        <v>109</v>
      </c>
      <c r="G15" s="8" t="s">
        <v>137</v>
      </c>
      <c r="H15" s="7" t="s">
        <v>167</v>
      </c>
      <c r="I15" s="10" t="s">
        <v>208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3</v>
      </c>
      <c r="D16" s="9" t="s">
        <v>29</v>
      </c>
      <c r="E16" s="10" t="s">
        <v>72</v>
      </c>
      <c r="F16" s="9" t="s">
        <v>110</v>
      </c>
      <c r="G16" s="10" t="s">
        <v>138</v>
      </c>
      <c r="H16" s="9" t="s">
        <v>168</v>
      </c>
      <c r="I16" s="10" t="s">
        <v>208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4</v>
      </c>
      <c r="D17" s="7" t="s">
        <v>30</v>
      </c>
      <c r="E17" s="8" t="s">
        <v>73</v>
      </c>
      <c r="F17" s="7" t="s">
        <v>209</v>
      </c>
      <c r="G17" s="8" t="s">
        <v>111</v>
      </c>
      <c r="H17" s="7" t="s">
        <v>169</v>
      </c>
      <c r="I17" s="10" t="s">
        <v>208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5</v>
      </c>
      <c r="D18" s="9" t="s">
        <v>31</v>
      </c>
      <c r="E18" s="10" t="s">
        <v>74</v>
      </c>
      <c r="F18" s="7" t="s">
        <v>209</v>
      </c>
      <c r="G18" s="10">
        <v>1715721</v>
      </c>
      <c r="H18" s="9" t="s">
        <v>170</v>
      </c>
      <c r="I18" s="10" t="s">
        <v>208</v>
      </c>
      <c r="J18" s="9">
        <v>1</v>
      </c>
      <c r="K18" s="9"/>
    </row>
    <row r="19" spans="1:11" ht="48.75" thickBot="1" x14ac:dyDescent="0.3">
      <c r="A19" s="1"/>
      <c r="B19" s="11">
        <f>ROW(B19) - ROW($B$2)</f>
        <v>17</v>
      </c>
      <c r="C19" s="12" t="s">
        <v>6</v>
      </c>
      <c r="D19" s="7" t="s">
        <v>32</v>
      </c>
      <c r="E19" s="8" t="s">
        <v>75</v>
      </c>
      <c r="F19" s="7" t="s">
        <v>209</v>
      </c>
      <c r="G19" s="8" t="s">
        <v>112</v>
      </c>
      <c r="H19" s="7" t="s">
        <v>171</v>
      </c>
      <c r="I19" s="10" t="s">
        <v>208</v>
      </c>
      <c r="J19" s="7">
        <v>4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7</v>
      </c>
      <c r="D20" s="9" t="s">
        <v>33</v>
      </c>
      <c r="E20" s="10" t="s">
        <v>76</v>
      </c>
      <c r="F20" s="7" t="s">
        <v>209</v>
      </c>
      <c r="G20" s="10" t="s">
        <v>139</v>
      </c>
      <c r="H20" s="9" t="s">
        <v>172</v>
      </c>
      <c r="I20" s="10" t="s">
        <v>208</v>
      </c>
      <c r="J20" s="9">
        <v>1</v>
      </c>
      <c r="K20" s="9"/>
    </row>
    <row r="21" spans="1:11" ht="48.75" thickBot="1" x14ac:dyDescent="0.3">
      <c r="A21" s="1"/>
      <c r="B21" s="11">
        <f>ROW(B21) - ROW($B$2)</f>
        <v>19</v>
      </c>
      <c r="C21" s="12" t="s">
        <v>8</v>
      </c>
      <c r="D21" s="7" t="s">
        <v>34</v>
      </c>
      <c r="E21" s="8" t="s">
        <v>77</v>
      </c>
      <c r="F21" s="7" t="s">
        <v>209</v>
      </c>
      <c r="G21" s="8" t="s">
        <v>113</v>
      </c>
      <c r="H21" s="7" t="s">
        <v>173</v>
      </c>
      <c r="I21" s="10" t="s">
        <v>208</v>
      </c>
      <c r="J21" s="7">
        <v>4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9</v>
      </c>
      <c r="D22" s="9" t="s">
        <v>35</v>
      </c>
      <c r="E22" s="10" t="s">
        <v>78</v>
      </c>
      <c r="F22" s="7" t="s">
        <v>209</v>
      </c>
      <c r="G22" s="10" t="s">
        <v>114</v>
      </c>
      <c r="H22" s="9" t="s">
        <v>174</v>
      </c>
      <c r="I22" s="10" t="s">
        <v>208</v>
      </c>
      <c r="J22" s="9">
        <v>4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10</v>
      </c>
      <c r="D23" s="7" t="s">
        <v>36</v>
      </c>
      <c r="E23" s="8" t="s">
        <v>79</v>
      </c>
      <c r="F23" s="7" t="s">
        <v>209</v>
      </c>
      <c r="G23" s="8" t="s">
        <v>115</v>
      </c>
      <c r="H23" s="7" t="s">
        <v>175</v>
      </c>
      <c r="I23" s="8" t="s">
        <v>189</v>
      </c>
      <c r="J23" s="7">
        <v>1</v>
      </c>
      <c r="K23" s="7"/>
    </row>
    <row r="24" spans="1:11" ht="36.75" thickBot="1" x14ac:dyDescent="0.3">
      <c r="A24" s="1"/>
      <c r="B24" s="11">
        <f t="shared" si="0"/>
        <v>22</v>
      </c>
      <c r="C24" s="13" t="s">
        <v>10</v>
      </c>
      <c r="D24" s="9" t="s">
        <v>37</v>
      </c>
      <c r="E24" s="10" t="s">
        <v>80</v>
      </c>
      <c r="F24" s="7" t="s">
        <v>209</v>
      </c>
      <c r="G24" s="10" t="s">
        <v>116</v>
      </c>
      <c r="H24" s="9" t="s">
        <v>176</v>
      </c>
      <c r="I24" s="10" t="s">
        <v>190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11</v>
      </c>
      <c r="D25" s="7" t="s">
        <v>38</v>
      </c>
      <c r="E25" s="8" t="s">
        <v>81</v>
      </c>
      <c r="F25" s="7" t="s">
        <v>117</v>
      </c>
      <c r="G25" s="8" t="s">
        <v>140</v>
      </c>
      <c r="H25" s="7" t="s">
        <v>177</v>
      </c>
      <c r="I25" s="8" t="s">
        <v>208</v>
      </c>
      <c r="J25" s="7">
        <v>3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11</v>
      </c>
      <c r="D26" s="9" t="s">
        <v>39</v>
      </c>
      <c r="E26" s="10" t="s">
        <v>82</v>
      </c>
      <c r="F26" s="9" t="s">
        <v>117</v>
      </c>
      <c r="G26" s="10" t="s">
        <v>141</v>
      </c>
      <c r="H26" s="9" t="s">
        <v>177</v>
      </c>
      <c r="I26" s="8" t="s">
        <v>208</v>
      </c>
      <c r="J26" s="9">
        <v>4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12</v>
      </c>
      <c r="D27" s="7" t="s">
        <v>40</v>
      </c>
      <c r="E27" s="8" t="s">
        <v>83</v>
      </c>
      <c r="F27" s="7" t="s">
        <v>118</v>
      </c>
      <c r="G27" s="8" t="s">
        <v>142</v>
      </c>
      <c r="H27" s="7" t="s">
        <v>178</v>
      </c>
      <c r="I27" s="8" t="s">
        <v>208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13</v>
      </c>
      <c r="D28" s="9" t="s">
        <v>41</v>
      </c>
      <c r="E28" s="10" t="s">
        <v>84</v>
      </c>
      <c r="F28" s="9" t="s">
        <v>119</v>
      </c>
      <c r="G28" s="10" t="s">
        <v>143</v>
      </c>
      <c r="H28" s="9" t="s">
        <v>161</v>
      </c>
      <c r="I28" s="10" t="s">
        <v>191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13</v>
      </c>
      <c r="D29" s="7" t="s">
        <v>42</v>
      </c>
      <c r="E29" s="8" t="s">
        <v>85</v>
      </c>
      <c r="F29" s="7" t="s">
        <v>119</v>
      </c>
      <c r="G29" s="8" t="s">
        <v>144</v>
      </c>
      <c r="H29" s="7" t="s">
        <v>161</v>
      </c>
      <c r="I29" s="8" t="s">
        <v>192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13</v>
      </c>
      <c r="D30" s="9" t="s">
        <v>43</v>
      </c>
      <c r="E30" s="10" t="s">
        <v>86</v>
      </c>
      <c r="F30" s="9" t="s">
        <v>120</v>
      </c>
      <c r="G30" s="10" t="s">
        <v>145</v>
      </c>
      <c r="H30" s="9" t="s">
        <v>161</v>
      </c>
      <c r="I30" s="10" t="s">
        <v>193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13</v>
      </c>
      <c r="D31" s="7" t="s">
        <v>44</v>
      </c>
      <c r="E31" s="8" t="s">
        <v>87</v>
      </c>
      <c r="F31" s="7" t="s">
        <v>119</v>
      </c>
      <c r="G31" s="8" t="s">
        <v>146</v>
      </c>
      <c r="H31" s="7" t="s">
        <v>161</v>
      </c>
      <c r="I31" s="8" t="s">
        <v>194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13</v>
      </c>
      <c r="D32" s="9" t="s">
        <v>45</v>
      </c>
      <c r="E32" s="10" t="s">
        <v>88</v>
      </c>
      <c r="F32" s="9" t="s">
        <v>119</v>
      </c>
      <c r="G32" s="10" t="s">
        <v>147</v>
      </c>
      <c r="H32" s="9" t="s">
        <v>161</v>
      </c>
      <c r="I32" s="10" t="s">
        <v>195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3" t="s">
        <v>13</v>
      </c>
      <c r="D33" s="7" t="s">
        <v>46</v>
      </c>
      <c r="E33" s="8" t="s">
        <v>89</v>
      </c>
      <c r="F33" s="7" t="s">
        <v>119</v>
      </c>
      <c r="G33" s="8" t="s">
        <v>148</v>
      </c>
      <c r="H33" s="7" t="s">
        <v>161</v>
      </c>
      <c r="I33" s="8" t="s">
        <v>196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13</v>
      </c>
      <c r="D34" s="9" t="s">
        <v>47</v>
      </c>
      <c r="E34" s="10" t="s">
        <v>90</v>
      </c>
      <c r="F34" s="9" t="s">
        <v>119</v>
      </c>
      <c r="G34" s="10" t="s">
        <v>149</v>
      </c>
      <c r="H34" s="9" t="s">
        <v>161</v>
      </c>
      <c r="I34" s="10" t="s">
        <v>197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13</v>
      </c>
      <c r="D35" s="7" t="s">
        <v>48</v>
      </c>
      <c r="E35" s="8" t="s">
        <v>91</v>
      </c>
      <c r="F35" s="7" t="s">
        <v>119</v>
      </c>
      <c r="G35" s="8" t="s">
        <v>150</v>
      </c>
      <c r="H35" s="7" t="s">
        <v>161</v>
      </c>
      <c r="I35" s="8" t="s">
        <v>198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13</v>
      </c>
      <c r="D36" s="9" t="s">
        <v>49</v>
      </c>
      <c r="E36" s="10" t="s">
        <v>92</v>
      </c>
      <c r="F36" s="9" t="s">
        <v>119</v>
      </c>
      <c r="G36" s="10" t="s">
        <v>151</v>
      </c>
      <c r="H36" s="9" t="s">
        <v>161</v>
      </c>
      <c r="I36" s="10" t="s">
        <v>199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13</v>
      </c>
      <c r="D37" s="7" t="s">
        <v>50</v>
      </c>
      <c r="E37" s="8" t="s">
        <v>93</v>
      </c>
      <c r="F37" s="7" t="s">
        <v>120</v>
      </c>
      <c r="G37" s="8" t="s">
        <v>152</v>
      </c>
      <c r="H37" s="7" t="s">
        <v>161</v>
      </c>
      <c r="I37" s="8" t="s">
        <v>200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13</v>
      </c>
      <c r="D38" s="9" t="s">
        <v>51</v>
      </c>
      <c r="E38" s="10" t="s">
        <v>94</v>
      </c>
      <c r="F38" s="9" t="s">
        <v>119</v>
      </c>
      <c r="G38" s="10" t="s">
        <v>153</v>
      </c>
      <c r="H38" s="9" t="s">
        <v>161</v>
      </c>
      <c r="I38" s="10" t="s">
        <v>201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14</v>
      </c>
      <c r="D39" s="7" t="s">
        <v>52</v>
      </c>
      <c r="E39" s="8" t="s">
        <v>95</v>
      </c>
      <c r="F39" s="7" t="s">
        <v>119</v>
      </c>
      <c r="G39" s="8" t="s">
        <v>154</v>
      </c>
      <c r="H39" s="7" t="s">
        <v>161</v>
      </c>
      <c r="I39" s="8" t="s">
        <v>202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13</v>
      </c>
      <c r="D40" s="9" t="s">
        <v>53</v>
      </c>
      <c r="E40" s="10" t="s">
        <v>96</v>
      </c>
      <c r="F40" s="9" t="s">
        <v>121</v>
      </c>
      <c r="G40" s="10" t="s">
        <v>155</v>
      </c>
      <c r="H40" s="9" t="s">
        <v>179</v>
      </c>
      <c r="I40" s="10" t="s">
        <v>203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13</v>
      </c>
      <c r="D41" s="7" t="s">
        <v>54</v>
      </c>
      <c r="E41" s="8" t="s">
        <v>97</v>
      </c>
      <c r="F41" s="7" t="s">
        <v>119</v>
      </c>
      <c r="G41" s="8" t="s">
        <v>156</v>
      </c>
      <c r="H41" s="7" t="s">
        <v>161</v>
      </c>
      <c r="I41" s="8" t="s">
        <v>204</v>
      </c>
      <c r="J41" s="7">
        <v>4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12</v>
      </c>
      <c r="D42" s="9" t="s">
        <v>55</v>
      </c>
      <c r="E42" s="10" t="s">
        <v>98</v>
      </c>
      <c r="F42" s="9" t="s">
        <v>122</v>
      </c>
      <c r="G42" s="10" t="s">
        <v>157</v>
      </c>
      <c r="H42" s="9" t="s">
        <v>178</v>
      </c>
      <c r="I42" s="10" t="s">
        <v>208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12</v>
      </c>
      <c r="D43" s="7" t="s">
        <v>56</v>
      </c>
      <c r="E43" s="8" t="s">
        <v>99</v>
      </c>
      <c r="F43" s="7" t="s">
        <v>210</v>
      </c>
      <c r="G43" s="8" t="s">
        <v>158</v>
      </c>
      <c r="H43" s="7" t="s">
        <v>178</v>
      </c>
      <c r="I43" s="10" t="s">
        <v>208</v>
      </c>
      <c r="J43" s="7">
        <v>1</v>
      </c>
      <c r="K43" s="7"/>
    </row>
    <row r="44" spans="1:11" ht="24.75" thickBot="1" x14ac:dyDescent="0.3">
      <c r="A44" s="1"/>
      <c r="B44" s="11">
        <f t="shared" si="0"/>
        <v>42</v>
      </c>
      <c r="C44" s="13" t="s">
        <v>12</v>
      </c>
      <c r="D44" s="9" t="s">
        <v>57</v>
      </c>
      <c r="E44" s="10" t="s">
        <v>100</v>
      </c>
      <c r="F44" s="9" t="s">
        <v>123</v>
      </c>
      <c r="G44" s="10" t="s">
        <v>159</v>
      </c>
      <c r="H44" s="9" t="s">
        <v>178</v>
      </c>
      <c r="I44" s="10" t="s">
        <v>208</v>
      </c>
      <c r="J44" s="9">
        <v>1</v>
      </c>
      <c r="K44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2024-09-05T06:22:00Z</dcterms:modified>
</cp:coreProperties>
</file>