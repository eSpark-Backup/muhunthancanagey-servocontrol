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-Driver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51" i="1" l="1"/>
  <c r="Q50" i="1"/>
  <c r="M50" i="1"/>
  <c r="B49" i="1"/>
  <c r="B50" i="1"/>
  <c r="Q22" i="1" l="1"/>
  <c r="Q49" i="1" l="1"/>
  <c r="M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52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<sst xmlns="http://schemas.openxmlformats.org/spreadsheetml/2006/main" count="503" uniqueCount="305">
  <si>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</si>
  <si>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</si>
  <si>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</si>
  <si>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</si>
  <si>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</si>
  <si>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</si>
  <si>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</si>
  <si>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</si>
  <si>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Fuse Holder</t>
  </si>
  <si>
    <t>Terminal Blocks</t>
  </si>
  <si>
    <t>Male Header</t>
  </si>
  <si>
    <t>JST Connector</t>
  </si>
  <si>
    <t>Terminal Block</t>
  </si>
  <si>
    <t>Relay</t>
  </si>
  <si>
    <t>Inductor</t>
  </si>
  <si>
    <t>LED</t>
  </si>
  <si>
    <t>IC</t>
  </si>
  <si>
    <t>Resistor</t>
  </si>
  <si>
    <t>Resistors</t>
  </si>
  <si>
    <t>Designator</t>
  </si>
  <si>
    <t>C1, C29, C30, C31</t>
  </si>
  <si>
    <t>C2, C3, C4, C22, C23</t>
  </si>
  <si>
    <t>C5, C6, C7, C8, C9, C10, C11, C12, C13, C14</t>
  </si>
  <si>
    <t>C15</t>
  </si>
  <si>
    <t>C16, C17, C18</t>
  </si>
  <si>
    <t>C19, C20, C21</t>
  </si>
  <si>
    <t>C24, C25</t>
  </si>
  <si>
    <t>C26</t>
  </si>
  <si>
    <t>C27</t>
  </si>
  <si>
    <t>C28</t>
  </si>
  <si>
    <t>C32</t>
  </si>
  <si>
    <t>D1, D2, D5</t>
  </si>
  <si>
    <t>D3</t>
  </si>
  <si>
    <t>D4</t>
  </si>
  <si>
    <t>J1</t>
  </si>
  <si>
    <t>J2</t>
  </si>
  <si>
    <t>J3, J4, J6, J7</t>
  </si>
  <si>
    <t>J5</t>
  </si>
  <si>
    <t>J8, J9, J10, J11</t>
  </si>
  <si>
    <t>K1, K2, K3, K4</t>
  </si>
  <si>
    <t>L1</t>
  </si>
  <si>
    <t>L2</t>
  </si>
  <si>
    <t>LED1, LED2, LED3</t>
  </si>
  <si>
    <t>LED4, LED5, LED6, LED7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</si>
  <si>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</si>
  <si>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</si>
  <si>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</si>
  <si>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</si>
  <si>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</si>
  <si>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</si>
  <si>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</si>
  <si>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</si>
  <si>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</si>
  <si>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</si>
  <si>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</si>
  <si>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</si>
  <si>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</si>
  <si>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</si>
  <si>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R14, R15, R16, R17</t>
  </si>
  <si>
    <t>U1</t>
  </si>
  <si>
    <t>U2</t>
  </si>
  <si>
    <t>U3</t>
  </si>
  <si>
    <t>Description</t>
  </si>
  <si>
    <t>CAP CER 0.1UF 50V X5R 0603</t>
  </si>
  <si>
    <t>CAP CER 4.7UF 50V X5R 1206</t>
  </si>
  <si>
    <t>CAP CER 10000PF 50V X7R 0402</t>
  </si>
  <si>
    <t>CAP CER 100PF 50V C0G/NPO 0402</t>
  </si>
  <si>
    <t>CAP CER 22UF 25V X5R 0805</t>
  </si>
  <si>
    <t>CAP ALUM 220UF 20% 50V SMD</t>
  </si>
  <si>
    <t>100V 22uF X7R ±10% 2220 Multilayer Ceramic Capacitors MLCC - SMD/SMT ROHS</t>
  </si>
  <si>
    <t>CAP CER 1UF 100V X7R 1206</t>
  </si>
  <si>
    <t>CAP CER 1UF 25V X5R 0402</t>
  </si>
  <si>
    <t>CAP CER 0.047UF 50V X7R 0402</t>
  </si>
  <si>
    <t>CAP CER 1nF 100V X7R 0603</t>
  </si>
  <si>
    <t>DIODE SCHOTTKY 60V 5A SMA</t>
  </si>
  <si>
    <t>TVS DIODE 28VWM 45.4VC SMB</t>
  </si>
  <si>
    <t>DIODE SCHOTTKY 100V 20A D2PAK</t>
  </si>
  <si>
    <t>FUSE HOLDER BLADE 80V PCB</t>
  </si>
  <si>
    <t>TERM BLK 2P SIDE ENT 5.08MM PCB</t>
  </si>
  <si>
    <t>3A Straight Square Pins 2.5mm 6P 6mm -40℃~+105℃ 3mm 2.54mm 双排 Black 2x3P 2.54mm Plugin,P=2.54mm Pin Headers ROHS</t>
  </si>
  <si>
    <t>Conn Shrouded Header HDR 5 POS 2.5mm Solder ST Thru-Hole Box</t>
  </si>
  <si>
    <t>1x3P 18A -40℃~+105℃ 250V Black 12~30 Straight pin 5.08mm 2.5 1 3 Plugin,P=5.08mm Screw terminal ROHS</t>
  </si>
  <si>
    <t>24V 8A One Conversion: 1C (SPDT-Conversion) DIP,10.6x15.7mm Power Relays ROHS</t>
  </si>
  <si>
    <t>Fixed Ind 6.8UH 12A 13.5MOHM SMD</t>
  </si>
  <si>
    <t>13.8A 15uH Integrated molded inductor ±20% 15.5A SMD,11.9x11mm Power Inductors ROHS</t>
  </si>
  <si>
    <t>RED LED 0603 Light Emitting Diodes</t>
  </si>
  <si>
    <t>blue 0603 Light Emitting Diodes (LED) ROHS</t>
  </si>
  <si>
    <t>MOSFET N-CH 100V 15A 8VSON</t>
  </si>
  <si>
    <t>RES 7.5K OHM 1% 1/16W 0402</t>
  </si>
  <si>
    <t>RES SMD 20K OHM 0.1% 1/16W 0402</t>
  </si>
  <si>
    <t>RES SMD 196K OHM 0.1% 1/10W 0603</t>
  </si>
  <si>
    <t>RES 3.9K OHM 1% 1/16W 0402</t>
  </si>
  <si>
    <t>RES SMD 10K OHM 0.1% 1/16W 0402</t>
  </si>
  <si>
    <t>RES 1.5K OHM 1% 1/16W 0402</t>
  </si>
  <si>
    <t>RES SMD 511 OHM 1% 1/16W 0402</t>
  </si>
  <si>
    <t>RES 100 OHM 1% 1/16W 0402</t>
  </si>
  <si>
    <t>RES SMD 120K OHM 0.1% 1/16W 0402</t>
  </si>
  <si>
    <t>RES 48.7K OHM 1% 1/10W 0603</t>
  </si>
  <si>
    <t>RES SMD 2.94KOHM 0.1% 1/16W 0402</t>
  </si>
  <si>
    <t>RES 2.49K OHM 1% 1/16W 0402</t>
  </si>
  <si>
    <t>RES 0.008 OHM 1% 2W 2512</t>
  </si>
  <si>
    <t>RES 3.3K OHM 1% 1/16W 0402</t>
  </si>
  <si>
    <t>IC REG BUCK ADJ 6A 10VQFN</t>
  </si>
  <si>
    <t>IC PWR RELAY 7NPN 1:1 16SOIC</t>
  </si>
  <si>
    <t>2.2MHZ WIDE INPUT NONSYNCHRONOUS</t>
  </si>
  <si>
    <t>Footprint</t>
  </si>
  <si>
    <t>Cap-0603</t>
  </si>
  <si>
    <t>Cap-1206</t>
  </si>
  <si>
    <t>Cap-0402</t>
  </si>
  <si>
    <t>Cap-0805</t>
  </si>
  <si>
    <t>UCD-220uF-10mmDia</t>
  </si>
  <si>
    <t>Cap 2220</t>
  </si>
  <si>
    <t>SMA</t>
  </si>
  <si>
    <t>SMB_</t>
  </si>
  <si>
    <t>D2Pak.</t>
  </si>
  <si>
    <t>178.6165.0002</t>
  </si>
  <si>
    <t>PH-01291</t>
  </si>
  <si>
    <t>DB128L-5.08-3P-BK-S</t>
  </si>
  <si>
    <t>HFD16/24-ZFH-3N</t>
  </si>
  <si>
    <t>MWSA1206S-6R8MT</t>
  </si>
  <si>
    <t>FEXL1010A-150M</t>
  </si>
  <si>
    <t>LED-0603</t>
  </si>
  <si>
    <t>VSONP-8(3.1x3.1)</t>
  </si>
  <si>
    <t>Res-0402</t>
  </si>
  <si>
    <t>Res-0603</t>
  </si>
  <si>
    <t>RES-2512</t>
  </si>
  <si>
    <t>10-VQFN-HR (3x3)</t>
  </si>
  <si>
    <t>HTSSOP-14-EP</t>
  </si>
  <si>
    <t>Manufacturer Part Number</t>
  </si>
  <si>
    <t>CC0603KRX5R9BB104</t>
  </si>
  <si>
    <t>CL31A475KB9LNNC</t>
  </si>
  <si>
    <t>CC0402KRX7R9BB103</t>
  </si>
  <si>
    <t>CC0402JRNPO9BN101</t>
  </si>
  <si>
    <t>CC0805MKX5R8BB226</t>
  </si>
  <si>
    <t>UCD1H221MNL1GS</t>
  </si>
  <si>
    <t>FS55X226K101LRG</t>
  </si>
  <si>
    <t>GRM31CR72A105KA01K</t>
  </si>
  <si>
    <t>CC0402KRX5R8BB105</t>
  </si>
  <si>
    <t>CC0402KRX7R9BB473</t>
  </si>
  <si>
    <t>CL10B102KC8NNNC</t>
  </si>
  <si>
    <t>SS56</t>
  </si>
  <si>
    <t>SMBJ28A-13-F</t>
  </si>
  <si>
    <t>STPS20M100SG-TR</t>
  </si>
  <si>
    <t>B5B-XH-A(LF)(SN)</t>
  </si>
  <si>
    <t>NCD0603R3</t>
  </si>
  <si>
    <t>NCD0603B3</t>
  </si>
  <si>
    <t>CSD19538Q3A</t>
  </si>
  <si>
    <t>RC0402FR-077K5L</t>
  </si>
  <si>
    <t>RT0402BRD0720KL</t>
  </si>
  <si>
    <t>RT0603BRE07196KL</t>
  </si>
  <si>
    <t>RC0402FR-073K9L</t>
  </si>
  <si>
    <t>RT0402BRD0710KL</t>
  </si>
  <si>
    <t>RC0402FR-071K5L</t>
  </si>
  <si>
    <t>AC0402FR-07511RL</t>
  </si>
  <si>
    <t>RC0402FR-07100RL</t>
  </si>
  <si>
    <t>RT0402BRD07120KL</t>
  </si>
  <si>
    <t>RC0603FR-0748K7L</t>
  </si>
  <si>
    <t>RT0402BRD072K94L</t>
  </si>
  <si>
    <t>RC0402FR-072K49L</t>
  </si>
  <si>
    <t>PMR100HZPFU8L00</t>
  </si>
  <si>
    <t>RC0402FR-073K3L</t>
  </si>
  <si>
    <t>TPS56637RPAR</t>
  </si>
  <si>
    <t>ULN2003AIDR</t>
  </si>
  <si>
    <t>LM5156HPWPR</t>
  </si>
  <si>
    <t>Manufacturer</t>
  </si>
  <si>
    <t>Yageo</t>
  </si>
  <si>
    <t>Samsung</t>
  </si>
  <si>
    <t>Nichicon</t>
  </si>
  <si>
    <t>PSA</t>
  </si>
  <si>
    <t>Murata</t>
  </si>
  <si>
    <t>MDD</t>
  </si>
  <si>
    <t>Diodes</t>
  </si>
  <si>
    <t>STMicroelectronics</t>
  </si>
  <si>
    <t>Littelfuse Wickmann</t>
  </si>
  <si>
    <t>Phoenix Contact</t>
  </si>
  <si>
    <t>Liansheng</t>
  </si>
  <si>
    <t>JST</t>
  </si>
  <si>
    <t>DIBO</t>
  </si>
  <si>
    <t>HF</t>
  </si>
  <si>
    <t>Sunlord</t>
  </si>
  <si>
    <t>cjiang</t>
  </si>
  <si>
    <t>Foshan NationStar Optoelectronics</t>
  </si>
  <si>
    <t>Texas Instruments</t>
  </si>
  <si>
    <t>Rohm</t>
  </si>
  <si>
    <t>LCSC Part Number</t>
  </si>
  <si>
    <t>C110022</t>
  </si>
  <si>
    <t>C318753</t>
  </si>
  <si>
    <t>C60133</t>
  </si>
  <si>
    <t>C106200</t>
  </si>
  <si>
    <t>C784585</t>
  </si>
  <si>
    <t>C116211</t>
  </si>
  <si>
    <t>C7499406</t>
  </si>
  <si>
    <t>C909823</t>
  </si>
  <si>
    <t>C326568</t>
  </si>
  <si>
    <t>C272875</t>
  </si>
  <si>
    <t>C153291</t>
  </si>
  <si>
    <t>C969989</t>
  </si>
  <si>
    <t>C207061</t>
  </si>
  <si>
    <t>C157991</t>
  </si>
  <si>
    <t>C430602</t>
  </si>
  <si>
    <t>C399482</t>
  </si>
  <si>
    <t>C408523</t>
  </si>
  <si>
    <t>C5378579</t>
  </si>
  <si>
    <t>C3151730</t>
  </si>
  <si>
    <t>C158101</t>
  </si>
  <si>
    <t>C478471</t>
  </si>
  <si>
    <t>C137934</t>
  </si>
  <si>
    <t>C705630</t>
  </si>
  <si>
    <t>C861716</t>
  </si>
  <si>
    <t>C131467</t>
  </si>
  <si>
    <t>C190095</t>
  </si>
  <si>
    <t>C114759</t>
  </si>
  <si>
    <t>C227124</t>
  </si>
  <si>
    <t>C106232</t>
  </si>
  <si>
    <t>C852501</t>
  </si>
  <si>
    <t>C852709</t>
  </si>
  <si>
    <t>C145071</t>
  </si>
  <si>
    <t>C509729</t>
  </si>
  <si>
    <t>C137992</t>
  </si>
  <si>
    <t>C841386</t>
  </si>
  <si>
    <t>C2867852</t>
  </si>
  <si>
    <t>100nF</t>
  </si>
  <si>
    <t>4.7uF</t>
  </si>
  <si>
    <t>10nF</t>
  </si>
  <si>
    <t>100pF</t>
  </si>
  <si>
    <t>22uF</t>
  </si>
  <si>
    <t>220uF</t>
  </si>
  <si>
    <t>1uF</t>
  </si>
  <si>
    <t>47nF</t>
  </si>
  <si>
    <t>1nF</t>
  </si>
  <si>
    <t>6.8uH</t>
  </si>
  <si>
    <t>15uH</t>
  </si>
  <si>
    <t>7.5K</t>
  </si>
  <si>
    <t>20K</t>
  </si>
  <si>
    <t>196K</t>
  </si>
  <si>
    <t>3.9K</t>
  </si>
  <si>
    <t>10K</t>
  </si>
  <si>
    <t>1.5K</t>
  </si>
  <si>
    <t>511R</t>
  </si>
  <si>
    <t>100R</t>
  </si>
  <si>
    <t>120K</t>
  </si>
  <si>
    <t>48.7K</t>
  </si>
  <si>
    <t>2.94K</t>
  </si>
  <si>
    <t>2.49K</t>
  </si>
  <si>
    <t>8mR</t>
  </si>
  <si>
    <t>3.3K</t>
  </si>
  <si>
    <t>Quantity</t>
  </si>
  <si>
    <t>Bill of Materials for Project [Relay-Driver-Board-v1.0]</t>
  </si>
  <si>
    <t>Relay-Driver-Board-v1.0</t>
  </si>
  <si>
    <t>Value</t>
  </si>
  <si>
    <t>-</t>
  </si>
  <si>
    <t>Custom</t>
  </si>
  <si>
    <t xml:space="preserve">16-SOIC </t>
  </si>
  <si>
    <t>LCSC</t>
  </si>
  <si>
    <t>Alternate Part Number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</si>
  <si>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</si>
  <si>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</si>
  <si>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</si>
  <si>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</si>
  <si>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</si>
  <si>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</si>
  <si>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C2481</t>
  </si>
  <si>
    <t>C91924</t>
  </si>
  <si>
    <t>C480516</t>
  </si>
  <si>
    <t>C165749</t>
  </si>
  <si>
    <t>C94832</t>
  </si>
  <si>
    <t>C2685197</t>
  </si>
  <si>
    <t>100</t>
  </si>
  <si>
    <t>50</t>
  </si>
  <si>
    <t>20</t>
  </si>
  <si>
    <t>0.1034</t>
  </si>
  <si>
    <t>0.0009</t>
  </si>
  <si>
    <t>0.0010</t>
  </si>
  <si>
    <t>0.0683</t>
  </si>
  <si>
    <t>0.2931</t>
  </si>
  <si>
    <t>0.8970</t>
  </si>
  <si>
    <t>0.1749</t>
  </si>
  <si>
    <t>0.0070</t>
  </si>
  <si>
    <t>0.0030</t>
  </si>
  <si>
    <t>0.0031</t>
  </si>
  <si>
    <t>1.2242</t>
  </si>
  <si>
    <t>0.0186</t>
  </si>
  <si>
    <t>0.0690</t>
  </si>
  <si>
    <t>0.2485</t>
  </si>
  <si>
    <t>0.5544</t>
  </si>
  <si>
    <t>0.5107</t>
  </si>
  <si>
    <t>2.0780</t>
  </si>
  <si>
    <t>0.0227</t>
  </si>
  <si>
    <t>0.0193</t>
  </si>
  <si>
    <t>0.0223</t>
  </si>
  <si>
    <t>0.0171</t>
  </si>
  <si>
    <t>0.0011</t>
  </si>
  <si>
    <t>0.0201</t>
  </si>
  <si>
    <t>0.0206</t>
  </si>
  <si>
    <t>0.0006</t>
  </si>
  <si>
    <t>0.2468</t>
  </si>
  <si>
    <t>1.3051</t>
  </si>
  <si>
    <t>1.5452</t>
  </si>
  <si>
    <t>-----</t>
  </si>
  <si>
    <t>Perpheral</t>
  </si>
  <si>
    <t>Fuse</t>
  </si>
  <si>
    <t>32V Blade fuse 7.5A Automotive Fuses ROHS</t>
  </si>
  <si>
    <t>028707.5PXCN</t>
  </si>
  <si>
    <t>Littelfuse</t>
  </si>
  <si>
    <t>C142688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</si>
</sst>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15" fillId="2" borderId="8" xfId="0" quotePrefix="1" applyFont="1" applyFill="1" applyBorder="1" applyAlignment="1">
      <alignment horizontal="center" vertical="center" wrapText="1"/>
    </xf>
    <xf numFmtId="0" fontId="19" fillId="0" borderId="13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Darlington-Transistor-Arrays_Texas-Instruments-ULN2003AIDR_C94832.html" TargetMode="External"/><Relationship Id="rId18" Type="http://schemas.openxmlformats.org/officeDocument/2006/relationships/hyperlink" Target="https://www.lcsc.com/product-detail/multilayer-ceramic-capacitors-mlcc-smd-smt_murata-electronics-grm31cr72a105ka01k_C909823.html" TargetMode="External"/><Relationship Id="rId26" Type="http://schemas.openxmlformats.org/officeDocument/2006/relationships/hyperlink" Target="https://www.lcsc.com/product-detail/pin-headers_liansheng-ph-01291_C2685197.html" TargetMode="External"/><Relationship Id="rId39" Type="http://schemas.openxmlformats.org/officeDocument/2006/relationships/hyperlink" Target="https://www.lcsc.com/product-detail/chip-resistor-surface-mount_yageo-rc0402fr-072k49l_C145071.html" TargetMode="External"/><Relationship Id="rId21" Type="http://schemas.openxmlformats.org/officeDocument/2006/relationships/hyperlink" Target="https://www.lcsc.com/product-detail/multilayer-ceramic-capacitors-mlcc-smd-smt_yageo-cc0805mkx5r8bb226_C784585.html" TargetMode="External"/><Relationship Id="rId34" Type="http://schemas.openxmlformats.org/officeDocument/2006/relationships/hyperlink" Target="https://www.lcsc.com/product-detail/chip-resistor-surface-mount_yageo-rt0603bre07196kl_C861716.html" TargetMode="External"/><Relationship Id="rId42" Type="http://schemas.openxmlformats.org/officeDocument/2006/relationships/hyperlink" Target="https://www.lcsc.com/product-detail/dc-dc-converters_texas-instruments-lm5156hpwpr_C2867852.html" TargetMode="External"/><Relationship Id="rId7" Type="http://schemas.openxmlformats.org/officeDocument/2006/relationships/hyperlink" Target="https://www.lcsc.com/product-detail/Chip-Resistor-Surface-Mount_YAGEO-RC0603FR-0748K7L_C165749.html" TargetMode="External"/><Relationship Id="rId2" Type="http://schemas.openxmlformats.org/officeDocument/2006/relationships/hyperlink" Target="https://www.lcsc.com/product-detail/ESD-and-Surge-Protection-TVS-ESD_Diodes-Incorporated-SMBJ28A-13-F_C91924.html" TargetMode="External"/><Relationship Id="rId16" Type="http://schemas.openxmlformats.org/officeDocument/2006/relationships/hyperlink" Target="https://www.lcsc.com/product-detail/multilayer-ceramic-capacitors-mlcc-smd-smt_yageo-cc0402krx7r9bb473_C272875.html" TargetMode="External"/><Relationship Id="rId20" Type="http://schemas.openxmlformats.org/officeDocument/2006/relationships/hyperlink" Target="https://www.lcsc.com/product-detail/aluminum-electrolytic-capacitors-smd_nichicon-ucd1h221mnl1gs_C116211.html" TargetMode="External"/><Relationship Id="rId29" Type="http://schemas.openxmlformats.org/officeDocument/2006/relationships/hyperlink" Target="https://www.lcsc.com/product-detail/power-relays_hf-xiamen-hongfa-electroacoustic-hfd16-24-zfh-3n_C399482.html" TargetMode="External"/><Relationship Id="rId41" Type="http://schemas.openxmlformats.org/officeDocument/2006/relationships/hyperlink" Target="https://www.lcsc.com/product-detail/dc-dc-converters_texas-instruments-tps56637rpar_C841386.html" TargetMode="External"/><Relationship Id="rId1" Type="http://schemas.openxmlformats.org/officeDocument/2006/relationships/hyperlink" Target="https://www.lcsc.com/product-detail/Schottky-Diodes_MDD-Microdiode-Semiconductor-SS16_C2481.html" TargetMode="External"/><Relationship Id="rId6" Type="http://schemas.openxmlformats.org/officeDocument/2006/relationships/hyperlink" Target="https://www.lcsc.com/product-detail/MOSFETs_Texas-Instruments-CSD19538Q3A_C478471.html" TargetMode="External"/><Relationship Id="rId11" Type="http://schemas.openxmlformats.org/officeDocument/2006/relationships/hyperlink" Target="https://www.lcsc.com/product-detail/Chip-Resistor-Surface-Mount_YAGEO-RC0402FR-071K5L_C114759.html" TargetMode="External"/><Relationship Id="rId24" Type="http://schemas.openxmlformats.org/officeDocument/2006/relationships/hyperlink" Target="https://www.lcsc.com/product-detail/multilayer-ceramic-capacitors-mlcc-smd-smt_samsung-electro-mechanics-cl31a475kb9lnnc_C318753.html" TargetMode="External"/><Relationship Id="rId32" Type="http://schemas.openxmlformats.org/officeDocument/2006/relationships/hyperlink" Target="https://www.lcsc.com/product-detail/led-indication-discrete_foshan-nationstar-optoelectronics-ncd0603r3_C3151730.html" TargetMode="External"/><Relationship Id="rId37" Type="http://schemas.openxmlformats.org/officeDocument/2006/relationships/hyperlink" Target="https://www.lcsc.com/product-detail/chip-resistor-surface-mount_yageo-rt0402brd07120kl_C852501.html" TargetMode="External"/><Relationship Id="rId40" Type="http://schemas.openxmlformats.org/officeDocument/2006/relationships/hyperlink" Target="https://www.lcsc.com/product-detail/current-sense-resistors-shunt-resistors_rohm-semicon-pmr100hzpfu8l00_C509729.html" TargetMode="External"/><Relationship Id="rId5" Type="http://schemas.openxmlformats.org/officeDocument/2006/relationships/hyperlink" Target="https://www.lcsc.com/product-detail/LED-Indication-Discrete_Foshan-NationStar-Optoelectronics-NCD0603B3_C158101.html" TargetMode="External"/><Relationship Id="rId15" Type="http://schemas.openxmlformats.org/officeDocument/2006/relationships/hyperlink" Target="https://www.lcsc.com/product-detail/multilayer-ceramic-capacitors-mlcc-smd-smt_samsung-electro-mechanics-cl10b102kc8nnnc_C153291.html" TargetMode="External"/><Relationship Id="rId23" Type="http://schemas.openxmlformats.org/officeDocument/2006/relationships/hyperlink" Target="https://www.lcsc.com/product-detail/multilayer-ceramic-capacitors-mlcc-smd-smt_yageo-cc0402krx7r9bb103_C60133.html" TargetMode="External"/><Relationship Id="rId28" Type="http://schemas.openxmlformats.org/officeDocument/2006/relationships/hyperlink" Target="https://www.lcsc.com/product-detail/screw-terminal-blocks_dorabo-db128l-5-08-3p-bk-s_C430602.html" TargetMode="External"/><Relationship Id="rId36" Type="http://schemas.openxmlformats.org/officeDocument/2006/relationships/hyperlink" Target="https://www.lcsc.com/product-detail/chip-resistor-surface-mount_yageo-ac0402fr-07511rl_C227124.html" TargetMode="External"/><Relationship Id="rId10" Type="http://schemas.openxmlformats.org/officeDocument/2006/relationships/hyperlink" Target="https://www.lcsc.com/product-detail/Chip-Resistor-Surface-Mount_YAGEO-RC0402FR-07100RL_C106232.html" TargetMode="External"/><Relationship Id="rId19" Type="http://schemas.openxmlformats.org/officeDocument/2006/relationships/hyperlink" Target="https://www.lcsc.com/product-detail/multilayer-ceramic-capacitors-mlcc-smd-smt_psa-prosperity-dielectrics-fs55x226k101lrg_C7499406.html" TargetMode="External"/><Relationship Id="rId31" Type="http://schemas.openxmlformats.org/officeDocument/2006/relationships/hyperlink" Target="https://www.lcsc.com/product-detail/power-inductors_cjiang-changjiang-microelectronics-tech-fexl1010a-150m_C5378579.html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Screw-Terminal-Blocks_Phoenix-Contact-1715721_C480516.html" TargetMode="External"/><Relationship Id="rId9" Type="http://schemas.openxmlformats.org/officeDocument/2006/relationships/hyperlink" Target="https://www.lcsc.com/product-detail/Chip-Resistor-Surface-Mount_YAGEO-RC0402FR-077K5L_C137934.html" TargetMode="External"/><Relationship Id="rId14" Type="http://schemas.openxmlformats.org/officeDocument/2006/relationships/hyperlink" Target="https://www.lcsc.com/product-detail/Multilayer-Ceramic-Capacitors-MLCC-SMD-SMT_YAGEO-CC0603KRX5R9BB104_C110022.html" TargetMode="External"/><Relationship Id="rId22" Type="http://schemas.openxmlformats.org/officeDocument/2006/relationships/hyperlink" Target="https://www.lcsc.com/product-detail/multilayer-ceramic-capacitors-mlcc-smd-smt_yageo-cc0402jrnpo9bn101_C106200.html" TargetMode="External"/><Relationship Id="rId27" Type="http://schemas.openxmlformats.org/officeDocument/2006/relationships/hyperlink" Target="https://www.lcsc.com/product-detail/wire-to-board-connector_jst-b5b-xh-a-lf-sn_C157991.html" TargetMode="External"/><Relationship Id="rId30" Type="http://schemas.openxmlformats.org/officeDocument/2006/relationships/hyperlink" Target="https://www.lcsc.com/product-detail/power-inductors_sunlord-mwsa1206s-6r8mt_C408523.html" TargetMode="External"/><Relationship Id="rId35" Type="http://schemas.openxmlformats.org/officeDocument/2006/relationships/hyperlink" Target="https://www.lcsc.com/product-detail/chip-resistor-surface-mount_yageo-rt0402brd0710kl_C190095.html" TargetMode="External"/><Relationship Id="rId43" Type="http://schemas.openxmlformats.org/officeDocument/2006/relationships/hyperlink" Target="https://www.lcsc.com/product-detail/Automotive-Fuses_Littelfuse-028707-5PXCN_C142688.html" TargetMode="External"/><Relationship Id="rId8" Type="http://schemas.openxmlformats.org/officeDocument/2006/relationships/hyperlink" Target="https://www.lcsc.com/product-detail/Chip-Resistor-Surface-Mount_YAGEO-RC0402FR-073K9L_C131467.html" TargetMode="External"/><Relationship Id="rId3" Type="http://schemas.openxmlformats.org/officeDocument/2006/relationships/hyperlink" Target="https://www.lcsc.com/product-detail/Schottky-Diodes_STMicroelectronics-STPS20M100SG-TR_C969989.html" TargetMode="External"/><Relationship Id="rId12" Type="http://schemas.openxmlformats.org/officeDocument/2006/relationships/hyperlink" Target="https://www.lcsc.com/product-detail/Chip-Resistor-Surface-Mount_YAGEO-RC0402FR-073K3L_C137992.html" TargetMode="External"/><Relationship Id="rId17" Type="http://schemas.openxmlformats.org/officeDocument/2006/relationships/hyperlink" Target="https://www.lcsc.com/product-detail/multilayer-ceramic-capacitors-mlcc-smd-smt_yageo-cc0402krx5r8bb105_C326568.html" TargetMode="External"/><Relationship Id="rId25" Type="http://schemas.openxmlformats.org/officeDocument/2006/relationships/hyperlink" Target="https://www.lcsc.com/product-detail/fuseholders_littelfuse-178-6165-0002_C207061.html" TargetMode="External"/><Relationship Id="rId33" Type="http://schemas.openxmlformats.org/officeDocument/2006/relationships/hyperlink" Target="https://www.lcsc.com/product-detail/chip-resistor-surface-mount_yageo-rt0402brd0720kl_C705630.html" TargetMode="External"/><Relationship Id="rId38" Type="http://schemas.openxmlformats.org/officeDocument/2006/relationships/hyperlink" Target="https://www.lcsc.com/product-detail/chip-resistor-surface-mount_yageo-rt0402brd072k94l_C8527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4"/>
  <sheetViews>
    <sheetView tabSelected="1" topLeftCell="A28" workbookViewId="0">
      <selection activeCell="G57" sqref="G57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8"/>
      <c r="L1" s="48"/>
      <c r="M1" s="48"/>
      <c r="N1" s="48"/>
      <c r="O1" s="48"/>
      <c r="P1" s="48"/>
      <c r="Q1" s="48"/>
      <c r="R1" s="48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247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248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19</v>
      </c>
      <c r="E7" s="12" t="s">
        <v>62</v>
      </c>
      <c r="F7" s="12" t="s">
        <v>105</v>
      </c>
      <c r="G7" s="12" t="s">
        <v>128</v>
      </c>
      <c r="H7" s="12" t="s">
        <v>164</v>
      </c>
      <c r="I7" s="12" t="s">
        <v>254</v>
      </c>
      <c r="J7" s="12" t="s">
        <v>184</v>
      </c>
      <c r="K7" s="12" t="s">
        <v>249</v>
      </c>
      <c r="L7" s="12" t="s">
        <v>246</v>
      </c>
      <c r="M7" s="12" t="s">
        <v>255</v>
      </c>
      <c r="N7" s="12" t="s">
        <v>256</v>
      </c>
      <c r="O7" s="12" t="s">
        <v>257</v>
      </c>
      <c r="P7" s="12" t="s">
        <v>258</v>
      </c>
      <c r="Q7" s="12" t="s">
        <v>259</v>
      </c>
      <c r="R7" s="12" t="s">
        <v>260</v>
      </c>
    </row>
    <row r="8" spans="1:18" x14ac:dyDescent="0.25">
      <c r="A8" s="1"/>
      <c r="B8" s="16">
        <f>ROW(B8) - ROW($B$7)</f>
        <v>1</v>
      </c>
      <c r="C8" s="22" t="s">
        <v>6</v>
      </c>
      <c r="D8" s="14" t="s">
        <v>20</v>
      </c>
      <c r="E8" s="14" t="s">
        <v>63</v>
      </c>
      <c r="F8" s="14" t="s">
        <v>106</v>
      </c>
      <c r="G8" s="14" t="s">
        <v>129</v>
      </c>
      <c r="H8" s="14" t="s">
        <v>165</v>
      </c>
      <c r="I8" s="45" t="s">
        <v>298</v>
      </c>
      <c r="J8" s="14" t="s">
        <v>185</v>
      </c>
      <c r="K8" s="42" t="s">
        <v>221</v>
      </c>
      <c r="L8" s="14">
        <v>4</v>
      </c>
      <c r="M8" s="14">
        <f>L8*5</f>
        <v>20</v>
      </c>
      <c r="N8" s="14" t="s">
        <v>267</v>
      </c>
      <c r="O8" s="44" t="s">
        <v>253</v>
      </c>
      <c r="P8" s="15">
        <v>2.8E-3</v>
      </c>
      <c r="Q8" s="15">
        <f>P8*N8</f>
        <v>0.27999999999999997</v>
      </c>
      <c r="R8" s="14"/>
    </row>
    <row r="9" spans="1:18" x14ac:dyDescent="0.25">
      <c r="A9" s="1"/>
      <c r="B9" s="17">
        <f t="shared" ref="B9:B50" si="0">ROW(B9) - ROW($B$7)</f>
        <v>2</v>
      </c>
      <c r="C9" s="23" t="s">
        <v>6</v>
      </c>
      <c r="D9" s="20" t="s">
        <v>21</v>
      </c>
      <c r="E9" s="20" t="s">
        <v>64</v>
      </c>
      <c r="F9" s="20" t="s">
        <v>107</v>
      </c>
      <c r="G9" s="20" t="s">
        <v>130</v>
      </c>
      <c r="H9" s="20" t="s">
        <v>166</v>
      </c>
      <c r="I9" s="46" t="s">
        <v>298</v>
      </c>
      <c r="J9" s="20" t="s">
        <v>186</v>
      </c>
      <c r="K9" s="43" t="s">
        <v>222</v>
      </c>
      <c r="L9" s="20">
        <v>5</v>
      </c>
      <c r="M9" s="20">
        <f t="shared" ref="M9" si="1">L9*5</f>
        <v>25</v>
      </c>
      <c r="N9" s="14">
        <v>30</v>
      </c>
      <c r="O9" s="47" t="s">
        <v>253</v>
      </c>
      <c r="P9" s="15" t="s">
        <v>270</v>
      </c>
      <c r="Q9" s="21">
        <f t="shared" ref="Q9" si="2">P9*N9</f>
        <v>3.1020000000000003</v>
      </c>
      <c r="R9" s="20"/>
    </row>
    <row r="10" spans="1:18" ht="24" x14ac:dyDescent="0.25">
      <c r="A10" s="1"/>
      <c r="B10" s="16">
        <f>ROW(B10) - ROW($B$7)</f>
        <v>3</v>
      </c>
      <c r="C10" s="22" t="s">
        <v>6</v>
      </c>
      <c r="D10" s="14" t="s">
        <v>22</v>
      </c>
      <c r="E10" s="14" t="s">
        <v>65</v>
      </c>
      <c r="F10" s="14" t="s">
        <v>108</v>
      </c>
      <c r="G10" s="14" t="s">
        <v>131</v>
      </c>
      <c r="H10" s="14" t="s">
        <v>165</v>
      </c>
      <c r="I10" s="46" t="s">
        <v>298</v>
      </c>
      <c r="J10" s="14" t="s">
        <v>187</v>
      </c>
      <c r="K10" s="42" t="s">
        <v>223</v>
      </c>
      <c r="L10" s="14">
        <v>10</v>
      </c>
      <c r="M10" s="14">
        <f>L10*5</f>
        <v>50</v>
      </c>
      <c r="N10" s="14" t="s">
        <v>267</v>
      </c>
      <c r="O10" s="47" t="s">
        <v>253</v>
      </c>
      <c r="P10" s="15" t="s">
        <v>271</v>
      </c>
      <c r="Q10" s="15">
        <f>P10*N10</f>
        <v>0.09</v>
      </c>
      <c r="R10" s="14"/>
    </row>
    <row r="11" spans="1:18" x14ac:dyDescent="0.25">
      <c r="A11" s="1"/>
      <c r="B11" s="17">
        <f t="shared" si="0"/>
        <v>4</v>
      </c>
      <c r="C11" s="23" t="s">
        <v>6</v>
      </c>
      <c r="D11" s="20" t="s">
        <v>23</v>
      </c>
      <c r="E11" s="20" t="s">
        <v>66</v>
      </c>
      <c r="F11" s="20" t="s">
        <v>108</v>
      </c>
      <c r="G11" s="20" t="s">
        <v>132</v>
      </c>
      <c r="H11" s="20" t="s">
        <v>165</v>
      </c>
      <c r="I11" s="46" t="s">
        <v>298</v>
      </c>
      <c r="J11" s="20" t="s">
        <v>188</v>
      </c>
      <c r="K11" s="43" t="s">
        <v>224</v>
      </c>
      <c r="L11" s="20">
        <v>1</v>
      </c>
      <c r="M11" s="20">
        <f t="shared" ref="M11" si="3">L11*5</f>
        <v>5</v>
      </c>
      <c r="N11" s="14" t="s">
        <v>267</v>
      </c>
      <c r="O11" s="47" t="s">
        <v>253</v>
      </c>
      <c r="P11" s="15" t="s">
        <v>272</v>
      </c>
      <c r="Q11" s="21">
        <f t="shared" ref="Q11" si="4">P11*N11</f>
        <v>0.1</v>
      </c>
      <c r="R11" s="20"/>
    </row>
    <row r="12" spans="1:18" x14ac:dyDescent="0.25">
      <c r="A12" s="1"/>
      <c r="B12" s="16">
        <f>ROW(B12) - ROW($B$7)</f>
        <v>5</v>
      </c>
      <c r="C12" s="22" t="s">
        <v>6</v>
      </c>
      <c r="D12" s="14" t="s">
        <v>24</v>
      </c>
      <c r="E12" s="14" t="s">
        <v>67</v>
      </c>
      <c r="F12" s="14" t="s">
        <v>109</v>
      </c>
      <c r="G12" s="14" t="s">
        <v>133</v>
      </c>
      <c r="H12" s="14" t="s">
        <v>165</v>
      </c>
      <c r="I12" s="46" t="s">
        <v>298</v>
      </c>
      <c r="J12" s="14" t="s">
        <v>189</v>
      </c>
      <c r="K12" s="42" t="s">
        <v>225</v>
      </c>
      <c r="L12" s="14">
        <v>3</v>
      </c>
      <c r="M12" s="14">
        <f>L12*5</f>
        <v>15</v>
      </c>
      <c r="N12" s="14" t="s">
        <v>269</v>
      </c>
      <c r="O12" s="47" t="s">
        <v>253</v>
      </c>
      <c r="P12" s="15" t="s">
        <v>273</v>
      </c>
      <c r="Q12" s="15">
        <f>P12*N12</f>
        <v>1.3660000000000001</v>
      </c>
      <c r="R12" s="14"/>
    </row>
    <row r="13" spans="1:18" x14ac:dyDescent="0.25">
      <c r="A13" s="1"/>
      <c r="B13" s="17">
        <f t="shared" si="0"/>
        <v>6</v>
      </c>
      <c r="C13" s="23" t="s">
        <v>6</v>
      </c>
      <c r="D13" s="20" t="s">
        <v>25</v>
      </c>
      <c r="E13" s="20" t="s">
        <v>68</v>
      </c>
      <c r="F13" s="20" t="s">
        <v>110</v>
      </c>
      <c r="G13" s="20" t="s">
        <v>134</v>
      </c>
      <c r="H13" s="20" t="s">
        <v>167</v>
      </c>
      <c r="I13" s="46" t="s">
        <v>298</v>
      </c>
      <c r="J13" s="20" t="s">
        <v>190</v>
      </c>
      <c r="K13" s="43" t="s">
        <v>226</v>
      </c>
      <c r="L13" s="20">
        <v>3</v>
      </c>
      <c r="M13" s="20">
        <f t="shared" ref="M13" si="5">L13*5</f>
        <v>15</v>
      </c>
      <c r="N13" s="14">
        <v>20</v>
      </c>
      <c r="O13" s="47" t="s">
        <v>253</v>
      </c>
      <c r="P13" s="15" t="s">
        <v>274</v>
      </c>
      <c r="Q13" s="21">
        <f t="shared" ref="Q13" si="6">P13*N13</f>
        <v>5.8620000000000001</v>
      </c>
      <c r="R13" s="20"/>
    </row>
    <row r="14" spans="1:18" ht="36" x14ac:dyDescent="0.25">
      <c r="A14" s="1"/>
      <c r="B14" s="16">
        <f>ROW(B14) - ROW($B$7)</f>
        <v>7</v>
      </c>
      <c r="C14" s="22" t="s">
        <v>6</v>
      </c>
      <c r="D14" s="14" t="s">
        <v>26</v>
      </c>
      <c r="E14" s="14" t="s">
        <v>69</v>
      </c>
      <c r="F14" s="14" t="s">
        <v>111</v>
      </c>
      <c r="G14" s="14" t="s">
        <v>135</v>
      </c>
      <c r="H14" s="14" t="s">
        <v>168</v>
      </c>
      <c r="I14" s="46" t="s">
        <v>298</v>
      </c>
      <c r="J14" s="14" t="s">
        <v>191</v>
      </c>
      <c r="K14" s="42" t="s">
        <v>225</v>
      </c>
      <c r="L14" s="14">
        <v>2</v>
      </c>
      <c r="M14" s="14">
        <f>L14*5</f>
        <v>10</v>
      </c>
      <c r="N14" s="14">
        <v>15</v>
      </c>
      <c r="O14" s="47" t="s">
        <v>253</v>
      </c>
      <c r="P14" s="15" t="s">
        <v>275</v>
      </c>
      <c r="Q14" s="15">
        <f>P14*N14</f>
        <v>13.455</v>
      </c>
      <c r="R14" s="14"/>
    </row>
    <row r="15" spans="1:18" x14ac:dyDescent="0.25">
      <c r="A15" s="1"/>
      <c r="B15" s="17">
        <f t="shared" si="0"/>
        <v>8</v>
      </c>
      <c r="C15" s="22" t="s">
        <v>6</v>
      </c>
      <c r="D15" s="20" t="s">
        <v>27</v>
      </c>
      <c r="E15" s="20" t="s">
        <v>70</v>
      </c>
      <c r="F15" s="20" t="s">
        <v>107</v>
      </c>
      <c r="G15" s="20" t="s">
        <v>136</v>
      </c>
      <c r="H15" s="20" t="s">
        <v>169</v>
      </c>
      <c r="I15" s="46" t="s">
        <v>298</v>
      </c>
      <c r="J15" s="20" t="s">
        <v>192</v>
      </c>
      <c r="K15" s="43" t="s">
        <v>227</v>
      </c>
      <c r="L15" s="20">
        <v>1</v>
      </c>
      <c r="M15" s="20">
        <f t="shared" ref="M15" si="7">L15*5</f>
        <v>5</v>
      </c>
      <c r="N15" s="14">
        <v>10</v>
      </c>
      <c r="O15" s="47" t="s">
        <v>253</v>
      </c>
      <c r="P15" s="15" t="s">
        <v>276</v>
      </c>
      <c r="Q15" s="21">
        <f t="shared" ref="Q15" si="8">P15*N15</f>
        <v>1.7490000000000001</v>
      </c>
      <c r="R15" s="20"/>
    </row>
    <row r="16" spans="1:18" x14ac:dyDescent="0.25">
      <c r="A16" s="1"/>
      <c r="B16" s="16">
        <f>ROW(B16) - ROW($B$7)</f>
        <v>9</v>
      </c>
      <c r="C16" s="22" t="s">
        <v>6</v>
      </c>
      <c r="D16" s="14" t="s">
        <v>28</v>
      </c>
      <c r="E16" s="14" t="s">
        <v>71</v>
      </c>
      <c r="F16" s="14" t="s">
        <v>108</v>
      </c>
      <c r="G16" s="14" t="s">
        <v>137</v>
      </c>
      <c r="H16" s="14" t="s">
        <v>165</v>
      </c>
      <c r="I16" s="46" t="s">
        <v>298</v>
      </c>
      <c r="J16" s="14" t="s">
        <v>193</v>
      </c>
      <c r="K16" s="42" t="s">
        <v>227</v>
      </c>
      <c r="L16" s="14">
        <v>1</v>
      </c>
      <c r="M16" s="14">
        <f>L16*5</f>
        <v>5</v>
      </c>
      <c r="N16" s="14" t="s">
        <v>267</v>
      </c>
      <c r="O16" s="47" t="s">
        <v>253</v>
      </c>
      <c r="P16" s="15" t="s">
        <v>277</v>
      </c>
      <c r="Q16" s="15">
        <f>P16*N16</f>
        <v>0.70000000000000007</v>
      </c>
      <c r="R16" s="14"/>
    </row>
    <row r="17" spans="1:18" x14ac:dyDescent="0.25">
      <c r="A17" s="1"/>
      <c r="B17" s="17">
        <f t="shared" si="0"/>
        <v>10</v>
      </c>
      <c r="C17" s="22" t="s">
        <v>6</v>
      </c>
      <c r="D17" s="20" t="s">
        <v>29</v>
      </c>
      <c r="E17" s="20" t="s">
        <v>72</v>
      </c>
      <c r="F17" s="20" t="s">
        <v>108</v>
      </c>
      <c r="G17" s="20" t="s">
        <v>138</v>
      </c>
      <c r="H17" s="20" t="s">
        <v>165</v>
      </c>
      <c r="I17" s="46" t="s">
        <v>298</v>
      </c>
      <c r="J17" s="20" t="s">
        <v>194</v>
      </c>
      <c r="K17" s="43" t="s">
        <v>228</v>
      </c>
      <c r="L17" s="20">
        <v>1</v>
      </c>
      <c r="M17" s="20">
        <f t="shared" ref="M17" si="9">L17*5</f>
        <v>5</v>
      </c>
      <c r="N17" s="14" t="s">
        <v>267</v>
      </c>
      <c r="O17" s="47" t="s">
        <v>253</v>
      </c>
      <c r="P17" s="15" t="s">
        <v>278</v>
      </c>
      <c r="Q17" s="21">
        <f t="shared" ref="Q17" si="10">P17*N17</f>
        <v>0.3</v>
      </c>
      <c r="R17" s="20"/>
    </row>
    <row r="18" spans="1:18" x14ac:dyDescent="0.25">
      <c r="A18" s="1"/>
      <c r="B18" s="16">
        <f>ROW(B18) - ROW($B$7)</f>
        <v>11</v>
      </c>
      <c r="C18" s="22" t="s">
        <v>6</v>
      </c>
      <c r="D18" s="14" t="s">
        <v>30</v>
      </c>
      <c r="E18" s="14" t="s">
        <v>73</v>
      </c>
      <c r="F18" s="14" t="s">
        <v>106</v>
      </c>
      <c r="G18" s="14" t="s">
        <v>139</v>
      </c>
      <c r="H18" s="14" t="s">
        <v>166</v>
      </c>
      <c r="I18" s="46" t="s">
        <v>298</v>
      </c>
      <c r="J18" s="14" t="s">
        <v>195</v>
      </c>
      <c r="K18" s="42" t="s">
        <v>229</v>
      </c>
      <c r="L18" s="14">
        <v>1</v>
      </c>
      <c r="M18" s="14">
        <f>L18*5</f>
        <v>5</v>
      </c>
      <c r="N18" s="14" t="s">
        <v>267</v>
      </c>
      <c r="O18" s="47" t="s">
        <v>253</v>
      </c>
      <c r="P18" s="15" t="s">
        <v>279</v>
      </c>
      <c r="Q18" s="15">
        <f>P18*N18</f>
        <v>0.31</v>
      </c>
      <c r="R18" s="14"/>
    </row>
    <row r="19" spans="1:18" x14ac:dyDescent="0.25">
      <c r="A19" s="1"/>
      <c r="B19" s="17">
        <f t="shared" si="0"/>
        <v>12</v>
      </c>
      <c r="C19" s="22" t="s">
        <v>7</v>
      </c>
      <c r="D19" s="20" t="s">
        <v>31</v>
      </c>
      <c r="E19" s="20" t="s">
        <v>74</v>
      </c>
      <c r="F19" s="20" t="s">
        <v>112</v>
      </c>
      <c r="G19" s="20" t="s">
        <v>140</v>
      </c>
      <c r="H19" s="20" t="s">
        <v>170</v>
      </c>
      <c r="I19" s="46" t="s">
        <v>298</v>
      </c>
      <c r="J19" s="14" t="s">
        <v>261</v>
      </c>
      <c r="K19" s="43" t="s">
        <v>250</v>
      </c>
      <c r="L19" s="20">
        <v>3</v>
      </c>
      <c r="M19" s="20">
        <f t="shared" ref="M19" si="11">L19*5</f>
        <v>15</v>
      </c>
      <c r="N19" s="14" t="s">
        <v>268</v>
      </c>
      <c r="O19" s="44" t="s">
        <v>253</v>
      </c>
      <c r="P19" s="15">
        <v>1.5800000000000002E-2</v>
      </c>
      <c r="Q19" s="21">
        <f t="shared" ref="Q19" si="12">P19*N19</f>
        <v>0.79</v>
      </c>
      <c r="R19" s="20"/>
    </row>
    <row r="20" spans="1:18" x14ac:dyDescent="0.25">
      <c r="A20" s="1"/>
      <c r="B20" s="16">
        <f>ROW(B20) - ROW($B$7)</f>
        <v>13</v>
      </c>
      <c r="C20" s="22" t="s">
        <v>7</v>
      </c>
      <c r="D20" s="14" t="s">
        <v>32</v>
      </c>
      <c r="E20" s="14" t="s">
        <v>75</v>
      </c>
      <c r="F20" s="14" t="s">
        <v>113</v>
      </c>
      <c r="G20" s="14" t="s">
        <v>141</v>
      </c>
      <c r="H20" s="14" t="s">
        <v>171</v>
      </c>
      <c r="I20" s="46" t="s">
        <v>298</v>
      </c>
      <c r="J20" s="20" t="s">
        <v>262</v>
      </c>
      <c r="K20" s="43" t="s">
        <v>250</v>
      </c>
      <c r="L20" s="14">
        <v>1</v>
      </c>
      <c r="M20" s="14">
        <f>L20*5</f>
        <v>5</v>
      </c>
      <c r="N20" s="14">
        <v>10</v>
      </c>
      <c r="O20" s="44" t="s">
        <v>253</v>
      </c>
      <c r="P20" s="21">
        <v>0.153</v>
      </c>
      <c r="Q20" s="15">
        <f>P20*N20</f>
        <v>1.53</v>
      </c>
      <c r="R20" s="14"/>
    </row>
    <row r="21" spans="1:18" x14ac:dyDescent="0.25">
      <c r="A21" s="1"/>
      <c r="B21" s="17">
        <f t="shared" si="0"/>
        <v>14</v>
      </c>
      <c r="C21" s="23" t="s">
        <v>7</v>
      </c>
      <c r="D21" s="20" t="s">
        <v>33</v>
      </c>
      <c r="E21" s="20" t="s">
        <v>76</v>
      </c>
      <c r="F21" s="20" t="s">
        <v>114</v>
      </c>
      <c r="G21" s="20" t="s">
        <v>142</v>
      </c>
      <c r="H21" s="20" t="s">
        <v>172</v>
      </c>
      <c r="I21" s="46" t="s">
        <v>298</v>
      </c>
      <c r="J21" s="20" t="s">
        <v>196</v>
      </c>
      <c r="K21" s="43" t="s">
        <v>250</v>
      </c>
      <c r="L21" s="20">
        <v>1</v>
      </c>
      <c r="M21" s="20">
        <f t="shared" ref="M21" si="13">L21*5</f>
        <v>5</v>
      </c>
      <c r="N21" s="14">
        <v>6</v>
      </c>
      <c r="O21" s="44" t="s">
        <v>253</v>
      </c>
      <c r="P21" s="15">
        <v>0.97599999999999998</v>
      </c>
      <c r="Q21" s="21">
        <f t="shared" ref="Q21" si="14">P21*N21</f>
        <v>5.8559999999999999</v>
      </c>
      <c r="R21" s="20"/>
    </row>
    <row r="22" spans="1:18" x14ac:dyDescent="0.25">
      <c r="A22" s="1"/>
      <c r="B22" s="16">
        <f>ROW(B22) - ROW($B$7)</f>
        <v>15</v>
      </c>
      <c r="C22" s="22" t="s">
        <v>8</v>
      </c>
      <c r="D22" s="14" t="s">
        <v>34</v>
      </c>
      <c r="E22" s="14" t="s">
        <v>77</v>
      </c>
      <c r="F22" s="14" t="s">
        <v>251</v>
      </c>
      <c r="G22" s="14" t="s">
        <v>115</v>
      </c>
      <c r="H22" s="14" t="s">
        <v>173</v>
      </c>
      <c r="I22" s="46" t="s">
        <v>298</v>
      </c>
      <c r="J22" s="14" t="s">
        <v>197</v>
      </c>
      <c r="K22" s="43" t="s">
        <v>250</v>
      </c>
      <c r="L22" s="14">
        <v>1</v>
      </c>
      <c r="M22" s="14">
        <f>L22*5</f>
        <v>5</v>
      </c>
      <c r="N22" s="14">
        <v>6</v>
      </c>
      <c r="O22" s="47" t="s">
        <v>253</v>
      </c>
      <c r="P22" s="15" t="s">
        <v>280</v>
      </c>
      <c r="Q22" s="15">
        <f>P22*N22</f>
        <v>7.3452000000000002</v>
      </c>
      <c r="R22" s="14"/>
    </row>
    <row r="23" spans="1:18" x14ac:dyDescent="0.25">
      <c r="A23" s="1"/>
      <c r="B23" s="17">
        <f t="shared" si="0"/>
        <v>16</v>
      </c>
      <c r="C23" s="23" t="s">
        <v>9</v>
      </c>
      <c r="D23" s="20" t="s">
        <v>35</v>
      </c>
      <c r="E23" s="20" t="s">
        <v>78</v>
      </c>
      <c r="F23" s="14" t="s">
        <v>251</v>
      </c>
      <c r="G23" s="20">
        <v>1715721</v>
      </c>
      <c r="H23" s="20" t="s">
        <v>174</v>
      </c>
      <c r="I23" s="46" t="s">
        <v>298</v>
      </c>
      <c r="J23" s="14" t="s">
        <v>263</v>
      </c>
      <c r="K23" s="43" t="s">
        <v>250</v>
      </c>
      <c r="L23" s="20">
        <v>1</v>
      </c>
      <c r="M23" s="20">
        <f t="shared" ref="M23" si="15">L23*5</f>
        <v>5</v>
      </c>
      <c r="N23" s="14">
        <v>6</v>
      </c>
      <c r="O23" s="44" t="s">
        <v>253</v>
      </c>
      <c r="P23" s="15">
        <v>0.30509999999999998</v>
      </c>
      <c r="Q23" s="21">
        <f t="shared" ref="Q23" si="16">P23*N23</f>
        <v>1.8306</v>
      </c>
      <c r="R23" s="20"/>
    </row>
    <row r="24" spans="1:18" ht="48" x14ac:dyDescent="0.25">
      <c r="A24" s="1"/>
      <c r="B24" s="16">
        <f>ROW(B24) - ROW($B$7)</f>
        <v>17</v>
      </c>
      <c r="C24" s="22" t="s">
        <v>10</v>
      </c>
      <c r="D24" s="14" t="s">
        <v>36</v>
      </c>
      <c r="E24" s="14" t="s">
        <v>79</v>
      </c>
      <c r="F24" s="14" t="s">
        <v>251</v>
      </c>
      <c r="G24" s="14" t="s">
        <v>116</v>
      </c>
      <c r="H24" s="14" t="s">
        <v>175</v>
      </c>
      <c r="I24" s="46" t="s">
        <v>298</v>
      </c>
      <c r="J24" s="14" t="s">
        <v>266</v>
      </c>
      <c r="K24" s="43" t="s">
        <v>250</v>
      </c>
      <c r="L24" s="14">
        <v>4</v>
      </c>
      <c r="M24" s="14">
        <f>L24*5</f>
        <v>20</v>
      </c>
      <c r="N24" s="14" t="s">
        <v>268</v>
      </c>
      <c r="O24" s="47" t="s">
        <v>253</v>
      </c>
      <c r="P24" s="15" t="s">
        <v>281</v>
      </c>
      <c r="Q24" s="15">
        <f>P24*N24</f>
        <v>0.92999999999999994</v>
      </c>
      <c r="R24" s="14"/>
    </row>
    <row r="25" spans="1:18" ht="24" x14ac:dyDescent="0.25">
      <c r="A25" s="1"/>
      <c r="B25" s="17">
        <f t="shared" si="0"/>
        <v>18</v>
      </c>
      <c r="C25" s="23" t="s">
        <v>11</v>
      </c>
      <c r="D25" s="20" t="s">
        <v>37</v>
      </c>
      <c r="E25" s="20" t="s">
        <v>80</v>
      </c>
      <c r="F25" s="14" t="s">
        <v>251</v>
      </c>
      <c r="G25" s="20" t="s">
        <v>143</v>
      </c>
      <c r="H25" s="20" t="s">
        <v>176</v>
      </c>
      <c r="I25" s="46" t="s">
        <v>298</v>
      </c>
      <c r="J25" s="20" t="s">
        <v>198</v>
      </c>
      <c r="K25" s="43" t="s">
        <v>250</v>
      </c>
      <c r="L25" s="20">
        <v>1</v>
      </c>
      <c r="M25" s="20">
        <f t="shared" ref="M25" si="17">L25*5</f>
        <v>5</v>
      </c>
      <c r="N25" s="14">
        <v>10</v>
      </c>
      <c r="O25" s="47" t="s">
        <v>253</v>
      </c>
      <c r="P25" s="15" t="s">
        <v>282</v>
      </c>
      <c r="Q25" s="21">
        <f t="shared" ref="Q25" si="18">P25*N25</f>
        <v>0.69000000000000006</v>
      </c>
      <c r="R25" s="20"/>
    </row>
    <row r="26" spans="1:18" ht="48" x14ac:dyDescent="0.25">
      <c r="A26" s="1"/>
      <c r="B26" s="16">
        <f>ROW(B26) - ROW($B$7)</f>
        <v>19</v>
      </c>
      <c r="C26" s="22" t="s">
        <v>12</v>
      </c>
      <c r="D26" s="14" t="s">
        <v>38</v>
      </c>
      <c r="E26" s="14" t="s">
        <v>81</v>
      </c>
      <c r="F26" s="14" t="s">
        <v>251</v>
      </c>
      <c r="G26" s="14" t="s">
        <v>117</v>
      </c>
      <c r="H26" s="14" t="s">
        <v>177</v>
      </c>
      <c r="I26" s="46" t="s">
        <v>298</v>
      </c>
      <c r="J26" s="14" t="s">
        <v>199</v>
      </c>
      <c r="K26" s="43" t="s">
        <v>250</v>
      </c>
      <c r="L26" s="14">
        <v>4</v>
      </c>
      <c r="M26" s="14">
        <f>L26*5</f>
        <v>20</v>
      </c>
      <c r="N26" s="14">
        <v>25</v>
      </c>
      <c r="O26" s="47" t="s">
        <v>253</v>
      </c>
      <c r="P26" s="15" t="s">
        <v>283</v>
      </c>
      <c r="Q26" s="15">
        <f>P26*N26</f>
        <v>6.2125000000000004</v>
      </c>
      <c r="R26" s="14"/>
    </row>
    <row r="27" spans="1:18" ht="36" x14ac:dyDescent="0.25">
      <c r="A27" s="1"/>
      <c r="B27" s="17">
        <f t="shared" si="0"/>
        <v>20</v>
      </c>
      <c r="C27" s="23" t="s">
        <v>13</v>
      </c>
      <c r="D27" s="20" t="s">
        <v>39</v>
      </c>
      <c r="E27" s="20" t="s">
        <v>82</v>
      </c>
      <c r="F27" s="14" t="s">
        <v>251</v>
      </c>
      <c r="G27" s="20" t="s">
        <v>118</v>
      </c>
      <c r="H27" s="20" t="s">
        <v>178</v>
      </c>
      <c r="I27" s="46" t="s">
        <v>298</v>
      </c>
      <c r="J27" s="20" t="s">
        <v>200</v>
      </c>
      <c r="K27" s="43" t="s">
        <v>250</v>
      </c>
      <c r="L27" s="20">
        <v>4</v>
      </c>
      <c r="M27" s="20">
        <f t="shared" ref="M27" si="19">L27*5</f>
        <v>20</v>
      </c>
      <c r="N27" s="14">
        <v>21</v>
      </c>
      <c r="O27" s="47" t="s">
        <v>253</v>
      </c>
      <c r="P27" s="15" t="s">
        <v>284</v>
      </c>
      <c r="Q27" s="21">
        <f t="shared" ref="Q27" si="20">P27*N27</f>
        <v>11.6424</v>
      </c>
      <c r="R27" s="20"/>
    </row>
    <row r="28" spans="1:18" x14ac:dyDescent="0.25">
      <c r="A28" s="1"/>
      <c r="B28" s="16">
        <f>ROW(B28) - ROW($B$7)</f>
        <v>21</v>
      </c>
      <c r="C28" s="22" t="s">
        <v>14</v>
      </c>
      <c r="D28" s="14" t="s">
        <v>40</v>
      </c>
      <c r="E28" s="14" t="s">
        <v>83</v>
      </c>
      <c r="F28" s="14" t="s">
        <v>251</v>
      </c>
      <c r="G28" s="14" t="s">
        <v>119</v>
      </c>
      <c r="H28" s="14" t="s">
        <v>179</v>
      </c>
      <c r="I28" s="46" t="s">
        <v>298</v>
      </c>
      <c r="J28" s="14" t="s">
        <v>201</v>
      </c>
      <c r="K28" s="42" t="s">
        <v>230</v>
      </c>
      <c r="L28" s="14">
        <v>1</v>
      </c>
      <c r="M28" s="14">
        <f>L28*5</f>
        <v>5</v>
      </c>
      <c r="N28" s="14">
        <v>6</v>
      </c>
      <c r="O28" s="47" t="s">
        <v>253</v>
      </c>
      <c r="P28" s="15" t="s">
        <v>285</v>
      </c>
      <c r="Q28" s="15">
        <f>P28*N28</f>
        <v>3.0642000000000005</v>
      </c>
      <c r="R28" s="14"/>
    </row>
    <row r="29" spans="1:18" ht="36" x14ac:dyDescent="0.25">
      <c r="A29" s="1"/>
      <c r="B29" s="17">
        <f t="shared" si="0"/>
        <v>22</v>
      </c>
      <c r="C29" s="23" t="s">
        <v>14</v>
      </c>
      <c r="D29" s="20" t="s">
        <v>41</v>
      </c>
      <c r="E29" s="20" t="s">
        <v>84</v>
      </c>
      <c r="F29" s="14" t="s">
        <v>251</v>
      </c>
      <c r="G29" s="20" t="s">
        <v>120</v>
      </c>
      <c r="H29" s="20" t="s">
        <v>180</v>
      </c>
      <c r="I29" s="46" t="s">
        <v>298</v>
      </c>
      <c r="J29" s="20" t="s">
        <v>202</v>
      </c>
      <c r="K29" s="43" t="s">
        <v>231</v>
      </c>
      <c r="L29" s="20">
        <v>1</v>
      </c>
      <c r="M29" s="20">
        <f t="shared" ref="M29" si="21">L29*5</f>
        <v>5</v>
      </c>
      <c r="N29" s="14">
        <v>6</v>
      </c>
      <c r="O29" s="47" t="s">
        <v>253</v>
      </c>
      <c r="P29" s="15" t="s">
        <v>286</v>
      </c>
      <c r="Q29" s="21">
        <f t="shared" ref="Q29" si="22">P29*N29</f>
        <v>12.468</v>
      </c>
      <c r="R29" s="20"/>
    </row>
    <row r="30" spans="1:18" ht="24" x14ac:dyDescent="0.25">
      <c r="A30" s="1"/>
      <c r="B30" s="16">
        <f>ROW(B30) - ROW($B$7)</f>
        <v>23</v>
      </c>
      <c r="C30" s="22" t="s">
        <v>15</v>
      </c>
      <c r="D30" s="14" t="s">
        <v>42</v>
      </c>
      <c r="E30" s="14" t="s">
        <v>85</v>
      </c>
      <c r="F30" s="14" t="s">
        <v>121</v>
      </c>
      <c r="G30" s="14" t="s">
        <v>144</v>
      </c>
      <c r="H30" s="14" t="s">
        <v>181</v>
      </c>
      <c r="I30" s="46" t="s">
        <v>298</v>
      </c>
      <c r="J30" s="14" t="s">
        <v>203</v>
      </c>
      <c r="K30" s="42" t="s">
        <v>250</v>
      </c>
      <c r="L30" s="14">
        <v>3</v>
      </c>
      <c r="M30" s="14">
        <f>L30*5</f>
        <v>15</v>
      </c>
      <c r="N30" s="14" t="s">
        <v>269</v>
      </c>
      <c r="O30" s="47" t="s">
        <v>253</v>
      </c>
      <c r="P30" s="15" t="s">
        <v>287</v>
      </c>
      <c r="Q30" s="15">
        <f>P30*N30</f>
        <v>0.45400000000000001</v>
      </c>
      <c r="R30" s="14"/>
    </row>
    <row r="31" spans="1:18" ht="24" x14ac:dyDescent="0.25">
      <c r="A31" s="1"/>
      <c r="B31" s="17">
        <f t="shared" si="0"/>
        <v>24</v>
      </c>
      <c r="C31" s="23" t="s">
        <v>15</v>
      </c>
      <c r="D31" s="20" t="s">
        <v>43</v>
      </c>
      <c r="E31" s="20" t="s">
        <v>86</v>
      </c>
      <c r="F31" s="20" t="s">
        <v>121</v>
      </c>
      <c r="G31" s="20" t="s">
        <v>145</v>
      </c>
      <c r="H31" s="20" t="s">
        <v>181</v>
      </c>
      <c r="I31" s="46" t="s">
        <v>298</v>
      </c>
      <c r="J31" s="20" t="s">
        <v>204</v>
      </c>
      <c r="K31" s="42" t="s">
        <v>250</v>
      </c>
      <c r="L31" s="20">
        <v>4</v>
      </c>
      <c r="M31" s="20">
        <f t="shared" ref="M31" si="23">L31*5</f>
        <v>20</v>
      </c>
      <c r="N31" s="14">
        <v>40</v>
      </c>
      <c r="O31" s="44" t="s">
        <v>253</v>
      </c>
      <c r="P31" s="21">
        <v>3.0599999999999999E-2</v>
      </c>
      <c r="Q31" s="21">
        <f t="shared" ref="Q31" si="24">P31*N31</f>
        <v>1.224</v>
      </c>
      <c r="R31" s="20"/>
    </row>
    <row r="32" spans="1:18" x14ac:dyDescent="0.25">
      <c r="A32" s="1"/>
      <c r="B32" s="16">
        <f>ROW(B32) - ROW($B$7)</f>
        <v>25</v>
      </c>
      <c r="C32" s="22" t="s">
        <v>16</v>
      </c>
      <c r="D32" s="14" t="s">
        <v>44</v>
      </c>
      <c r="E32" s="14" t="s">
        <v>87</v>
      </c>
      <c r="F32" s="14" t="s">
        <v>122</v>
      </c>
      <c r="G32" s="14" t="s">
        <v>146</v>
      </c>
      <c r="H32" s="14" t="s">
        <v>182</v>
      </c>
      <c r="I32" s="46" t="s">
        <v>298</v>
      </c>
      <c r="J32" s="14" t="s">
        <v>205</v>
      </c>
      <c r="K32" s="42" t="s">
        <v>250</v>
      </c>
      <c r="L32" s="14">
        <v>1</v>
      </c>
      <c r="M32" s="14">
        <f>L32*5</f>
        <v>5</v>
      </c>
      <c r="N32" s="14">
        <v>10</v>
      </c>
      <c r="O32" s="44" t="s">
        <v>253</v>
      </c>
      <c r="P32" s="21">
        <v>0.22750000000000001</v>
      </c>
      <c r="Q32" s="15">
        <f>P32*N32</f>
        <v>2.2749999999999999</v>
      </c>
      <c r="R32" s="14"/>
    </row>
    <row r="33" spans="1:18" x14ac:dyDescent="0.25">
      <c r="A33" s="1"/>
      <c r="B33" s="17">
        <f t="shared" si="0"/>
        <v>26</v>
      </c>
      <c r="C33" s="23" t="s">
        <v>17</v>
      </c>
      <c r="D33" s="20" t="s">
        <v>45</v>
      </c>
      <c r="E33" s="20" t="s">
        <v>88</v>
      </c>
      <c r="F33" s="20" t="s">
        <v>123</v>
      </c>
      <c r="G33" s="20" t="s">
        <v>147</v>
      </c>
      <c r="H33" s="20" t="s">
        <v>165</v>
      </c>
      <c r="I33" s="46" t="s">
        <v>298</v>
      </c>
      <c r="J33" s="20" t="s">
        <v>206</v>
      </c>
      <c r="K33" s="43" t="s">
        <v>232</v>
      </c>
      <c r="L33" s="20">
        <v>1</v>
      </c>
      <c r="M33" s="20">
        <f t="shared" ref="M33" si="25">L33*5</f>
        <v>5</v>
      </c>
      <c r="N33" s="14" t="s">
        <v>267</v>
      </c>
      <c r="O33" s="44" t="s">
        <v>253</v>
      </c>
      <c r="P33" s="15">
        <v>5.9999999999999995E-4</v>
      </c>
      <c r="Q33" s="21">
        <f t="shared" ref="Q33" si="26">P33*N33</f>
        <v>0.06</v>
      </c>
      <c r="R33" s="20"/>
    </row>
    <row r="34" spans="1:18" x14ac:dyDescent="0.25">
      <c r="A34" s="1"/>
      <c r="B34" s="16">
        <f>ROW(B34) - ROW($B$7)</f>
        <v>27</v>
      </c>
      <c r="C34" s="22" t="s">
        <v>17</v>
      </c>
      <c r="D34" s="14" t="s">
        <v>46</v>
      </c>
      <c r="E34" s="14" t="s">
        <v>89</v>
      </c>
      <c r="F34" s="14" t="s">
        <v>123</v>
      </c>
      <c r="G34" s="14" t="s">
        <v>148</v>
      </c>
      <c r="H34" s="14" t="s">
        <v>165</v>
      </c>
      <c r="I34" s="46" t="s">
        <v>298</v>
      </c>
      <c r="J34" s="14" t="s">
        <v>207</v>
      </c>
      <c r="K34" s="42" t="s">
        <v>233</v>
      </c>
      <c r="L34" s="14">
        <v>1</v>
      </c>
      <c r="M34" s="14">
        <f>L34*5</f>
        <v>5</v>
      </c>
      <c r="N34" s="14" t="s">
        <v>269</v>
      </c>
      <c r="O34" s="47" t="s">
        <v>253</v>
      </c>
      <c r="P34" s="21" t="s">
        <v>288</v>
      </c>
      <c r="Q34" s="15">
        <f>P34*N34</f>
        <v>0.38600000000000001</v>
      </c>
      <c r="R34" s="14"/>
    </row>
    <row r="35" spans="1:18" x14ac:dyDescent="0.25">
      <c r="A35" s="1"/>
      <c r="B35" s="17">
        <f t="shared" si="0"/>
        <v>28</v>
      </c>
      <c r="C35" s="23" t="s">
        <v>17</v>
      </c>
      <c r="D35" s="20" t="s">
        <v>47</v>
      </c>
      <c r="E35" s="20" t="s">
        <v>90</v>
      </c>
      <c r="F35" s="20" t="s">
        <v>124</v>
      </c>
      <c r="G35" s="20" t="s">
        <v>149</v>
      </c>
      <c r="H35" s="20" t="s">
        <v>165</v>
      </c>
      <c r="I35" s="46" t="s">
        <v>298</v>
      </c>
      <c r="J35" s="20" t="s">
        <v>208</v>
      </c>
      <c r="K35" s="43" t="s">
        <v>234</v>
      </c>
      <c r="L35" s="20">
        <v>1</v>
      </c>
      <c r="M35" s="20">
        <f t="shared" ref="M35" si="27">L35*5</f>
        <v>5</v>
      </c>
      <c r="N35" s="14" t="s">
        <v>269</v>
      </c>
      <c r="O35" s="47" t="s">
        <v>253</v>
      </c>
      <c r="P35" s="21" t="s">
        <v>289</v>
      </c>
      <c r="Q35" s="21">
        <f t="shared" ref="Q35" si="28">P35*N35</f>
        <v>0.44600000000000001</v>
      </c>
      <c r="R35" s="20"/>
    </row>
    <row r="36" spans="1:18" x14ac:dyDescent="0.25">
      <c r="A36" s="1"/>
      <c r="B36" s="16">
        <f>ROW(B36) - ROW($B$7)</f>
        <v>29</v>
      </c>
      <c r="C36" s="22" t="s">
        <v>17</v>
      </c>
      <c r="D36" s="14" t="s">
        <v>48</v>
      </c>
      <c r="E36" s="14" t="s">
        <v>91</v>
      </c>
      <c r="F36" s="14" t="s">
        <v>123</v>
      </c>
      <c r="G36" s="14" t="s">
        <v>150</v>
      </c>
      <c r="H36" s="14" t="s">
        <v>165</v>
      </c>
      <c r="I36" s="46" t="s">
        <v>298</v>
      </c>
      <c r="J36" s="14" t="s">
        <v>209</v>
      </c>
      <c r="K36" s="42" t="s">
        <v>235</v>
      </c>
      <c r="L36" s="14">
        <v>1</v>
      </c>
      <c r="M36" s="14">
        <f>L36*5</f>
        <v>5</v>
      </c>
      <c r="N36" s="14" t="s">
        <v>267</v>
      </c>
      <c r="O36" s="44" t="s">
        <v>253</v>
      </c>
      <c r="P36" s="21">
        <v>5.9999999999999995E-4</v>
      </c>
      <c r="Q36" s="15">
        <f>P36*N36</f>
        <v>0.06</v>
      </c>
      <c r="R36" s="14"/>
    </row>
    <row r="37" spans="1:18" x14ac:dyDescent="0.25">
      <c r="A37" s="1"/>
      <c r="B37" s="17">
        <f t="shared" si="0"/>
        <v>30</v>
      </c>
      <c r="C37" s="23" t="s">
        <v>17</v>
      </c>
      <c r="D37" s="20" t="s">
        <v>49</v>
      </c>
      <c r="E37" s="20" t="s">
        <v>92</v>
      </c>
      <c r="F37" s="20" t="s">
        <v>123</v>
      </c>
      <c r="G37" s="20" t="s">
        <v>151</v>
      </c>
      <c r="H37" s="20" t="s">
        <v>165</v>
      </c>
      <c r="I37" s="46" t="s">
        <v>298</v>
      </c>
      <c r="J37" s="20" t="s">
        <v>210</v>
      </c>
      <c r="K37" s="43" t="s">
        <v>236</v>
      </c>
      <c r="L37" s="20">
        <v>1</v>
      </c>
      <c r="M37" s="20">
        <f t="shared" ref="M37" si="29">L37*5</f>
        <v>5</v>
      </c>
      <c r="N37" s="14" t="s">
        <v>268</v>
      </c>
      <c r="O37" s="47" t="s">
        <v>253</v>
      </c>
      <c r="P37" s="21" t="s">
        <v>290</v>
      </c>
      <c r="Q37" s="21">
        <f t="shared" ref="Q37" si="30">P37*N37</f>
        <v>0.85499999999999998</v>
      </c>
      <c r="R37" s="20"/>
    </row>
    <row r="38" spans="1:18" x14ac:dyDescent="0.25">
      <c r="A38" s="1"/>
      <c r="B38" s="16">
        <f>ROW(B38) - ROW($B$7)</f>
        <v>31</v>
      </c>
      <c r="C38" s="23" t="s">
        <v>17</v>
      </c>
      <c r="D38" s="14" t="s">
        <v>50</v>
      </c>
      <c r="E38" s="14" t="s">
        <v>93</v>
      </c>
      <c r="F38" s="14" t="s">
        <v>123</v>
      </c>
      <c r="G38" s="14" t="s">
        <v>152</v>
      </c>
      <c r="H38" s="14" t="s">
        <v>165</v>
      </c>
      <c r="I38" s="46" t="s">
        <v>298</v>
      </c>
      <c r="J38" s="14" t="s">
        <v>211</v>
      </c>
      <c r="K38" s="42" t="s">
        <v>237</v>
      </c>
      <c r="L38" s="14">
        <v>1</v>
      </c>
      <c r="M38" s="14">
        <f>L38*5</f>
        <v>5</v>
      </c>
      <c r="N38" s="14" t="s">
        <v>267</v>
      </c>
      <c r="O38" s="44" t="s">
        <v>253</v>
      </c>
      <c r="P38" s="21">
        <v>5.9999999999999995E-4</v>
      </c>
      <c r="Q38" s="15">
        <f>P38*N38</f>
        <v>0.06</v>
      </c>
      <c r="R38" s="14"/>
    </row>
    <row r="39" spans="1:18" x14ac:dyDescent="0.25">
      <c r="A39" s="1"/>
      <c r="B39" s="17">
        <f t="shared" si="0"/>
        <v>32</v>
      </c>
      <c r="C39" s="23" t="s">
        <v>17</v>
      </c>
      <c r="D39" s="20" t="s">
        <v>51</v>
      </c>
      <c r="E39" s="20" t="s">
        <v>94</v>
      </c>
      <c r="F39" s="20" t="s">
        <v>123</v>
      </c>
      <c r="G39" s="20" t="s">
        <v>153</v>
      </c>
      <c r="H39" s="20" t="s">
        <v>165</v>
      </c>
      <c r="I39" s="46" t="s">
        <v>298</v>
      </c>
      <c r="J39" s="20" t="s">
        <v>212</v>
      </c>
      <c r="K39" s="43" t="s">
        <v>238</v>
      </c>
      <c r="L39" s="20">
        <v>1</v>
      </c>
      <c r="M39" s="20">
        <f t="shared" ref="M39" si="31">L39*5</f>
        <v>5</v>
      </c>
      <c r="N39" s="14" t="s">
        <v>267</v>
      </c>
      <c r="O39" s="47" t="s">
        <v>253</v>
      </c>
      <c r="P39" s="21" t="s">
        <v>291</v>
      </c>
      <c r="Q39" s="21">
        <f t="shared" ref="Q39" si="32">P39*N39</f>
        <v>0.11</v>
      </c>
      <c r="R39" s="20"/>
    </row>
    <row r="40" spans="1:18" x14ac:dyDescent="0.25">
      <c r="A40" s="1"/>
      <c r="B40" s="16">
        <f>ROW(B40) - ROW($B$7)</f>
        <v>33</v>
      </c>
      <c r="C40" s="22" t="s">
        <v>17</v>
      </c>
      <c r="D40" s="14" t="s">
        <v>52</v>
      </c>
      <c r="E40" s="14" t="s">
        <v>95</v>
      </c>
      <c r="F40" s="14" t="s">
        <v>123</v>
      </c>
      <c r="G40" s="14" t="s">
        <v>154</v>
      </c>
      <c r="H40" s="14" t="s">
        <v>165</v>
      </c>
      <c r="I40" s="46" t="s">
        <v>298</v>
      </c>
      <c r="J40" s="14" t="s">
        <v>213</v>
      </c>
      <c r="K40" s="42" t="s">
        <v>239</v>
      </c>
      <c r="L40" s="14">
        <v>1</v>
      </c>
      <c r="M40" s="14">
        <f>L40*5</f>
        <v>5</v>
      </c>
      <c r="N40" s="14" t="s">
        <v>267</v>
      </c>
      <c r="O40" s="44" t="s">
        <v>253</v>
      </c>
      <c r="P40" s="21">
        <v>6.9999999999999999E-4</v>
      </c>
      <c r="Q40" s="15">
        <f>P40*N40</f>
        <v>6.9999999999999993E-2</v>
      </c>
      <c r="R40" s="14"/>
    </row>
    <row r="41" spans="1:18" x14ac:dyDescent="0.25">
      <c r="A41" s="1"/>
      <c r="B41" s="17">
        <f t="shared" si="0"/>
        <v>34</v>
      </c>
      <c r="C41" s="23" t="s">
        <v>17</v>
      </c>
      <c r="D41" s="20" t="s">
        <v>53</v>
      </c>
      <c r="E41" s="20" t="s">
        <v>96</v>
      </c>
      <c r="F41" s="20" t="s">
        <v>123</v>
      </c>
      <c r="G41" s="20" t="s">
        <v>155</v>
      </c>
      <c r="H41" s="20" t="s">
        <v>165</v>
      </c>
      <c r="I41" s="46" t="s">
        <v>298</v>
      </c>
      <c r="J41" s="20" t="s">
        <v>214</v>
      </c>
      <c r="K41" s="43" t="s">
        <v>240</v>
      </c>
      <c r="L41" s="20">
        <v>1</v>
      </c>
      <c r="M41" s="20">
        <f t="shared" ref="M41" si="33">L41*5</f>
        <v>5</v>
      </c>
      <c r="N41" s="14" t="s">
        <v>268</v>
      </c>
      <c r="O41" s="47" t="s">
        <v>253</v>
      </c>
      <c r="P41" s="21" t="s">
        <v>292</v>
      </c>
      <c r="Q41" s="21">
        <f t="shared" ref="Q41" si="34">P41*N41</f>
        <v>1.0049999999999999</v>
      </c>
      <c r="R41" s="20"/>
    </row>
    <row r="42" spans="1:18" x14ac:dyDescent="0.25">
      <c r="A42" s="1"/>
      <c r="B42" s="16">
        <f>ROW(B42) - ROW($B$7)</f>
        <v>35</v>
      </c>
      <c r="C42" s="22" t="s">
        <v>17</v>
      </c>
      <c r="D42" s="14" t="s">
        <v>54</v>
      </c>
      <c r="E42" s="14" t="s">
        <v>97</v>
      </c>
      <c r="F42" s="14" t="s">
        <v>124</v>
      </c>
      <c r="G42" s="14" t="s">
        <v>156</v>
      </c>
      <c r="H42" s="14" t="s">
        <v>165</v>
      </c>
      <c r="I42" s="46" t="s">
        <v>298</v>
      </c>
      <c r="J42" s="20" t="s">
        <v>264</v>
      </c>
      <c r="K42" s="42" t="s">
        <v>241</v>
      </c>
      <c r="L42" s="14">
        <v>1</v>
      </c>
      <c r="M42" s="14">
        <f>L42*5</f>
        <v>5</v>
      </c>
      <c r="N42" s="14" t="s">
        <v>267</v>
      </c>
      <c r="O42" s="44" t="s">
        <v>253</v>
      </c>
      <c r="P42" s="21">
        <v>1.1999999999999999E-3</v>
      </c>
      <c r="Q42" s="15">
        <f>P42*N42</f>
        <v>0.12</v>
      </c>
      <c r="R42" s="14"/>
    </row>
    <row r="43" spans="1:18" x14ac:dyDescent="0.25">
      <c r="A43" s="1"/>
      <c r="B43" s="17">
        <f t="shared" si="0"/>
        <v>36</v>
      </c>
      <c r="C43" s="23" t="s">
        <v>17</v>
      </c>
      <c r="D43" s="20" t="s">
        <v>55</v>
      </c>
      <c r="E43" s="20" t="s">
        <v>98</v>
      </c>
      <c r="F43" s="20" t="s">
        <v>123</v>
      </c>
      <c r="G43" s="20" t="s">
        <v>157</v>
      </c>
      <c r="H43" s="20" t="s">
        <v>165</v>
      </c>
      <c r="I43" s="46" t="s">
        <v>298</v>
      </c>
      <c r="J43" s="20" t="s">
        <v>215</v>
      </c>
      <c r="K43" s="43" t="s">
        <v>242</v>
      </c>
      <c r="L43" s="20">
        <v>1</v>
      </c>
      <c r="M43" s="20">
        <f t="shared" ref="M43" si="35">L43*5</f>
        <v>5</v>
      </c>
      <c r="N43" s="14" t="s">
        <v>269</v>
      </c>
      <c r="O43" s="47" t="s">
        <v>253</v>
      </c>
      <c r="P43" s="21" t="s">
        <v>293</v>
      </c>
      <c r="Q43" s="21">
        <f t="shared" ref="Q43" si="36">P43*N43</f>
        <v>0.41200000000000003</v>
      </c>
      <c r="R43" s="20"/>
    </row>
    <row r="44" spans="1:18" x14ac:dyDescent="0.25">
      <c r="A44" s="1"/>
      <c r="B44" s="16">
        <f>ROW(B44) - ROW($B$7)</f>
        <v>37</v>
      </c>
      <c r="C44" s="22" t="s">
        <v>18</v>
      </c>
      <c r="D44" s="14" t="s">
        <v>56</v>
      </c>
      <c r="E44" s="14" t="s">
        <v>99</v>
      </c>
      <c r="F44" s="14" t="s">
        <v>123</v>
      </c>
      <c r="G44" s="14" t="s">
        <v>158</v>
      </c>
      <c r="H44" s="14" t="s">
        <v>165</v>
      </c>
      <c r="I44" s="46" t="s">
        <v>298</v>
      </c>
      <c r="J44" s="14" t="s">
        <v>216</v>
      </c>
      <c r="K44" s="42" t="s">
        <v>243</v>
      </c>
      <c r="L44" s="14">
        <v>1</v>
      </c>
      <c r="M44" s="14">
        <f>L44*5</f>
        <v>5</v>
      </c>
      <c r="N44" s="14" t="s">
        <v>267</v>
      </c>
      <c r="O44" s="47" t="s">
        <v>253</v>
      </c>
      <c r="P44" s="21" t="s">
        <v>294</v>
      </c>
      <c r="Q44" s="15">
        <f>P44*N44</f>
        <v>0.06</v>
      </c>
      <c r="R44" s="14"/>
    </row>
    <row r="45" spans="1:18" x14ac:dyDescent="0.25">
      <c r="A45" s="1"/>
      <c r="B45" s="17">
        <f t="shared" si="0"/>
        <v>38</v>
      </c>
      <c r="C45" s="23" t="s">
        <v>17</v>
      </c>
      <c r="D45" s="20" t="s">
        <v>57</v>
      </c>
      <c r="E45" s="20" t="s">
        <v>100</v>
      </c>
      <c r="F45" s="20" t="s">
        <v>125</v>
      </c>
      <c r="G45" s="20" t="s">
        <v>159</v>
      </c>
      <c r="H45" s="20" t="s">
        <v>183</v>
      </c>
      <c r="I45" s="46" t="s">
        <v>298</v>
      </c>
      <c r="J45" s="20" t="s">
        <v>217</v>
      </c>
      <c r="K45" s="43" t="s">
        <v>244</v>
      </c>
      <c r="L45" s="20">
        <v>1</v>
      </c>
      <c r="M45" s="20">
        <f t="shared" ref="M45" si="37">L45*5</f>
        <v>5</v>
      </c>
      <c r="N45" s="14">
        <v>6</v>
      </c>
      <c r="O45" s="47" t="s">
        <v>253</v>
      </c>
      <c r="P45" s="21" t="s">
        <v>295</v>
      </c>
      <c r="Q45" s="21">
        <f t="shared" ref="Q45" si="38">P45*N45</f>
        <v>1.4807999999999999</v>
      </c>
      <c r="R45" s="20"/>
    </row>
    <row r="46" spans="1:18" x14ac:dyDescent="0.25">
      <c r="A46" s="1"/>
      <c r="B46" s="16">
        <f>ROW(B46) - ROW($B$7)</f>
        <v>39</v>
      </c>
      <c r="C46" s="22" t="s">
        <v>17</v>
      </c>
      <c r="D46" s="14" t="s">
        <v>58</v>
      </c>
      <c r="E46" s="14" t="s">
        <v>101</v>
      </c>
      <c r="F46" s="14" t="s">
        <v>123</v>
      </c>
      <c r="G46" s="14" t="s">
        <v>160</v>
      </c>
      <c r="H46" s="14" t="s">
        <v>165</v>
      </c>
      <c r="I46" s="46" t="s">
        <v>298</v>
      </c>
      <c r="J46" s="14" t="s">
        <v>218</v>
      </c>
      <c r="K46" s="42" t="s">
        <v>245</v>
      </c>
      <c r="L46" s="14">
        <v>4</v>
      </c>
      <c r="M46" s="14">
        <f>L46*5</f>
        <v>20</v>
      </c>
      <c r="N46" s="14" t="s">
        <v>267</v>
      </c>
      <c r="O46" s="44" t="s">
        <v>253</v>
      </c>
      <c r="P46" s="15">
        <v>6.9999999999999999E-4</v>
      </c>
      <c r="Q46" s="15">
        <f>P46*N46</f>
        <v>6.9999999999999993E-2</v>
      </c>
      <c r="R46" s="14"/>
    </row>
    <row r="47" spans="1:18" x14ac:dyDescent="0.25">
      <c r="A47" s="1"/>
      <c r="B47" s="17">
        <f t="shared" si="0"/>
        <v>40</v>
      </c>
      <c r="C47" s="23" t="s">
        <v>16</v>
      </c>
      <c r="D47" s="20" t="s">
        <v>59</v>
      </c>
      <c r="E47" s="20" t="s">
        <v>102</v>
      </c>
      <c r="F47" s="20" t="s">
        <v>126</v>
      </c>
      <c r="G47" s="20" t="s">
        <v>161</v>
      </c>
      <c r="H47" s="20" t="s">
        <v>182</v>
      </c>
      <c r="I47" s="46" t="s">
        <v>298</v>
      </c>
      <c r="J47" s="20" t="s">
        <v>219</v>
      </c>
      <c r="K47" s="43" t="s">
        <v>250</v>
      </c>
      <c r="L47" s="20">
        <v>1</v>
      </c>
      <c r="M47" s="20">
        <f t="shared" ref="M47" si="39">L47*5</f>
        <v>5</v>
      </c>
      <c r="N47" s="14">
        <v>6</v>
      </c>
      <c r="O47" s="47" t="s">
        <v>253</v>
      </c>
      <c r="P47" s="21" t="s">
        <v>296</v>
      </c>
      <c r="Q47" s="21">
        <f t="shared" ref="Q47" si="40">P47*N47</f>
        <v>7.8305999999999996</v>
      </c>
      <c r="R47" s="20"/>
    </row>
    <row r="48" spans="1:18" x14ac:dyDescent="0.25">
      <c r="A48" s="1"/>
      <c r="B48" s="16">
        <f>ROW(B48) - ROW($B$7)</f>
        <v>41</v>
      </c>
      <c r="C48" s="22" t="s">
        <v>16</v>
      </c>
      <c r="D48" s="14" t="s">
        <v>60</v>
      </c>
      <c r="E48" s="14" t="s">
        <v>103</v>
      </c>
      <c r="F48" s="14" t="s">
        <v>252</v>
      </c>
      <c r="G48" s="14" t="s">
        <v>162</v>
      </c>
      <c r="H48" s="14" t="s">
        <v>182</v>
      </c>
      <c r="I48" s="46" t="s">
        <v>298</v>
      </c>
      <c r="J48" s="14" t="s">
        <v>265</v>
      </c>
      <c r="K48" s="43" t="s">
        <v>250</v>
      </c>
      <c r="L48" s="14">
        <v>1</v>
      </c>
      <c r="M48" s="14">
        <f>L48*5</f>
        <v>5</v>
      </c>
      <c r="N48" s="14">
        <v>6</v>
      </c>
      <c r="O48" s="44" t="s">
        <v>253</v>
      </c>
      <c r="P48" s="15">
        <v>0.20780000000000001</v>
      </c>
      <c r="Q48" s="15">
        <f>P48*N48</f>
        <v>1.2468000000000001</v>
      </c>
      <c r="R48" s="14"/>
    </row>
    <row r="49" spans="1:18" ht="24" x14ac:dyDescent="0.25">
      <c r="A49" s="1"/>
      <c r="B49" s="16">
        <f t="shared" ref="B49:B50" si="41">ROW(B49) - ROW($B$7)</f>
        <v>42</v>
      </c>
      <c r="C49" s="23" t="s">
        <v>16</v>
      </c>
      <c r="D49" s="20" t="s">
        <v>61</v>
      </c>
      <c r="E49" s="20" t="s">
        <v>104</v>
      </c>
      <c r="F49" s="20" t="s">
        <v>127</v>
      </c>
      <c r="G49" s="20" t="s">
        <v>163</v>
      </c>
      <c r="H49" s="20" t="s">
        <v>182</v>
      </c>
      <c r="I49" s="46" t="s">
        <v>298</v>
      </c>
      <c r="J49" s="20" t="s">
        <v>220</v>
      </c>
      <c r="K49" s="43" t="s">
        <v>250</v>
      </c>
      <c r="L49" s="20">
        <v>1</v>
      </c>
      <c r="M49" s="20">
        <f t="shared" ref="M49" si="42">L49*5</f>
        <v>5</v>
      </c>
      <c r="N49" s="14">
        <v>6</v>
      </c>
      <c r="O49" s="47" t="s">
        <v>253</v>
      </c>
      <c r="P49" s="15" t="s">
        <v>297</v>
      </c>
      <c r="Q49" s="21">
        <f t="shared" ref="Q49" si="43">P49*N49</f>
        <v>9.2712000000000003</v>
      </c>
      <c r="R49" s="20"/>
    </row>
    <row r="50" spans="1:18" ht="24.75" thickBot="1" x14ac:dyDescent="0.3">
      <c r="A50" s="1"/>
      <c r="B50" s="16">
        <f t="shared" si="41"/>
        <v>43</v>
      </c>
      <c r="C50" s="23" t="s">
        <v>299</v>
      </c>
      <c r="D50" s="20" t="s">
        <v>300</v>
      </c>
      <c r="E50" s="43" t="s">
        <v>301</v>
      </c>
      <c r="F50" s="20" t="s">
        <v>251</v>
      </c>
      <c r="G50" s="43" t="s">
        <v>302</v>
      </c>
      <c r="H50" s="20" t="s">
        <v>303</v>
      </c>
      <c r="I50" s="46" t="s">
        <v>298</v>
      </c>
      <c r="J50" s="20" t="s">
        <v>304</v>
      </c>
      <c r="K50" s="43" t="s">
        <v>250</v>
      </c>
      <c r="L50" s="20">
        <v>1</v>
      </c>
      <c r="M50" s="20">
        <f t="shared" ref="M50" si="44">L50*5</f>
        <v>5</v>
      </c>
      <c r="N50" s="14">
        <v>5</v>
      </c>
      <c r="O50" s="47" t="s">
        <v>253</v>
      </c>
      <c r="P50" s="15">
        <v>7.6899999999999996E-2</v>
      </c>
      <c r="Q50" s="21">
        <f t="shared" ref="Q50" si="45">P50*N50</f>
        <v>0.38449999999999995</v>
      </c>
      <c r="R50" s="20"/>
    </row>
    <row r="51" spans="1:18" ht="19.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9" t="s">
        <v>3</v>
      </c>
      <c r="O51" s="50"/>
      <c r="P51" s="50"/>
      <c r="Q51" s="18">
        <f>SUM(Q8:Q50)</f>
        <v>107.5538</v>
      </c>
      <c r="R51" s="1"/>
    </row>
    <row r="52" spans="1:18" ht="19.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9" t="s">
        <v>4</v>
      </c>
      <c r="O52" s="50"/>
      <c r="P52" s="50"/>
      <c r="Q52" s="19">
        <f>Q51/5</f>
        <v>21.510759999999998</v>
      </c>
      <c r="R52" s="1"/>
    </row>
    <row r="64" spans="1:18" x14ac:dyDescent="0.25">
      <c r="M64" s="38"/>
    </row>
  </sheetData>
  <mergeCells count="3">
    <mergeCell ref="K1:R1"/>
    <mergeCell ref="N51:P51"/>
    <mergeCell ref="N52:P52"/>
  </mergeCells>
  <hyperlinks>
    <hyperlink ref="O19" r:id="rId1"/>
    <hyperlink ref="O20" r:id="rId2"/>
    <hyperlink ref="O21" r:id="rId3"/>
    <hyperlink ref="O23" r:id="rId4"/>
    <hyperlink ref="O31" r:id="rId5"/>
    <hyperlink ref="O32" r:id="rId6"/>
    <hyperlink ref="O42" r:id="rId7"/>
    <hyperlink ref="O36" r:id="rId8"/>
    <hyperlink ref="O33" r:id="rId9"/>
    <hyperlink ref="O40" r:id="rId10"/>
    <hyperlink ref="O38" r:id="rId11"/>
    <hyperlink ref="O46" r:id="rId12"/>
    <hyperlink ref="O48" r:id="rId13"/>
    <hyperlink ref="O8" r:id="rId14"/>
    <hyperlink ref="O18" r:id="rId15"/>
    <hyperlink ref="O17" r:id="rId16"/>
    <hyperlink ref="O16" r:id="rId17"/>
    <hyperlink ref="O15" r:id="rId18"/>
    <hyperlink ref="O14" r:id="rId19"/>
    <hyperlink ref="O13" r:id="rId20"/>
    <hyperlink ref="O12" r:id="rId21"/>
    <hyperlink ref="O11" r:id="rId22"/>
    <hyperlink ref="O10" r:id="rId23"/>
    <hyperlink ref="O9" r:id="rId24"/>
    <hyperlink ref="O22" r:id="rId25"/>
    <hyperlink ref="O24" r:id="rId26"/>
    <hyperlink ref="O25" r:id="rId27"/>
    <hyperlink ref="O26" r:id="rId28"/>
    <hyperlink ref="O27" r:id="rId29"/>
    <hyperlink ref="O28" r:id="rId30"/>
    <hyperlink ref="O29" r:id="rId31"/>
    <hyperlink ref="O30" r:id="rId32"/>
    <hyperlink ref="O34" r:id="rId33"/>
    <hyperlink ref="O35" r:id="rId34"/>
    <hyperlink ref="O37" r:id="rId35"/>
    <hyperlink ref="O39" r:id="rId36"/>
    <hyperlink ref="O41" r:id="rId37"/>
    <hyperlink ref="O43" r:id="rId38"/>
    <hyperlink ref="O44" r:id="rId39"/>
    <hyperlink ref="O45" r:id="rId40"/>
    <hyperlink ref="O47" r:id="rId41"/>
    <hyperlink ref="O49" r:id="rId42"/>
    <hyperlink ref="O50" r:id="rId43"/>
  </hyperlinks>
  <pageMargins left="0.7" right="0.7" top="0.75" bottom="0.75" header="0.3" footer="0.3"/>
  <pageSetup paperSize="9"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2024-09-25T10:51:28Z</dcterms:modified>
</cp:coreProperties>
</file>