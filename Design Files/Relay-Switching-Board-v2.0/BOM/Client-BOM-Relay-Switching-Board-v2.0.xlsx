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muhunthancanagey-servocontrol\Design Files\Relay-Switching-Board-v2.0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88" i="1" l="1"/>
  <c r="B89" i="1" l="1"/>
  <c r="B87" i="1"/>
  <c r="B86" i="1" l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<sst xmlns="http://schemas.openxmlformats.org/spreadsheetml/2006/main" count="619" uniqueCount="397">
  <si>
    <t>#</t>
  </si>
  <si>
    <t>Item Type</t>
  </si>
  <si>
    <t>Capacitor</t>
  </si>
  <si>
    <t>Capacitors</t>
  </si>
  <si>
    <t>Diode</t>
  </si>
  <si>
    <t>(TVS/ESD)</t>
  </si>
  <si>
    <t>TVS Diodes</t>
  </si>
  <si>
    <t>Fuses</t>
  </si>
  <si>
    <t>Fuse Holder</t>
  </si>
  <si>
    <t>Terminal Block</t>
  </si>
  <si>
    <t>Ethernet Connectors</t>
  </si>
  <si>
    <t>Male Header</t>
  </si>
  <si>
    <t>Male Pin Header</t>
  </si>
  <si>
    <t>Relays</t>
  </si>
  <si>
    <t>Inductor</t>
  </si>
  <si>
    <t>Ferrite Bead</t>
  </si>
  <si>
    <t>LED</t>
  </si>
  <si>
    <t>RGB LED</t>
  </si>
  <si>
    <t>MOSFETs</t>
  </si>
  <si>
    <t>Mosfet</t>
  </si>
  <si>
    <t>Resistors</t>
  </si>
  <si>
    <t>Resistor</t>
  </si>
  <si>
    <t>Switch</t>
  </si>
  <si>
    <t>IC</t>
  </si>
  <si>
    <t>Designator</t>
  </si>
  <si>
    <t>C1, C2, C22, C24, C25, C26, C44, C45</t>
  </si>
  <si>
    <t>C3, C4, C5</t>
  </si>
  <si>
    <t>C6</t>
  </si>
  <si>
    <t>C7</t>
  </si>
  <si>
    <t>C8</t>
  </si>
  <si>
    <t>C9</t>
  </si>
  <si>
    <t>C10, C23</t>
  </si>
  <si>
    <t>C11, C14</t>
  </si>
  <si>
    <t>C12, C16, C17, C20, C42</t>
  </si>
  <si>
    <t>C13</t>
  </si>
  <si>
    <t>C15</t>
  </si>
  <si>
    <t>C18</t>
  </si>
  <si>
    <t>C19</t>
  </si>
  <si>
    <t>C21</t>
  </si>
  <si>
    <t>C27, C28, C29, C30, C31, C32, C33, C34, C35, C36</t>
  </si>
  <si>
    <t>C37, C38, C39, C40, C41</t>
  </si>
  <si>
    <t>C43</t>
  </si>
  <si>
    <t>C46, C48, C49, C50, C51, C52, C53, C54, C55, C56, C57</t>
  </si>
  <si>
    <t>C47</t>
  </si>
  <si>
    <t>C58, C59, C60, C61</t>
  </si>
  <si>
    <t>D1</t>
  </si>
  <si>
    <t>D2, D6</t>
  </si>
  <si>
    <t>D3</t>
  </si>
  <si>
    <t>D4</t>
  </si>
  <si>
    <t>D5</t>
  </si>
  <si>
    <t>D7</t>
  </si>
  <si>
    <t>D8</t>
  </si>
  <si>
    <t>D9</t>
  </si>
  <si>
    <t>D10</t>
  </si>
  <si>
    <t>D11</t>
  </si>
  <si>
    <t>D12</t>
  </si>
  <si>
    <t>F1</t>
  </si>
  <si>
    <t>J1</t>
  </si>
  <si>
    <t>J2</t>
  </si>
  <si>
    <t>J3</t>
  </si>
  <si>
    <t>J5, J6</t>
  </si>
  <si>
    <t>J9</t>
  </si>
  <si>
    <t>J12, J13, J16, J17</t>
  </si>
  <si>
    <t>J18, J19, J20, J21</t>
  </si>
  <si>
    <t>K1, K2, K3, K4</t>
  </si>
  <si>
    <t>L1</t>
  </si>
  <si>
    <t>L2</t>
  </si>
  <si>
    <t>L3</t>
  </si>
  <si>
    <t>L4</t>
  </si>
  <si>
    <t>LED1, LED2, LED3, LED4, LED5</t>
  </si>
  <si>
    <t>LED6, LED7, LED8, LED9, LED10</t>
  </si>
  <si>
    <t>LED11, LED12, LED13, LED14</t>
  </si>
  <si>
    <t>Q1</t>
  </si>
  <si>
    <t>Q2</t>
  </si>
  <si>
    <t>Q3</t>
  </si>
  <si>
    <t>R1</t>
  </si>
  <si>
    <t>R2</t>
  </si>
  <si>
    <t>R3</t>
  </si>
  <si>
    <t>R4</t>
  </si>
  <si>
    <t>R5, R68, R69, R70, R71</t>
  </si>
  <si>
    <t>R6</t>
  </si>
  <si>
    <t>R7</t>
  </si>
  <si>
    <t>R8</t>
  </si>
  <si>
    <t>R9</t>
  </si>
  <si>
    <t>R10, R20, R31, R35, R54, R55, R64, R65, R66</t>
  </si>
  <si>
    <t>R11</t>
  </si>
  <si>
    <t>R12</t>
  </si>
  <si>
    <t>R13</t>
  </si>
  <si>
    <t>R14</t>
  </si>
  <si>
    <t>R15</t>
  </si>
  <si>
    <t>R16, R76, R77, R78, R79</t>
  </si>
  <si>
    <t>R17</t>
  </si>
  <si>
    <t>R18</t>
  </si>
  <si>
    <t>R19</t>
  </si>
  <si>
    <t>R21, R22, R23, R25, R26, R27, R28, R30, R32, R33, R39, R40, R41, R42, R43, R44, R45, R46, R47, R48, R49, R50, R51, R52, R53, R56, R57, R58, R59, R60, R61, R62, R63</t>
  </si>
  <si>
    <t>R24, R36, R37, R38, R67</t>
  </si>
  <si>
    <t>R29, R34</t>
  </si>
  <si>
    <t>R72, R73, R74, R75</t>
  </si>
  <si>
    <t>SW1, SW3</t>
  </si>
  <si>
    <t>SW2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</si>
  <si>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</si>
  <si>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</si>
  <si>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</si>
  <si>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</si>
  <si>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</si>
  <si>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</si>
  <si>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</si>
  <si>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</si>
  <si>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</si>
  <si>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>Description</t>
  </si>
  <si>
    <t>CAP CER 4.7UF 50V X7R 1206</t>
  </si>
  <si>
    <t>100V 10uF X7R ±10% 1210 Multilayer Ceramic Capacitors MLCC - SMD/SMT ROHS</t>
  </si>
  <si>
    <t>CAP CER 1UF 100V X7R 1206</t>
  </si>
  <si>
    <t>CAP ALUM 220UF 20% 50V SMD</t>
  </si>
  <si>
    <t>47uF 50V 66mA@120Hz ±20% SMD,D6.3xL7.7mm Aluminum Electrolytic Capacitors - SMD ROHS</t>
  </si>
  <si>
    <t>CAP CER 0.022UF 100V X7R 0805</t>
  </si>
  <si>
    <t>CAP CER 10UF 50V X5R 0805</t>
  </si>
  <si>
    <t>CAP CER 1UF 50V X5R 0603</t>
  </si>
  <si>
    <t>CAP CER 0.1UF 50V X7R 0603</t>
  </si>
  <si>
    <t>CAP CER 1UF 25V X5R 0402</t>
  </si>
  <si>
    <t>CAP CER 0.033UF 25V X7R 0402</t>
  </si>
  <si>
    <t>CAP CER 0.068UF 50V X7R 0402</t>
  </si>
  <si>
    <t>CAP CER 1000PF 50V X7R 0402</t>
  </si>
  <si>
    <t>CAP CER 0.1UF 50V X5R 0603</t>
  </si>
  <si>
    <t>CAP CER 10000PF 50V X7R 0402</t>
  </si>
  <si>
    <t>CAP CER 22UF 25V X7R 1210</t>
  </si>
  <si>
    <t>CAP CER 100PF 50V C0G/NPO 0402</t>
  </si>
  <si>
    <t>CAP CER 0.1UF 16V X7R 0402</t>
  </si>
  <si>
    <t>CAP CER 4.7UF 10V X5R 0402</t>
  </si>
  <si>
    <t>CAP CER 0.1UF 100V X7R 0603</t>
  </si>
  <si>
    <t>DIODE SCHOTTKY 100V 20A D2PAK</t>
  </si>
  <si>
    <t>DIODE SCHOTTKY 60V 6.4A TO277A</t>
  </si>
  <si>
    <t>TVS DIODE 58VWM 93.6VC SMB</t>
  </si>
  <si>
    <t>26.7V 24V SOD-123 ESD and Surge Protection (TVS/ESD) ROHS</t>
  </si>
  <si>
    <t>TVS DIODE 26VWM 42.1VC SMB</t>
  </si>
  <si>
    <t>6V 5V SOD-123 ESD and Surge Protection (TVS/ESD) ROHS</t>
  </si>
  <si>
    <t>TVS SURGE PROTECTOR 1-CH 3.3V</t>
  </si>
  <si>
    <t>TVS DIODE 24VWM 40VC SOT23-3</t>
  </si>
  <si>
    <t>SOT-23 TVS ROHS</t>
  </si>
  <si>
    <t>DIODE BIDIR ESD X4DFN2</t>
  </si>
  <si>
    <t>TVS DIODE 3VWM SOT323-5</t>
  </si>
  <si>
    <t>PTC RESET FUSE 6V 1.1A 0805</t>
  </si>
  <si>
    <t>FUSE HOLDER BLADE 80V PCB</t>
  </si>
  <si>
    <t>1x2P 18A -40℃~+105℃ 250V Orange 12~30 Straight 5.08mm 2.5 1 2 Plugin,P=5.08mm Screw terminal ROHS</t>
  </si>
  <si>
    <t>RJ45Receptacle Unshielded 1 Bend-in Gold Phosphor Bronze Without LED Plugin Ethernet Connectors / Modular Connectors (RJ45 RJ11) ROHS</t>
  </si>
  <si>
    <t>Open top 3A 2.54mm P=2.54mm Shunts, Jumpers ROHS</t>
  </si>
  <si>
    <t>Gold 250V 3A Straight Square Pins 2.5mm 2P 260℃ 6mm -40℃~+105℃ 3mm 2.54mm Plugin Black Brass 1x2P Plugin,P=2.54mm Pin Headers ROHS</t>
  </si>
  <si>
    <t>Gold 250V 3A Straight Square Pins 2.5mm 3P 260℃ 6mm -40℃~+105℃ 3mm 2.54mm Plugin Black Brass 1x3P Plugin,P=2.54mm Pin Headers ROHS</t>
  </si>
  <si>
    <t>Gold 250V 3A Policy 2.5mm 6P -40℃~+105℃ 2.54mm Double Row Black Brass 2x3P 2.54mm Plugin,P=2.54mm Pin Headers ROHS</t>
  </si>
  <si>
    <t>1x3P 20A -40℃~+105℃ 300V Gray 12~30 Direct Insert 5.08mm 1~2.5 1 3 Plugin,P=5.08mm Screw Terminal Blocks ROHS</t>
  </si>
  <si>
    <t>RELAY GEN PURPOSE SPDT 8A 24V</t>
  </si>
  <si>
    <t>13.8A 15uH Integrated molded inductor ±20% 15.5A SMD,11.9x11mm Power Inductors ROHS</t>
  </si>
  <si>
    <t>Fixed Ind 6.8UH 12A 13.5MOHM SMD</t>
  </si>
  <si>
    <t>2.26A 4.7uH ±20% SMD,7.3x7.3mm Power Inductors ROHS</t>
  </si>
  <si>
    <t>FERRITE BEAD 600 OHM 0402 1LN</t>
  </si>
  <si>
    <t>RED LED 0603 Light Emitting Diodes</t>
  </si>
  <si>
    <t>Plugin,D=5mm RGB LEDs ROHS</t>
  </si>
  <si>
    <t>blue 0603 Light Emitting Diodes (LED) ROHS</t>
  </si>
  <si>
    <t>MOSFET N-CH 60V 19A/100A 8VSON</t>
  </si>
  <si>
    <t>MOSFET N-CH 100V 9.7A/50A 8VSON</t>
  </si>
  <si>
    <t>N-CHANNEL 20-V (D-S) MOSFET</t>
  </si>
  <si>
    <t>RES SMD 348 OHM 0.1% 1/16W 0402</t>
  </si>
  <si>
    <t>RES 100 OHM 1% 1/16W 0402</t>
  </si>
  <si>
    <t>RES SMD 120K OHM 0.1% 1/16W 0402</t>
  </si>
  <si>
    <t>RES SMD 100K OHM 0.1% 1/16W 0402</t>
  </si>
  <si>
    <t>RES 3.9K OHM 1% 1/16W 0402</t>
  </si>
  <si>
    <t>RES 48.7K OHM 1% 1/10W 0603</t>
  </si>
  <si>
    <t>RES 2.49K OHM 1% 1/16W 0402</t>
  </si>
  <si>
    <t>RES SMD 2.94KOHM 0.1% 1/16W 0402</t>
  </si>
  <si>
    <t>2W 12mΩ Current Sensing Resistors ±50ppm/℃ ±1% 2512 Current Sense Resistors / Shunt Resistors ROHS</t>
  </si>
  <si>
    <t>RES 10K OHM 1% 1/16W 0402</t>
  </si>
  <si>
    <t>RES SMD 698K OHM 0.1% 1/8W 0805</t>
  </si>
  <si>
    <t>RES SMD 20K OHM 0.1% 1/16W 0402</t>
  </si>
  <si>
    <t>RES SMD 2.87KOHM 0.1% 1/16W 0402</t>
  </si>
  <si>
    <t>RES SMD 51.1K OHM 0.1% 1/8W 0805</t>
  </si>
  <si>
    <t>RES SMD 191K OHM 0.1% 1/16W 0402</t>
  </si>
  <si>
    <t>RES SMD 10K OHM 0.1% 1/16W 0402</t>
  </si>
  <si>
    <t>RES 499 OHM 1% 1/16W 0402</t>
  </si>
  <si>
    <t>RES 2K OHM 1% 1/16W 0402</t>
  </si>
  <si>
    <t>RES 240 OHM 1% 1/16W 0402</t>
  </si>
  <si>
    <t>RES 0 OHM JUMPER 1/16W 0402</t>
  </si>
  <si>
    <t>RES 75 OHM 5% 1/16W 0402</t>
  </si>
  <si>
    <t>RES 120 OHM 1% 1/10W 0603</t>
  </si>
  <si>
    <t>RES SMD 137K OHM 0.1% 1/16W 0402</t>
  </si>
  <si>
    <t>SWITCH TACTILE SPST-NO 0.05A 12V</t>
  </si>
  <si>
    <t>2 positions SPST Black Flat Toggle, Raised Style SMD-4P,5.1x6mm DIP Switches ROHS</t>
  </si>
  <si>
    <t>2.2MHZ WIDE INPUT NONSYNCHRONOUS</t>
  </si>
  <si>
    <t>OR Controller N+1 ORing Controller N-Channel 1:1 SOT-23-6</t>
  </si>
  <si>
    <t>IC REG BUCK 5V 2A TSOT26</t>
  </si>
  <si>
    <t>IC REG BUCK ADJ 6A 10VQFN</t>
  </si>
  <si>
    <t>IC REG LINEAR 3.3V 1.3A 6DFN</t>
  </si>
  <si>
    <t>IC TRANSCEIVER HALF 1/1 8SOIC</t>
  </si>
  <si>
    <t>IC MCU 32BIT 32KB FLASH 28UFQFPN</t>
  </si>
  <si>
    <t>IC PWR RELAY 7NPN 1:1 16SOIC</t>
  </si>
  <si>
    <t>Footprint</t>
  </si>
  <si>
    <t>Cap-1206</t>
  </si>
  <si>
    <t>Cap-1210</t>
  </si>
  <si>
    <t>UCD-220uF-10mmDia</t>
  </si>
  <si>
    <t>RVT1H470M0607</t>
  </si>
  <si>
    <t>Cap-0805</t>
  </si>
  <si>
    <t>Cap-0603</t>
  </si>
  <si>
    <t>Cap-0402</t>
  </si>
  <si>
    <t>D2Pak.</t>
  </si>
  <si>
    <t>TO-277A</t>
  </si>
  <si>
    <t>SMB_</t>
  </si>
  <si>
    <t>SOD-123</t>
  </si>
  <si>
    <t>SOT-23</t>
  </si>
  <si>
    <t>DFN-2(0.3x0.6)</t>
  </si>
  <si>
    <t>SOT-323-5</t>
  </si>
  <si>
    <t>Fuse-0805</t>
  </si>
  <si>
    <t>178.6165.0002</t>
  </si>
  <si>
    <t>DB128L-5.08-2P-OG-S</t>
  </si>
  <si>
    <t>HC-RJ45-5622-1-6-Y</t>
  </si>
  <si>
    <t>HDR1X2_</t>
  </si>
  <si>
    <t>HDR1X3_</t>
  </si>
  <si>
    <t>X6521WV-2x03H-C60D30</t>
  </si>
  <si>
    <t>DB128L-5.08-3P-GY-S</t>
  </si>
  <si>
    <t>FEXL1010A-150M</t>
  </si>
  <si>
    <t>MWSA1206S-6R8MT</t>
  </si>
  <si>
    <t>YPRH0703-4R7M</t>
  </si>
  <si>
    <t>IND-0402</t>
  </si>
  <si>
    <t>LED-0603</t>
  </si>
  <si>
    <t>WS2812D-F5</t>
  </si>
  <si>
    <t>8-VSONP (5x6)</t>
  </si>
  <si>
    <t>8-VSON-CLIP (3.3x3.3)</t>
  </si>
  <si>
    <t>Sot-23</t>
  </si>
  <si>
    <t>Res-0402</t>
  </si>
  <si>
    <t>Res-0603</t>
  </si>
  <si>
    <t>RES-2512</t>
  </si>
  <si>
    <t>RES-0805</t>
  </si>
  <si>
    <t>B3U-1000P</t>
  </si>
  <si>
    <t>DSIC02LSGET</t>
  </si>
  <si>
    <t>HTSSOP-14-EP</t>
  </si>
  <si>
    <t>SOT-23-6</t>
  </si>
  <si>
    <t>TSOT-23-6</t>
  </si>
  <si>
    <t>10-VQFN-HR (3x3)</t>
  </si>
  <si>
    <t>DFN-6(3x3)</t>
  </si>
  <si>
    <t>SOIC-8(0.154", 3.90mm Width)</t>
  </si>
  <si>
    <t>28-UFQFPN (4x4)</t>
  </si>
  <si>
    <t>16-SOIC (0.154", 3.90mm Width)</t>
  </si>
  <si>
    <t>Manufacturer Part Number</t>
  </si>
  <si>
    <t>UMK316AB7475KL-T</t>
  </si>
  <si>
    <t>FS32X106K101EGG</t>
  </si>
  <si>
    <t>GRM31CR72A105KA01K</t>
  </si>
  <si>
    <t>UCD1H221MNL1GS</t>
  </si>
  <si>
    <t>CC0805JRX7R0BB223</t>
  </si>
  <si>
    <t>GRM21BR61H106ME43L</t>
  </si>
  <si>
    <t>CL10A105KB8NNNC</t>
  </si>
  <si>
    <t>CC0402KRX5R8BB105</t>
  </si>
  <si>
    <t>CC0402KRX7R8BB333</t>
  </si>
  <si>
    <t>CC0402KRX7R9BB683</t>
  </si>
  <si>
    <t>CC0402KRX7R9BB102</t>
  </si>
  <si>
    <t>CC0603KRX5R9BB104</t>
  </si>
  <si>
    <t>CC0402KRX7R9BB103</t>
  </si>
  <si>
    <t>GRM32ER71E226KE15L</t>
  </si>
  <si>
    <t>CC0402JRNPO9BN101</t>
  </si>
  <si>
    <t>CC0402JRX7R7BB104</t>
  </si>
  <si>
    <t>CC0402KRX5R6BB475</t>
  </si>
  <si>
    <t>CC0603KRX7R0BB104</t>
  </si>
  <si>
    <t>STPS20M100SG-TR</t>
  </si>
  <si>
    <t>V25PN60-M3/86A</t>
  </si>
  <si>
    <t>SMBJ58A-13-F</t>
  </si>
  <si>
    <t>AZ4024-01G</t>
  </si>
  <si>
    <t>SMBJ26A-13-F</t>
  </si>
  <si>
    <t>AZ3005-01G</t>
  </si>
  <si>
    <t>AZ3003-01G</t>
  </si>
  <si>
    <t>CDSOT23-T24CAN-Q</t>
  </si>
  <si>
    <t>SM712</t>
  </si>
  <si>
    <t>ESDM2033MX4T5G</t>
  </si>
  <si>
    <t>ESDALC6V1W5</t>
  </si>
  <si>
    <t>0805L110SLYR</t>
  </si>
  <si>
    <t>X2541-A1NIB</t>
  </si>
  <si>
    <t>X6511WV-02H-C60D30</t>
  </si>
  <si>
    <t>X6511WV-03H-C60D30</t>
  </si>
  <si>
    <t>G6RN-1-DC24</t>
  </si>
  <si>
    <t>BLM15AG601SN1D</t>
  </si>
  <si>
    <t>NCD0603R3</t>
  </si>
  <si>
    <t>NCD0603B3</t>
  </si>
  <si>
    <t>CSD18531Q5A</t>
  </si>
  <si>
    <t>CSD19537Q3</t>
  </si>
  <si>
    <t>SI2302CDS</t>
  </si>
  <si>
    <t>RT0402BRD07348RL</t>
  </si>
  <si>
    <t>RC0402FR-07100RL</t>
  </si>
  <si>
    <t>RT0402BRD07120KL</t>
  </si>
  <si>
    <t>RT0402BRD07100KL</t>
  </si>
  <si>
    <t>RC0402FR-073K9L</t>
  </si>
  <si>
    <t>RC0603FR-0748K7L</t>
  </si>
  <si>
    <t>RC0402FR-072K49L</t>
  </si>
  <si>
    <t>RT0402BRD072K94L</t>
  </si>
  <si>
    <t>FMF25FPJR012-LH</t>
  </si>
  <si>
    <t>RC0402FR-0710KL</t>
  </si>
  <si>
    <t>RT0805BRD07698KL</t>
  </si>
  <si>
    <t>RT0402BRD0720KL</t>
  </si>
  <si>
    <t>RT0402BRD072K87L</t>
  </si>
  <si>
    <t>RT0805BRD0751K1L</t>
  </si>
  <si>
    <t>RT0402BRD07191KL</t>
  </si>
  <si>
    <t>RT0402BRD0710KL</t>
  </si>
  <si>
    <t>RC0402FR-07499RL</t>
  </si>
  <si>
    <t>RC0402FR-072KL</t>
  </si>
  <si>
    <t>RC0402FR-07240RL</t>
  </si>
  <si>
    <t>RC0402FR-070RL</t>
  </si>
  <si>
    <t>RC0402JR-0775RL</t>
  </si>
  <si>
    <t>RC0603FR-07120RL</t>
  </si>
  <si>
    <t>RT0402BRD07137KL</t>
  </si>
  <si>
    <t>LM5156HPWPR</t>
  </si>
  <si>
    <t>LM74700QDBVRQ1</t>
  </si>
  <si>
    <t>AP63205WU-7</t>
  </si>
  <si>
    <t>TPS56637RPAR</t>
  </si>
  <si>
    <t>ST1L05APU33R</t>
  </si>
  <si>
    <t>TCAN3414DR</t>
  </si>
  <si>
    <t>THVD1449DR</t>
  </si>
  <si>
    <t>STM32F042G6U6</t>
  </si>
  <si>
    <t>ULN2003AIDR</t>
  </si>
  <si>
    <t>Manufacturer</t>
  </si>
  <si>
    <t>Taiyo Yuden</t>
  </si>
  <si>
    <t>PSA(Prosperity Dielectrics)</t>
  </si>
  <si>
    <t>Murata</t>
  </si>
  <si>
    <t>Nichicon</t>
  </si>
  <si>
    <t>ROQANG</t>
  </si>
  <si>
    <t>Yageo</t>
  </si>
  <si>
    <t>Samsung</t>
  </si>
  <si>
    <t>STMicroelectronics</t>
  </si>
  <si>
    <t>Vishay Semiconductors</t>
  </si>
  <si>
    <t>Diodes</t>
  </si>
  <si>
    <t>AMAZING</t>
  </si>
  <si>
    <t>Amazing</t>
  </si>
  <si>
    <t>Bourns</t>
  </si>
  <si>
    <t>TECH PUBLIC</t>
  </si>
  <si>
    <t>ON Semiconductor</t>
  </si>
  <si>
    <t>Littelfuse</t>
  </si>
  <si>
    <t>Littelfuse Wickmann</t>
  </si>
  <si>
    <t>DORABO</t>
  </si>
  <si>
    <t>HCTL</t>
  </si>
  <si>
    <t>XKB Connection</t>
  </si>
  <si>
    <t>XKB</t>
  </si>
  <si>
    <t>Omron</t>
  </si>
  <si>
    <t>cjiang</t>
  </si>
  <si>
    <t>Sunlord</t>
  </si>
  <si>
    <t>YJYCOIN</t>
  </si>
  <si>
    <t>Foshan NationStar Optoelectronics</t>
  </si>
  <si>
    <t>Worldsemi</t>
  </si>
  <si>
    <t>Texas Instruments</t>
  </si>
  <si>
    <t>DongGuan</t>
  </si>
  <si>
    <t>4.7uF</t>
  </si>
  <si>
    <t>10uF</t>
  </si>
  <si>
    <t>1uF</t>
  </si>
  <si>
    <t>220uF</t>
  </si>
  <si>
    <t>47uF</t>
  </si>
  <si>
    <t>22nF</t>
  </si>
  <si>
    <t>0.1uF</t>
  </si>
  <si>
    <t>33nF</t>
  </si>
  <si>
    <t>68nF</t>
  </si>
  <si>
    <t>1nF</t>
  </si>
  <si>
    <t>100nF</t>
  </si>
  <si>
    <t>10nF</t>
  </si>
  <si>
    <t>22uF</t>
  </si>
  <si>
    <t>100pF</t>
  </si>
  <si>
    <t>15uH</t>
  </si>
  <si>
    <t>6.8uH</t>
  </si>
  <si>
    <t>4.7uH</t>
  </si>
  <si>
    <t>348R</t>
  </si>
  <si>
    <t>100R</t>
  </si>
  <si>
    <t>120K</t>
  </si>
  <si>
    <t>100K</t>
  </si>
  <si>
    <t>3.9K</t>
  </si>
  <si>
    <t>48.7K</t>
  </si>
  <si>
    <t>2.49K</t>
  </si>
  <si>
    <t>2.94K</t>
  </si>
  <si>
    <t>12mR</t>
  </si>
  <si>
    <t>10K</t>
  </si>
  <si>
    <t>698K</t>
  </si>
  <si>
    <t>20K</t>
  </si>
  <si>
    <t>2.87k</t>
  </si>
  <si>
    <t>51.1K</t>
  </si>
  <si>
    <t>191K</t>
  </si>
  <si>
    <t>499R</t>
  </si>
  <si>
    <t>2K</t>
  </si>
  <si>
    <t>240R</t>
  </si>
  <si>
    <t>0R</t>
  </si>
  <si>
    <t>75R</t>
  </si>
  <si>
    <t>120R</t>
  </si>
  <si>
    <t>137K</t>
  </si>
  <si>
    <t>Quantity</t>
  </si>
  <si>
    <t>Value</t>
  </si>
  <si>
    <t>Remarks</t>
  </si>
  <si>
    <t>-</t>
  </si>
  <si>
    <t>Custom</t>
  </si>
  <si>
    <t>Peripheral</t>
  </si>
  <si>
    <t>Fuse</t>
  </si>
  <si>
    <t>Tag Connect Cable</t>
  </si>
  <si>
    <t>TC2030-CTX 6-Pin Cable for ARM Cortex ATMEL</t>
  </si>
  <si>
    <t>TC2030-CTX</t>
  </si>
  <si>
    <t>Qty: 2 cables per whole order</t>
  </si>
  <si>
    <t>028707.5PXCN</t>
  </si>
  <si>
    <t>32V Blade fuse 7.5A Automotive Fuses ROHS</t>
  </si>
  <si>
    <t>Shunt Jumper</t>
  </si>
  <si>
    <t>CL10B104KB8WPNC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</si>
</sst>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89"/>
  <sheetViews>
    <sheetView tabSelected="1" workbookViewId="0">
      <selection activeCell="F23" sqref="F23"/>
    </sheetView>
  </sheetViews>
  <sheetFormatPr defaultRowHeight="15" x14ac:dyDescent="0.25"/>
  <cols>
    <col min="2" max="2" width="3.140625" style="4" customWidth="1"/>
    <col min="3" max="3" width="18.7109375" style="4" bestFit="1" customWidth="1"/>
    <col min="4" max="4" width="36" bestFit="1" customWidth="1"/>
    <col min="5" max="5" width="30" customWidth="1"/>
    <col min="6" max="6" width="26.5703125" bestFit="1" customWidth="1"/>
    <col min="7" max="7" width="33.42578125" bestFit="1" customWidth="1"/>
    <col min="8" max="8" width="21.42578125" bestFit="1" customWidth="1"/>
    <col min="9" max="9" width="6.140625" bestFit="1" customWidth="1"/>
    <col min="10" max="10" width="8.7109375" bestFit="1" customWidth="1"/>
    <col min="11" max="11" width="24.7109375" bestFit="1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15"/>
      <c r="J1" s="15"/>
      <c r="K1" s="15"/>
    </row>
    <row r="2" spans="1:11" ht="15.75" thickBot="1" x14ac:dyDescent="0.3">
      <c r="A2" s="1"/>
      <c r="B2" s="5" t="s">
        <v>0</v>
      </c>
      <c r="C2" s="5" t="s">
        <v>1</v>
      </c>
      <c r="D2" s="5" t="s">
        <v>24</v>
      </c>
      <c r="E2" s="6" t="s">
        <v>109</v>
      </c>
      <c r="F2" s="5" t="s">
        <v>194</v>
      </c>
      <c r="G2" s="6" t="s">
        <v>240</v>
      </c>
      <c r="H2" s="5" t="s">
        <v>313</v>
      </c>
      <c r="I2" s="6" t="s">
        <v>383</v>
      </c>
      <c r="J2" s="5" t="s">
        <v>382</v>
      </c>
      <c r="K2" s="5" t="s">
        <v>384</v>
      </c>
    </row>
    <row r="3" spans="1:11" ht="15.75" thickBot="1" x14ac:dyDescent="0.3">
      <c r="A3" s="1"/>
      <c r="B3" s="11">
        <f>ROW(B3) - ROW($B$2)</f>
        <v>1</v>
      </c>
      <c r="C3" s="12" t="s">
        <v>2</v>
      </c>
      <c r="D3" s="7" t="s">
        <v>25</v>
      </c>
      <c r="E3" s="8" t="s">
        <v>110</v>
      </c>
      <c r="F3" s="7" t="s">
        <v>195</v>
      </c>
      <c r="G3" s="8" t="s">
        <v>241</v>
      </c>
      <c r="H3" s="7" t="s">
        <v>314</v>
      </c>
      <c r="I3" s="8" t="s">
        <v>343</v>
      </c>
      <c r="J3" s="7">
        <v>8</v>
      </c>
      <c r="K3" s="7"/>
    </row>
    <row r="4" spans="1:11" ht="36.75" thickBot="1" x14ac:dyDescent="0.3">
      <c r="A4" s="1"/>
      <c r="B4" s="11">
        <f t="shared" ref="B4:B86" si="0">ROW(B4) - ROW($B$2)</f>
        <v>2</v>
      </c>
      <c r="C4" s="13" t="s">
        <v>2</v>
      </c>
      <c r="D4" s="9" t="s">
        <v>26</v>
      </c>
      <c r="E4" s="10" t="s">
        <v>111</v>
      </c>
      <c r="F4" s="9" t="s">
        <v>196</v>
      </c>
      <c r="G4" s="10" t="s">
        <v>242</v>
      </c>
      <c r="H4" s="9" t="s">
        <v>315</v>
      </c>
      <c r="I4" s="10" t="s">
        <v>344</v>
      </c>
      <c r="J4" s="9">
        <v>3</v>
      </c>
      <c r="K4" s="9"/>
    </row>
    <row r="5" spans="1:11" ht="15.75" thickBot="1" x14ac:dyDescent="0.3">
      <c r="A5" s="1"/>
      <c r="B5" s="11">
        <f>ROW(B5) - ROW($B$2)</f>
        <v>3</v>
      </c>
      <c r="C5" s="13" t="s">
        <v>2</v>
      </c>
      <c r="D5" s="7" t="s">
        <v>27</v>
      </c>
      <c r="E5" s="8" t="s">
        <v>112</v>
      </c>
      <c r="F5" s="7" t="s">
        <v>195</v>
      </c>
      <c r="G5" s="8" t="s">
        <v>243</v>
      </c>
      <c r="H5" s="7" t="s">
        <v>316</v>
      </c>
      <c r="I5" s="8" t="s">
        <v>345</v>
      </c>
      <c r="J5" s="7">
        <v>1</v>
      </c>
      <c r="K5" s="7"/>
    </row>
    <row r="6" spans="1:11" ht="15.75" thickBot="1" x14ac:dyDescent="0.3">
      <c r="A6" s="1"/>
      <c r="B6" s="11">
        <f t="shared" si="0"/>
        <v>4</v>
      </c>
      <c r="C6" s="13" t="s">
        <v>2</v>
      </c>
      <c r="D6" s="9" t="s">
        <v>28</v>
      </c>
      <c r="E6" s="10" t="s">
        <v>113</v>
      </c>
      <c r="F6" s="9" t="s">
        <v>197</v>
      </c>
      <c r="G6" s="10" t="s">
        <v>244</v>
      </c>
      <c r="H6" s="9" t="s">
        <v>317</v>
      </c>
      <c r="I6" s="10" t="s">
        <v>346</v>
      </c>
      <c r="J6" s="9">
        <v>1</v>
      </c>
      <c r="K6" s="9"/>
    </row>
    <row r="7" spans="1:11" ht="36.75" thickBot="1" x14ac:dyDescent="0.3">
      <c r="A7" s="1"/>
      <c r="B7" s="11">
        <f>ROW(B7) - ROW($B$2)</f>
        <v>5</v>
      </c>
      <c r="C7" s="13" t="s">
        <v>2</v>
      </c>
      <c r="D7" s="7" t="s">
        <v>29</v>
      </c>
      <c r="E7" s="8" t="s">
        <v>114</v>
      </c>
      <c r="F7" s="7" t="s">
        <v>386</v>
      </c>
      <c r="G7" s="8" t="s">
        <v>198</v>
      </c>
      <c r="H7" s="7" t="s">
        <v>318</v>
      </c>
      <c r="I7" s="8" t="s">
        <v>347</v>
      </c>
      <c r="J7" s="7">
        <v>1</v>
      </c>
      <c r="K7" s="7"/>
    </row>
    <row r="8" spans="1:11" ht="15.75" thickBot="1" x14ac:dyDescent="0.3">
      <c r="A8" s="1"/>
      <c r="B8" s="11">
        <f t="shared" si="0"/>
        <v>6</v>
      </c>
      <c r="C8" s="13" t="s">
        <v>2</v>
      </c>
      <c r="D8" s="9" t="s">
        <v>30</v>
      </c>
      <c r="E8" s="10" t="s">
        <v>115</v>
      </c>
      <c r="F8" s="9" t="s">
        <v>199</v>
      </c>
      <c r="G8" s="10" t="s">
        <v>245</v>
      </c>
      <c r="H8" s="9" t="s">
        <v>319</v>
      </c>
      <c r="I8" s="10" t="s">
        <v>348</v>
      </c>
      <c r="J8" s="9">
        <v>1</v>
      </c>
      <c r="K8" s="9"/>
    </row>
    <row r="9" spans="1:11" ht="15.75" thickBot="1" x14ac:dyDescent="0.3">
      <c r="A9" s="1"/>
      <c r="B9" s="11">
        <f>ROW(B9) - ROW($B$2)</f>
        <v>7</v>
      </c>
      <c r="C9" s="13" t="s">
        <v>2</v>
      </c>
      <c r="D9" s="7" t="s">
        <v>31</v>
      </c>
      <c r="E9" s="8" t="s">
        <v>116</v>
      </c>
      <c r="F9" s="7" t="s">
        <v>199</v>
      </c>
      <c r="G9" s="8" t="s">
        <v>246</v>
      </c>
      <c r="H9" s="7" t="s">
        <v>316</v>
      </c>
      <c r="I9" s="8" t="s">
        <v>344</v>
      </c>
      <c r="J9" s="7">
        <v>2</v>
      </c>
      <c r="K9" s="7"/>
    </row>
    <row r="10" spans="1:11" ht="15.75" thickBot="1" x14ac:dyDescent="0.3">
      <c r="A10" s="1"/>
      <c r="B10" s="11">
        <f t="shared" si="0"/>
        <v>8</v>
      </c>
      <c r="C10" s="13" t="s">
        <v>2</v>
      </c>
      <c r="D10" s="9" t="s">
        <v>32</v>
      </c>
      <c r="E10" s="10" t="s">
        <v>117</v>
      </c>
      <c r="F10" s="9" t="s">
        <v>200</v>
      </c>
      <c r="G10" s="10" t="s">
        <v>247</v>
      </c>
      <c r="H10" s="9" t="s">
        <v>320</v>
      </c>
      <c r="I10" s="10" t="s">
        <v>345</v>
      </c>
      <c r="J10" s="9">
        <v>2</v>
      </c>
      <c r="K10" s="9"/>
    </row>
    <row r="11" spans="1:11" ht="15.75" thickBot="1" x14ac:dyDescent="0.3">
      <c r="A11" s="1"/>
      <c r="B11" s="11">
        <f>ROW(B11) - ROW($B$2)</f>
        <v>9</v>
      </c>
      <c r="C11" s="13" t="s">
        <v>2</v>
      </c>
      <c r="D11" s="7" t="s">
        <v>33</v>
      </c>
      <c r="E11" s="8" t="s">
        <v>118</v>
      </c>
      <c r="F11" s="7" t="s">
        <v>200</v>
      </c>
      <c r="G11" s="10" t="s">
        <v>396</v>
      </c>
      <c r="H11" s="7" t="s">
        <v>320</v>
      </c>
      <c r="I11" s="8" t="s">
        <v>349</v>
      </c>
      <c r="J11" s="7">
        <v>5</v>
      </c>
      <c r="K11" s="7"/>
    </row>
    <row r="12" spans="1:11" ht="15.75" thickBot="1" x14ac:dyDescent="0.3">
      <c r="A12" s="1"/>
      <c r="B12" s="11">
        <f t="shared" si="0"/>
        <v>10</v>
      </c>
      <c r="C12" s="13" t="s">
        <v>2</v>
      </c>
      <c r="D12" s="9" t="s">
        <v>34</v>
      </c>
      <c r="E12" s="10" t="s">
        <v>119</v>
      </c>
      <c r="F12" s="9" t="s">
        <v>201</v>
      </c>
      <c r="G12" s="10" t="s">
        <v>248</v>
      </c>
      <c r="H12" s="9" t="s">
        <v>319</v>
      </c>
      <c r="I12" s="10" t="s">
        <v>345</v>
      </c>
      <c r="J12" s="9">
        <v>1</v>
      </c>
      <c r="K12" s="9"/>
    </row>
    <row r="13" spans="1:11" ht="15.75" thickBot="1" x14ac:dyDescent="0.3">
      <c r="A13" s="1"/>
      <c r="B13" s="11">
        <f>ROW(B13) - ROW($B$2)</f>
        <v>11</v>
      </c>
      <c r="C13" s="12" t="s">
        <v>2</v>
      </c>
      <c r="D13" s="7" t="s">
        <v>35</v>
      </c>
      <c r="E13" s="8" t="s">
        <v>120</v>
      </c>
      <c r="F13" s="7" t="s">
        <v>201</v>
      </c>
      <c r="G13" s="8" t="s">
        <v>249</v>
      </c>
      <c r="H13" s="7" t="s">
        <v>319</v>
      </c>
      <c r="I13" s="8" t="s">
        <v>350</v>
      </c>
      <c r="J13" s="7">
        <v>1</v>
      </c>
      <c r="K13" s="7"/>
    </row>
    <row r="14" spans="1:11" ht="15.75" thickBot="1" x14ac:dyDescent="0.3">
      <c r="A14" s="1"/>
      <c r="B14" s="11">
        <f t="shared" si="0"/>
        <v>12</v>
      </c>
      <c r="C14" s="13" t="s">
        <v>2</v>
      </c>
      <c r="D14" s="9" t="s">
        <v>36</v>
      </c>
      <c r="E14" s="10" t="s">
        <v>121</v>
      </c>
      <c r="F14" s="9" t="s">
        <v>201</v>
      </c>
      <c r="G14" s="10" t="s">
        <v>250</v>
      </c>
      <c r="H14" s="9" t="s">
        <v>319</v>
      </c>
      <c r="I14" s="10" t="s">
        <v>351</v>
      </c>
      <c r="J14" s="9">
        <v>1</v>
      </c>
      <c r="K14" s="9"/>
    </row>
    <row r="15" spans="1:11" ht="15.75" thickBot="1" x14ac:dyDescent="0.3">
      <c r="A15" s="1"/>
      <c r="B15" s="11">
        <f>ROW(B15) - ROW($B$2)</f>
        <v>13</v>
      </c>
      <c r="C15" s="12" t="s">
        <v>3</v>
      </c>
      <c r="D15" s="7" t="s">
        <v>37</v>
      </c>
      <c r="E15" s="8" t="s">
        <v>122</v>
      </c>
      <c r="F15" s="7" t="s">
        <v>201</v>
      </c>
      <c r="G15" s="8" t="s">
        <v>251</v>
      </c>
      <c r="H15" s="7" t="s">
        <v>319</v>
      </c>
      <c r="I15" s="8" t="s">
        <v>352</v>
      </c>
      <c r="J15" s="7">
        <v>1</v>
      </c>
      <c r="K15" s="7"/>
    </row>
    <row r="16" spans="1:11" ht="15.75" thickBot="1" x14ac:dyDescent="0.3">
      <c r="A16" s="1"/>
      <c r="B16" s="11">
        <f t="shared" si="0"/>
        <v>14</v>
      </c>
      <c r="C16" s="13" t="s">
        <v>2</v>
      </c>
      <c r="D16" s="9" t="s">
        <v>38</v>
      </c>
      <c r="E16" s="10" t="s">
        <v>123</v>
      </c>
      <c r="F16" s="9" t="s">
        <v>200</v>
      </c>
      <c r="G16" s="10" t="s">
        <v>252</v>
      </c>
      <c r="H16" s="9" t="s">
        <v>319</v>
      </c>
      <c r="I16" s="10" t="s">
        <v>353</v>
      </c>
      <c r="J16" s="9">
        <v>1</v>
      </c>
      <c r="K16" s="9"/>
    </row>
    <row r="17" spans="1:11" ht="15.75" thickBot="1" x14ac:dyDescent="0.3">
      <c r="A17" s="1"/>
      <c r="B17" s="11">
        <f>ROW(B17) - ROW($B$2)</f>
        <v>15</v>
      </c>
      <c r="C17" s="12" t="s">
        <v>2</v>
      </c>
      <c r="D17" s="7" t="s">
        <v>39</v>
      </c>
      <c r="E17" s="8" t="s">
        <v>124</v>
      </c>
      <c r="F17" s="7" t="s">
        <v>201</v>
      </c>
      <c r="G17" s="8" t="s">
        <v>253</v>
      </c>
      <c r="H17" s="7" t="s">
        <v>319</v>
      </c>
      <c r="I17" s="8" t="s">
        <v>354</v>
      </c>
      <c r="J17" s="7">
        <v>10</v>
      </c>
      <c r="K17" s="7"/>
    </row>
    <row r="18" spans="1:11" ht="15.75" thickBot="1" x14ac:dyDescent="0.3">
      <c r="A18" s="1"/>
      <c r="B18" s="11">
        <f t="shared" si="0"/>
        <v>16</v>
      </c>
      <c r="C18" s="13" t="s">
        <v>3</v>
      </c>
      <c r="D18" s="9" t="s">
        <v>40</v>
      </c>
      <c r="E18" s="10" t="s">
        <v>125</v>
      </c>
      <c r="F18" s="9" t="s">
        <v>196</v>
      </c>
      <c r="G18" s="10" t="s">
        <v>254</v>
      </c>
      <c r="H18" s="9" t="s">
        <v>316</v>
      </c>
      <c r="I18" s="10" t="s">
        <v>355</v>
      </c>
      <c r="J18" s="9">
        <v>5</v>
      </c>
      <c r="K18" s="9"/>
    </row>
    <row r="19" spans="1:11" ht="15.75" thickBot="1" x14ac:dyDescent="0.3">
      <c r="A19" s="1"/>
      <c r="B19" s="11">
        <f>ROW(B19) - ROW($B$2)</f>
        <v>17</v>
      </c>
      <c r="C19" s="12" t="s">
        <v>2</v>
      </c>
      <c r="D19" s="7" t="s">
        <v>41</v>
      </c>
      <c r="E19" s="8" t="s">
        <v>126</v>
      </c>
      <c r="F19" s="7" t="s">
        <v>201</v>
      </c>
      <c r="G19" s="8" t="s">
        <v>255</v>
      </c>
      <c r="H19" s="7" t="s">
        <v>319</v>
      </c>
      <c r="I19" s="8" t="s">
        <v>356</v>
      </c>
      <c r="J19" s="7">
        <v>1</v>
      </c>
      <c r="K19" s="7"/>
    </row>
    <row r="20" spans="1:11" ht="24.75" thickBot="1" x14ac:dyDescent="0.3">
      <c r="A20" s="1"/>
      <c r="B20" s="11">
        <f t="shared" si="0"/>
        <v>18</v>
      </c>
      <c r="C20" s="13" t="s">
        <v>2</v>
      </c>
      <c r="D20" s="9" t="s">
        <v>42</v>
      </c>
      <c r="E20" s="10" t="s">
        <v>127</v>
      </c>
      <c r="F20" s="9" t="s">
        <v>201</v>
      </c>
      <c r="G20" s="10" t="s">
        <v>256</v>
      </c>
      <c r="H20" s="9" t="s">
        <v>319</v>
      </c>
      <c r="I20" s="10" t="s">
        <v>349</v>
      </c>
      <c r="J20" s="9">
        <v>11</v>
      </c>
      <c r="K20" s="9"/>
    </row>
    <row r="21" spans="1:11" ht="15.75" thickBot="1" x14ac:dyDescent="0.3">
      <c r="A21" s="1"/>
      <c r="B21" s="11">
        <f>ROW(B21) - ROW($B$2)</f>
        <v>19</v>
      </c>
      <c r="C21" s="12"/>
      <c r="D21" s="7" t="s">
        <v>43</v>
      </c>
      <c r="E21" s="8" t="s">
        <v>128</v>
      </c>
      <c r="F21" s="7" t="s">
        <v>201</v>
      </c>
      <c r="G21" s="8" t="s">
        <v>257</v>
      </c>
      <c r="H21" s="7" t="s">
        <v>319</v>
      </c>
      <c r="I21" s="8" t="s">
        <v>343</v>
      </c>
      <c r="J21" s="7">
        <v>1</v>
      </c>
      <c r="K21" s="7"/>
    </row>
    <row r="22" spans="1:11" ht="15.75" thickBot="1" x14ac:dyDescent="0.3">
      <c r="A22" s="1"/>
      <c r="B22" s="11">
        <f t="shared" si="0"/>
        <v>20</v>
      </c>
      <c r="C22" s="13" t="s">
        <v>2</v>
      </c>
      <c r="D22" s="9" t="s">
        <v>44</v>
      </c>
      <c r="E22" s="10" t="s">
        <v>129</v>
      </c>
      <c r="F22" s="9" t="s">
        <v>200</v>
      </c>
      <c r="G22" s="10" t="s">
        <v>258</v>
      </c>
      <c r="H22" s="9" t="s">
        <v>319</v>
      </c>
      <c r="I22" s="10" t="s">
        <v>349</v>
      </c>
      <c r="J22" s="9">
        <v>4</v>
      </c>
      <c r="K22" s="9"/>
    </row>
    <row r="23" spans="1:11" ht="15.75" thickBot="1" x14ac:dyDescent="0.3">
      <c r="A23" s="1"/>
      <c r="B23" s="11">
        <f>ROW(B23) - ROW($B$2)</f>
        <v>21</v>
      </c>
      <c r="C23" s="12" t="s">
        <v>4</v>
      </c>
      <c r="D23" s="7" t="s">
        <v>45</v>
      </c>
      <c r="E23" s="8" t="s">
        <v>130</v>
      </c>
      <c r="F23" s="7" t="s">
        <v>202</v>
      </c>
      <c r="G23" s="8" t="s">
        <v>259</v>
      </c>
      <c r="H23" s="7" t="s">
        <v>321</v>
      </c>
      <c r="I23" s="8" t="s">
        <v>385</v>
      </c>
      <c r="J23" s="7">
        <v>1</v>
      </c>
      <c r="K23" s="7"/>
    </row>
    <row r="24" spans="1:11" ht="15.75" thickBot="1" x14ac:dyDescent="0.3">
      <c r="A24" s="1"/>
      <c r="B24" s="11">
        <f t="shared" si="0"/>
        <v>22</v>
      </c>
      <c r="C24" s="13" t="s">
        <v>4</v>
      </c>
      <c r="D24" s="9" t="s">
        <v>46</v>
      </c>
      <c r="E24" s="10" t="s">
        <v>131</v>
      </c>
      <c r="F24" s="9" t="s">
        <v>203</v>
      </c>
      <c r="G24" s="10" t="s">
        <v>260</v>
      </c>
      <c r="H24" s="9" t="s">
        <v>322</v>
      </c>
      <c r="I24" s="8" t="s">
        <v>385</v>
      </c>
      <c r="J24" s="9">
        <v>2</v>
      </c>
      <c r="K24" s="9"/>
    </row>
    <row r="25" spans="1:11" ht="15.75" thickBot="1" x14ac:dyDescent="0.3">
      <c r="A25" s="1"/>
      <c r="B25" s="11">
        <f>ROW(B25) - ROW($B$2)</f>
        <v>23</v>
      </c>
      <c r="C25" s="12" t="s">
        <v>4</v>
      </c>
      <c r="D25" s="7" t="s">
        <v>47</v>
      </c>
      <c r="E25" s="8" t="s">
        <v>132</v>
      </c>
      <c r="F25" s="7" t="s">
        <v>204</v>
      </c>
      <c r="G25" s="8" t="s">
        <v>261</v>
      </c>
      <c r="H25" s="7" t="s">
        <v>323</v>
      </c>
      <c r="I25" s="8" t="s">
        <v>385</v>
      </c>
      <c r="J25" s="7">
        <v>1</v>
      </c>
      <c r="K25" s="7"/>
    </row>
    <row r="26" spans="1:11" ht="24.75" thickBot="1" x14ac:dyDescent="0.3">
      <c r="A26" s="1"/>
      <c r="B26" s="11">
        <f t="shared" si="0"/>
        <v>24</v>
      </c>
      <c r="C26" s="13" t="s">
        <v>5</v>
      </c>
      <c r="D26" s="9" t="s">
        <v>48</v>
      </c>
      <c r="E26" s="10" t="s">
        <v>133</v>
      </c>
      <c r="F26" s="9" t="s">
        <v>205</v>
      </c>
      <c r="G26" s="10" t="s">
        <v>262</v>
      </c>
      <c r="H26" s="9" t="s">
        <v>324</v>
      </c>
      <c r="I26" s="8" t="s">
        <v>385</v>
      </c>
      <c r="J26" s="9">
        <v>1</v>
      </c>
      <c r="K26" s="9"/>
    </row>
    <row r="27" spans="1:11" ht="15.75" thickBot="1" x14ac:dyDescent="0.3">
      <c r="A27" s="1"/>
      <c r="B27" s="11">
        <f>ROW(B27) - ROW($B$2)</f>
        <v>25</v>
      </c>
      <c r="C27" s="12" t="s">
        <v>6</v>
      </c>
      <c r="D27" s="7" t="s">
        <v>49</v>
      </c>
      <c r="E27" s="8" t="s">
        <v>134</v>
      </c>
      <c r="F27" s="7" t="s">
        <v>204</v>
      </c>
      <c r="G27" s="8" t="s">
        <v>263</v>
      </c>
      <c r="H27" s="7" t="s">
        <v>323</v>
      </c>
      <c r="I27" s="8" t="s">
        <v>385</v>
      </c>
      <c r="J27" s="7">
        <v>1</v>
      </c>
      <c r="K27" s="7"/>
    </row>
    <row r="28" spans="1:11" ht="24.75" thickBot="1" x14ac:dyDescent="0.3">
      <c r="A28" s="1"/>
      <c r="B28" s="11">
        <f t="shared" si="0"/>
        <v>26</v>
      </c>
      <c r="C28" s="13" t="s">
        <v>5</v>
      </c>
      <c r="D28" s="9" t="s">
        <v>50</v>
      </c>
      <c r="E28" s="10" t="s">
        <v>135</v>
      </c>
      <c r="F28" s="9" t="s">
        <v>205</v>
      </c>
      <c r="G28" s="10" t="s">
        <v>264</v>
      </c>
      <c r="H28" s="9" t="s">
        <v>324</v>
      </c>
      <c r="I28" s="8" t="s">
        <v>385</v>
      </c>
      <c r="J28" s="9">
        <v>1</v>
      </c>
      <c r="K28" s="9"/>
    </row>
    <row r="29" spans="1:11" ht="15.75" thickBot="1" x14ac:dyDescent="0.3">
      <c r="A29" s="1"/>
      <c r="B29" s="11">
        <f>ROW(B29) - ROW($B$2)</f>
        <v>27</v>
      </c>
      <c r="C29" s="12" t="s">
        <v>4</v>
      </c>
      <c r="D29" s="7" t="s">
        <v>51</v>
      </c>
      <c r="E29" s="8" t="s">
        <v>136</v>
      </c>
      <c r="F29" s="7" t="s">
        <v>205</v>
      </c>
      <c r="G29" s="8" t="s">
        <v>265</v>
      </c>
      <c r="H29" s="7" t="s">
        <v>325</v>
      </c>
      <c r="I29" s="8" t="s">
        <v>385</v>
      </c>
      <c r="J29" s="7">
        <v>1</v>
      </c>
      <c r="K29" s="7"/>
    </row>
    <row r="30" spans="1:11" ht="15.75" thickBot="1" x14ac:dyDescent="0.3">
      <c r="A30" s="1"/>
      <c r="B30" s="11">
        <f t="shared" si="0"/>
        <v>28</v>
      </c>
      <c r="C30" s="13" t="s">
        <v>6</v>
      </c>
      <c r="D30" s="9" t="s">
        <v>52</v>
      </c>
      <c r="E30" s="10" t="s">
        <v>137</v>
      </c>
      <c r="F30" s="9" t="s">
        <v>206</v>
      </c>
      <c r="G30" s="10" t="s">
        <v>266</v>
      </c>
      <c r="H30" s="9" t="s">
        <v>326</v>
      </c>
      <c r="I30" s="8" t="s">
        <v>385</v>
      </c>
      <c r="J30" s="9">
        <v>1</v>
      </c>
      <c r="K30" s="9"/>
    </row>
    <row r="31" spans="1:11" ht="15.75" thickBot="1" x14ac:dyDescent="0.3">
      <c r="A31" s="1"/>
      <c r="B31" s="11">
        <f>ROW(B31) - ROW($B$2)</f>
        <v>29</v>
      </c>
      <c r="C31" s="12" t="s">
        <v>4</v>
      </c>
      <c r="D31" s="7" t="s">
        <v>53</v>
      </c>
      <c r="E31" s="8" t="s">
        <v>138</v>
      </c>
      <c r="F31" s="7" t="s">
        <v>206</v>
      </c>
      <c r="G31" s="8" t="s">
        <v>267</v>
      </c>
      <c r="H31" s="7" t="s">
        <v>327</v>
      </c>
      <c r="I31" s="8" t="s">
        <v>385</v>
      </c>
      <c r="J31" s="7">
        <v>1</v>
      </c>
      <c r="K31" s="7"/>
    </row>
    <row r="32" spans="1:11" ht="15.75" thickBot="1" x14ac:dyDescent="0.3">
      <c r="A32" s="1"/>
      <c r="B32" s="11">
        <f t="shared" si="0"/>
        <v>30</v>
      </c>
      <c r="C32" s="13" t="s">
        <v>5</v>
      </c>
      <c r="D32" s="9" t="s">
        <v>54</v>
      </c>
      <c r="E32" s="10" t="s">
        <v>139</v>
      </c>
      <c r="F32" s="9" t="s">
        <v>207</v>
      </c>
      <c r="G32" s="10" t="s">
        <v>268</v>
      </c>
      <c r="H32" s="9" t="s">
        <v>328</v>
      </c>
      <c r="I32" s="8" t="s">
        <v>385</v>
      </c>
      <c r="J32" s="9">
        <v>1</v>
      </c>
      <c r="K32" s="9"/>
    </row>
    <row r="33" spans="1:11" ht="15.75" thickBot="1" x14ac:dyDescent="0.3">
      <c r="A33" s="1"/>
      <c r="B33" s="11">
        <f>ROW(B33) - ROW($B$2)</f>
        <v>31</v>
      </c>
      <c r="C33" s="12" t="s">
        <v>6</v>
      </c>
      <c r="D33" s="7" t="s">
        <v>55</v>
      </c>
      <c r="E33" s="8" t="s">
        <v>140</v>
      </c>
      <c r="F33" s="7" t="s">
        <v>208</v>
      </c>
      <c r="G33" s="8" t="s">
        <v>269</v>
      </c>
      <c r="H33" s="7" t="s">
        <v>321</v>
      </c>
      <c r="I33" s="8" t="s">
        <v>385</v>
      </c>
      <c r="J33" s="7">
        <v>1</v>
      </c>
      <c r="K33" s="7"/>
    </row>
    <row r="34" spans="1:11" ht="15.75" thickBot="1" x14ac:dyDescent="0.3">
      <c r="A34" s="1"/>
      <c r="B34" s="11">
        <f t="shared" si="0"/>
        <v>32</v>
      </c>
      <c r="C34" s="13" t="s">
        <v>7</v>
      </c>
      <c r="D34" s="9" t="s">
        <v>56</v>
      </c>
      <c r="E34" s="10" t="s">
        <v>141</v>
      </c>
      <c r="F34" s="9" t="s">
        <v>209</v>
      </c>
      <c r="G34" s="10" t="s">
        <v>270</v>
      </c>
      <c r="H34" s="9" t="s">
        <v>329</v>
      </c>
      <c r="I34" s="8" t="s">
        <v>385</v>
      </c>
      <c r="J34" s="9">
        <v>1</v>
      </c>
      <c r="K34" s="9"/>
    </row>
    <row r="35" spans="1:11" ht="15.75" thickBot="1" x14ac:dyDescent="0.3">
      <c r="A35" s="1"/>
      <c r="B35" s="11">
        <f>ROW(B35) - ROW($B$2)</f>
        <v>33</v>
      </c>
      <c r="C35" s="12" t="s">
        <v>8</v>
      </c>
      <c r="D35" s="7" t="s">
        <v>57</v>
      </c>
      <c r="E35" s="8" t="s">
        <v>142</v>
      </c>
      <c r="F35" s="7" t="s">
        <v>386</v>
      </c>
      <c r="G35" s="8" t="s">
        <v>210</v>
      </c>
      <c r="H35" s="7" t="s">
        <v>330</v>
      </c>
      <c r="I35" s="8" t="s">
        <v>385</v>
      </c>
      <c r="J35" s="7">
        <v>1</v>
      </c>
      <c r="K35" s="7"/>
    </row>
    <row r="36" spans="1:11" ht="48.75" thickBot="1" x14ac:dyDescent="0.3">
      <c r="A36" s="1"/>
      <c r="B36" s="11">
        <f t="shared" si="0"/>
        <v>34</v>
      </c>
      <c r="C36" s="13" t="s">
        <v>9</v>
      </c>
      <c r="D36" s="9" t="s">
        <v>58</v>
      </c>
      <c r="E36" s="10" t="s">
        <v>143</v>
      </c>
      <c r="F36" s="7" t="s">
        <v>386</v>
      </c>
      <c r="G36" s="10" t="s">
        <v>211</v>
      </c>
      <c r="H36" s="9" t="s">
        <v>331</v>
      </c>
      <c r="I36" s="8" t="s">
        <v>385</v>
      </c>
      <c r="J36" s="9">
        <v>1</v>
      </c>
      <c r="K36" s="9"/>
    </row>
    <row r="37" spans="1:11" ht="60.75" thickBot="1" x14ac:dyDescent="0.3">
      <c r="A37" s="1"/>
      <c r="B37" s="11">
        <f>ROW(B37) - ROW($B$2)</f>
        <v>35</v>
      </c>
      <c r="C37" s="12" t="s">
        <v>10</v>
      </c>
      <c r="D37" s="7" t="s">
        <v>59</v>
      </c>
      <c r="E37" s="8" t="s">
        <v>144</v>
      </c>
      <c r="F37" s="7" t="s">
        <v>386</v>
      </c>
      <c r="G37" s="8" t="s">
        <v>212</v>
      </c>
      <c r="H37" s="7" t="s">
        <v>332</v>
      </c>
      <c r="I37" s="8" t="s">
        <v>385</v>
      </c>
      <c r="J37" s="7">
        <v>1</v>
      </c>
      <c r="K37" s="7"/>
    </row>
    <row r="38" spans="1:11" ht="48.75" thickBot="1" x14ac:dyDescent="0.3">
      <c r="A38" s="1"/>
      <c r="B38" s="11">
        <f>ROW(B38) - ROW($B$2)</f>
        <v>36</v>
      </c>
      <c r="C38" s="12" t="s">
        <v>11</v>
      </c>
      <c r="D38" s="7" t="s">
        <v>60</v>
      </c>
      <c r="E38" s="8" t="s">
        <v>146</v>
      </c>
      <c r="F38" s="7" t="s">
        <v>213</v>
      </c>
      <c r="G38" s="8" t="s">
        <v>272</v>
      </c>
      <c r="H38" s="7" t="s">
        <v>334</v>
      </c>
      <c r="I38" s="8" t="s">
        <v>385</v>
      </c>
      <c r="J38" s="7">
        <v>2</v>
      </c>
      <c r="K38" s="7"/>
    </row>
    <row r="39" spans="1:11" ht="48.75" thickBot="1" x14ac:dyDescent="0.3">
      <c r="A39" s="1"/>
      <c r="B39" s="11">
        <f>ROW(B39) - ROW($B$2)</f>
        <v>37</v>
      </c>
      <c r="C39" s="12" t="s">
        <v>11</v>
      </c>
      <c r="D39" s="7" t="s">
        <v>61</v>
      </c>
      <c r="E39" s="8" t="s">
        <v>147</v>
      </c>
      <c r="F39" s="7" t="s">
        <v>214</v>
      </c>
      <c r="G39" s="8" t="s">
        <v>273</v>
      </c>
      <c r="H39" s="7" t="s">
        <v>334</v>
      </c>
      <c r="I39" s="8" t="s">
        <v>385</v>
      </c>
      <c r="J39" s="7">
        <v>1</v>
      </c>
      <c r="K39" s="7"/>
    </row>
    <row r="40" spans="1:11" ht="48.75" thickBot="1" x14ac:dyDescent="0.3">
      <c r="A40" s="1"/>
      <c r="B40" s="11">
        <f t="shared" si="0"/>
        <v>38</v>
      </c>
      <c r="C40" s="13" t="s">
        <v>12</v>
      </c>
      <c r="D40" s="9" t="s">
        <v>62</v>
      </c>
      <c r="E40" s="10" t="s">
        <v>148</v>
      </c>
      <c r="F40" s="7" t="s">
        <v>386</v>
      </c>
      <c r="G40" s="10" t="s">
        <v>215</v>
      </c>
      <c r="H40" s="9" t="s">
        <v>334</v>
      </c>
      <c r="I40" s="8" t="s">
        <v>385</v>
      </c>
      <c r="J40" s="9">
        <v>4</v>
      </c>
      <c r="K40" s="9"/>
    </row>
    <row r="41" spans="1:11" ht="48.75" thickBot="1" x14ac:dyDescent="0.3">
      <c r="A41" s="1"/>
      <c r="B41" s="11">
        <f>ROW(B41) - ROW($B$2)</f>
        <v>39</v>
      </c>
      <c r="C41" s="12" t="s">
        <v>9</v>
      </c>
      <c r="D41" s="7" t="s">
        <v>63</v>
      </c>
      <c r="E41" s="8" t="s">
        <v>149</v>
      </c>
      <c r="F41" s="7" t="s">
        <v>386</v>
      </c>
      <c r="G41" s="8" t="s">
        <v>216</v>
      </c>
      <c r="H41" s="7" t="s">
        <v>331</v>
      </c>
      <c r="I41" s="8" t="s">
        <v>385</v>
      </c>
      <c r="J41" s="7">
        <v>4</v>
      </c>
      <c r="K41" s="7"/>
    </row>
    <row r="42" spans="1:11" ht="15.75" thickBot="1" x14ac:dyDescent="0.3">
      <c r="A42" s="1"/>
      <c r="B42" s="11">
        <f t="shared" si="0"/>
        <v>40</v>
      </c>
      <c r="C42" s="13" t="s">
        <v>13</v>
      </c>
      <c r="D42" s="9" t="s">
        <v>64</v>
      </c>
      <c r="E42" s="10" t="s">
        <v>150</v>
      </c>
      <c r="F42" s="7" t="s">
        <v>386</v>
      </c>
      <c r="G42" s="10" t="s">
        <v>274</v>
      </c>
      <c r="H42" s="9" t="s">
        <v>335</v>
      </c>
      <c r="I42" s="8" t="s">
        <v>385</v>
      </c>
      <c r="J42" s="9">
        <v>4</v>
      </c>
      <c r="K42" s="9"/>
    </row>
    <row r="43" spans="1:11" ht="36.75" thickBot="1" x14ac:dyDescent="0.3">
      <c r="A43" s="1"/>
      <c r="B43" s="11">
        <f>ROW(B43) - ROW($B$2)</f>
        <v>41</v>
      </c>
      <c r="C43" s="12" t="s">
        <v>14</v>
      </c>
      <c r="D43" s="7" t="s">
        <v>65</v>
      </c>
      <c r="E43" s="8" t="s">
        <v>151</v>
      </c>
      <c r="F43" s="7" t="s">
        <v>386</v>
      </c>
      <c r="G43" s="8" t="s">
        <v>217</v>
      </c>
      <c r="H43" s="7" t="s">
        <v>336</v>
      </c>
      <c r="I43" s="8" t="s">
        <v>357</v>
      </c>
      <c r="J43" s="7">
        <v>1</v>
      </c>
      <c r="K43" s="7"/>
    </row>
    <row r="44" spans="1:11" ht="15.75" thickBot="1" x14ac:dyDescent="0.3">
      <c r="A44" s="1"/>
      <c r="B44" s="11">
        <f t="shared" si="0"/>
        <v>42</v>
      </c>
      <c r="C44" s="13" t="s">
        <v>14</v>
      </c>
      <c r="D44" s="9" t="s">
        <v>66</v>
      </c>
      <c r="E44" s="10" t="s">
        <v>152</v>
      </c>
      <c r="F44" s="7" t="s">
        <v>386</v>
      </c>
      <c r="G44" s="10" t="s">
        <v>218</v>
      </c>
      <c r="H44" s="9" t="s">
        <v>337</v>
      </c>
      <c r="I44" s="10" t="s">
        <v>358</v>
      </c>
      <c r="J44" s="9">
        <v>1</v>
      </c>
      <c r="K44" s="9"/>
    </row>
    <row r="45" spans="1:11" ht="24.75" thickBot="1" x14ac:dyDescent="0.3">
      <c r="A45" s="1"/>
      <c r="B45" s="11">
        <f>ROW(B45) - ROW($B$2)</f>
        <v>43</v>
      </c>
      <c r="C45" s="12" t="s">
        <v>14</v>
      </c>
      <c r="D45" s="7" t="s">
        <v>67</v>
      </c>
      <c r="E45" s="8" t="s">
        <v>153</v>
      </c>
      <c r="F45" s="7" t="s">
        <v>386</v>
      </c>
      <c r="G45" s="8" t="s">
        <v>219</v>
      </c>
      <c r="H45" s="7" t="s">
        <v>338</v>
      </c>
      <c r="I45" s="8" t="s">
        <v>359</v>
      </c>
      <c r="J45" s="7">
        <v>1</v>
      </c>
      <c r="K45" s="7"/>
    </row>
    <row r="46" spans="1:11" ht="15.75" thickBot="1" x14ac:dyDescent="0.3">
      <c r="A46" s="1"/>
      <c r="B46" s="11">
        <f t="shared" si="0"/>
        <v>44</v>
      </c>
      <c r="C46" s="13" t="s">
        <v>15</v>
      </c>
      <c r="D46" s="9" t="s">
        <v>68</v>
      </c>
      <c r="E46" s="10" t="s">
        <v>154</v>
      </c>
      <c r="F46" s="9" t="s">
        <v>220</v>
      </c>
      <c r="G46" s="10" t="s">
        <v>275</v>
      </c>
      <c r="H46" s="9" t="s">
        <v>316</v>
      </c>
      <c r="I46" s="10" t="s">
        <v>385</v>
      </c>
      <c r="J46" s="9">
        <v>1</v>
      </c>
      <c r="K46" s="9"/>
    </row>
    <row r="47" spans="1:11" ht="24.75" thickBot="1" x14ac:dyDescent="0.3">
      <c r="A47" s="1"/>
      <c r="B47" s="11">
        <f>ROW(B47) - ROW($B$2)</f>
        <v>45</v>
      </c>
      <c r="C47" s="12" t="s">
        <v>16</v>
      </c>
      <c r="D47" s="7" t="s">
        <v>69</v>
      </c>
      <c r="E47" s="8" t="s">
        <v>155</v>
      </c>
      <c r="F47" s="7" t="s">
        <v>221</v>
      </c>
      <c r="G47" s="8" t="s">
        <v>276</v>
      </c>
      <c r="H47" s="7" t="s">
        <v>339</v>
      </c>
      <c r="I47" s="10" t="s">
        <v>385</v>
      </c>
      <c r="J47" s="7">
        <v>5</v>
      </c>
      <c r="K47" s="7"/>
    </row>
    <row r="48" spans="1:11" ht="15.75" thickBot="1" x14ac:dyDescent="0.3">
      <c r="A48" s="1"/>
      <c r="B48" s="11">
        <f t="shared" si="0"/>
        <v>46</v>
      </c>
      <c r="C48" s="13" t="s">
        <v>17</v>
      </c>
      <c r="D48" s="9" t="s">
        <v>70</v>
      </c>
      <c r="E48" s="10" t="s">
        <v>156</v>
      </c>
      <c r="F48" s="7" t="s">
        <v>386</v>
      </c>
      <c r="G48" s="10" t="s">
        <v>222</v>
      </c>
      <c r="H48" s="9" t="s">
        <v>340</v>
      </c>
      <c r="I48" s="10" t="s">
        <v>385</v>
      </c>
      <c r="J48" s="9">
        <v>5</v>
      </c>
      <c r="K48" s="9"/>
    </row>
    <row r="49" spans="1:11" ht="24.75" thickBot="1" x14ac:dyDescent="0.3">
      <c r="A49" s="1"/>
      <c r="B49" s="11">
        <f>ROW(B49) - ROW($B$2)</f>
        <v>47</v>
      </c>
      <c r="C49" s="12" t="s">
        <v>16</v>
      </c>
      <c r="D49" s="7" t="s">
        <v>71</v>
      </c>
      <c r="E49" s="8" t="s">
        <v>157</v>
      </c>
      <c r="F49" s="7" t="s">
        <v>221</v>
      </c>
      <c r="G49" s="8" t="s">
        <v>277</v>
      </c>
      <c r="H49" s="7" t="s">
        <v>339</v>
      </c>
      <c r="I49" s="10" t="s">
        <v>385</v>
      </c>
      <c r="J49" s="7">
        <v>4</v>
      </c>
      <c r="K49" s="7"/>
    </row>
    <row r="50" spans="1:11" ht="15.75" thickBot="1" x14ac:dyDescent="0.3">
      <c r="A50" s="1"/>
      <c r="B50" s="11">
        <f t="shared" si="0"/>
        <v>48</v>
      </c>
      <c r="C50" s="13" t="s">
        <v>18</v>
      </c>
      <c r="D50" s="9" t="s">
        <v>72</v>
      </c>
      <c r="E50" s="10" t="s">
        <v>158</v>
      </c>
      <c r="F50" s="9" t="s">
        <v>223</v>
      </c>
      <c r="G50" s="10" t="s">
        <v>278</v>
      </c>
      <c r="H50" s="9" t="s">
        <v>341</v>
      </c>
      <c r="I50" s="10" t="s">
        <v>385</v>
      </c>
      <c r="J50" s="9">
        <v>1</v>
      </c>
      <c r="K50" s="9"/>
    </row>
    <row r="51" spans="1:11" ht="15.75" thickBot="1" x14ac:dyDescent="0.3">
      <c r="A51" s="1"/>
      <c r="B51" s="11">
        <f>ROW(B51) - ROW($B$2)</f>
        <v>49</v>
      </c>
      <c r="C51" s="12" t="s">
        <v>18</v>
      </c>
      <c r="D51" s="7" t="s">
        <v>73</v>
      </c>
      <c r="E51" s="8" t="s">
        <v>159</v>
      </c>
      <c r="F51" s="7" t="s">
        <v>224</v>
      </c>
      <c r="G51" s="8" t="s">
        <v>279</v>
      </c>
      <c r="H51" s="7" t="s">
        <v>341</v>
      </c>
      <c r="I51" s="10" t="s">
        <v>385</v>
      </c>
      <c r="J51" s="7">
        <v>1</v>
      </c>
      <c r="K51" s="7"/>
    </row>
    <row r="52" spans="1:11" ht="15.75" thickBot="1" x14ac:dyDescent="0.3">
      <c r="A52" s="1"/>
      <c r="B52" s="11">
        <f t="shared" si="0"/>
        <v>50</v>
      </c>
      <c r="C52" s="13" t="s">
        <v>19</v>
      </c>
      <c r="D52" s="9" t="s">
        <v>74</v>
      </c>
      <c r="E52" s="10" t="s">
        <v>160</v>
      </c>
      <c r="F52" s="9" t="s">
        <v>225</v>
      </c>
      <c r="G52" s="10" t="s">
        <v>280</v>
      </c>
      <c r="H52" s="9" t="s">
        <v>327</v>
      </c>
      <c r="I52" s="10" t="s">
        <v>385</v>
      </c>
      <c r="J52" s="9">
        <v>1</v>
      </c>
      <c r="K52" s="9"/>
    </row>
    <row r="53" spans="1:11" ht="15.75" thickBot="1" x14ac:dyDescent="0.3">
      <c r="A53" s="1"/>
      <c r="B53" s="11">
        <f>ROW(B53) - ROW($B$2)</f>
        <v>51</v>
      </c>
      <c r="C53" s="12" t="s">
        <v>20</v>
      </c>
      <c r="D53" s="7" t="s">
        <v>75</v>
      </c>
      <c r="E53" s="8" t="s">
        <v>161</v>
      </c>
      <c r="F53" s="7" t="s">
        <v>226</v>
      </c>
      <c r="G53" s="8" t="s">
        <v>281</v>
      </c>
      <c r="H53" s="7" t="s">
        <v>319</v>
      </c>
      <c r="I53" s="8" t="s">
        <v>360</v>
      </c>
      <c r="J53" s="7">
        <v>1</v>
      </c>
      <c r="K53" s="7"/>
    </row>
    <row r="54" spans="1:11" ht="15.75" thickBot="1" x14ac:dyDescent="0.3">
      <c r="A54" s="1"/>
      <c r="B54" s="11">
        <f t="shared" si="0"/>
        <v>52</v>
      </c>
      <c r="C54" s="13" t="s">
        <v>21</v>
      </c>
      <c r="D54" s="9" t="s">
        <v>76</v>
      </c>
      <c r="E54" s="10" t="s">
        <v>162</v>
      </c>
      <c r="F54" s="9" t="s">
        <v>226</v>
      </c>
      <c r="G54" s="10" t="s">
        <v>282</v>
      </c>
      <c r="H54" s="9" t="s">
        <v>319</v>
      </c>
      <c r="I54" s="10" t="s">
        <v>361</v>
      </c>
      <c r="J54" s="9">
        <v>1</v>
      </c>
      <c r="K54" s="9"/>
    </row>
    <row r="55" spans="1:11" ht="15.75" thickBot="1" x14ac:dyDescent="0.3">
      <c r="A55" s="1"/>
      <c r="B55" s="11">
        <f>ROW(B55) - ROW($B$2)</f>
        <v>53</v>
      </c>
      <c r="C55" s="12" t="s">
        <v>21</v>
      </c>
      <c r="D55" s="7" t="s">
        <v>77</v>
      </c>
      <c r="E55" s="8" t="s">
        <v>163</v>
      </c>
      <c r="F55" s="7" t="s">
        <v>226</v>
      </c>
      <c r="G55" s="8" t="s">
        <v>283</v>
      </c>
      <c r="H55" s="7" t="s">
        <v>319</v>
      </c>
      <c r="I55" s="8" t="s">
        <v>362</v>
      </c>
      <c r="J55" s="7">
        <v>1</v>
      </c>
      <c r="K55" s="7"/>
    </row>
    <row r="56" spans="1:11" ht="15.75" thickBot="1" x14ac:dyDescent="0.3">
      <c r="A56" s="1"/>
      <c r="B56" s="11">
        <f t="shared" si="0"/>
        <v>54</v>
      </c>
      <c r="C56" s="13" t="s">
        <v>21</v>
      </c>
      <c r="D56" s="9" t="s">
        <v>78</v>
      </c>
      <c r="E56" s="10" t="s">
        <v>164</v>
      </c>
      <c r="F56" s="9" t="s">
        <v>226</v>
      </c>
      <c r="G56" s="10" t="s">
        <v>284</v>
      </c>
      <c r="H56" s="9" t="s">
        <v>319</v>
      </c>
      <c r="I56" s="10" t="s">
        <v>363</v>
      </c>
      <c r="J56" s="9">
        <v>1</v>
      </c>
      <c r="K56" s="9"/>
    </row>
    <row r="57" spans="1:11" ht="15.75" thickBot="1" x14ac:dyDescent="0.3">
      <c r="A57" s="1"/>
      <c r="B57" s="11">
        <f>ROW(B57) - ROW($B$2)</f>
        <v>55</v>
      </c>
      <c r="C57" s="12" t="s">
        <v>21</v>
      </c>
      <c r="D57" s="7" t="s">
        <v>79</v>
      </c>
      <c r="E57" s="8" t="s">
        <v>165</v>
      </c>
      <c r="F57" s="7" t="s">
        <v>226</v>
      </c>
      <c r="G57" s="8" t="s">
        <v>285</v>
      </c>
      <c r="H57" s="7" t="s">
        <v>319</v>
      </c>
      <c r="I57" s="8" t="s">
        <v>364</v>
      </c>
      <c r="J57" s="7">
        <v>5</v>
      </c>
      <c r="K57" s="7"/>
    </row>
    <row r="58" spans="1:11" ht="15.75" thickBot="1" x14ac:dyDescent="0.3">
      <c r="A58" s="1"/>
      <c r="B58" s="11">
        <f t="shared" si="0"/>
        <v>56</v>
      </c>
      <c r="C58" s="13" t="s">
        <v>21</v>
      </c>
      <c r="D58" s="9" t="s">
        <v>80</v>
      </c>
      <c r="E58" s="10" t="s">
        <v>166</v>
      </c>
      <c r="F58" s="9" t="s">
        <v>227</v>
      </c>
      <c r="G58" s="10" t="s">
        <v>286</v>
      </c>
      <c r="H58" s="9" t="s">
        <v>319</v>
      </c>
      <c r="I58" s="10" t="s">
        <v>365</v>
      </c>
      <c r="J58" s="9">
        <v>1</v>
      </c>
      <c r="K58" s="9"/>
    </row>
    <row r="59" spans="1:11" ht="15.75" thickBot="1" x14ac:dyDescent="0.3">
      <c r="A59" s="1"/>
      <c r="B59" s="11">
        <f>ROW(B59) - ROW($B$2)</f>
        <v>57</v>
      </c>
      <c r="C59" s="12" t="s">
        <v>20</v>
      </c>
      <c r="D59" s="7" t="s">
        <v>81</v>
      </c>
      <c r="E59" s="8" t="s">
        <v>167</v>
      </c>
      <c r="F59" s="7" t="s">
        <v>226</v>
      </c>
      <c r="G59" s="8" t="s">
        <v>287</v>
      </c>
      <c r="H59" s="7" t="s">
        <v>319</v>
      </c>
      <c r="I59" s="8" t="s">
        <v>366</v>
      </c>
      <c r="J59" s="7">
        <v>1</v>
      </c>
      <c r="K59" s="7"/>
    </row>
    <row r="60" spans="1:11" ht="15.75" thickBot="1" x14ac:dyDescent="0.3">
      <c r="A60" s="1"/>
      <c r="B60" s="11">
        <f t="shared" si="0"/>
        <v>58</v>
      </c>
      <c r="C60" s="13" t="s">
        <v>21</v>
      </c>
      <c r="D60" s="9" t="s">
        <v>82</v>
      </c>
      <c r="E60" s="10" t="s">
        <v>168</v>
      </c>
      <c r="F60" s="9" t="s">
        <v>226</v>
      </c>
      <c r="G60" s="10" t="s">
        <v>288</v>
      </c>
      <c r="H60" s="9" t="s">
        <v>319</v>
      </c>
      <c r="I60" s="10" t="s">
        <v>367</v>
      </c>
      <c r="J60" s="9">
        <v>1</v>
      </c>
      <c r="K60" s="9"/>
    </row>
    <row r="61" spans="1:11" ht="36.75" thickBot="1" x14ac:dyDescent="0.3">
      <c r="A61" s="1"/>
      <c r="B61" s="11">
        <f>ROW(B61) - ROW($B$2)</f>
        <v>59</v>
      </c>
      <c r="C61" s="12" t="s">
        <v>21</v>
      </c>
      <c r="D61" s="7" t="s">
        <v>83</v>
      </c>
      <c r="E61" s="8" t="s">
        <v>169</v>
      </c>
      <c r="F61" s="7" t="s">
        <v>228</v>
      </c>
      <c r="G61" s="8" t="s">
        <v>289</v>
      </c>
      <c r="H61" s="7" t="s">
        <v>315</v>
      </c>
      <c r="I61" s="8" t="s">
        <v>368</v>
      </c>
      <c r="J61" s="7">
        <v>1</v>
      </c>
      <c r="K61" s="7"/>
    </row>
    <row r="62" spans="1:11" ht="15.75" thickBot="1" x14ac:dyDescent="0.3">
      <c r="A62" s="1"/>
      <c r="B62" s="11">
        <f t="shared" si="0"/>
        <v>60</v>
      </c>
      <c r="C62" s="13" t="s">
        <v>21</v>
      </c>
      <c r="D62" s="9" t="s">
        <v>84</v>
      </c>
      <c r="E62" s="10" t="s">
        <v>170</v>
      </c>
      <c r="F62" s="9" t="s">
        <v>226</v>
      </c>
      <c r="G62" s="10" t="s">
        <v>290</v>
      </c>
      <c r="H62" s="9" t="s">
        <v>319</v>
      </c>
      <c r="I62" s="10" t="s">
        <v>369</v>
      </c>
      <c r="J62" s="9">
        <v>9</v>
      </c>
      <c r="K62" s="9"/>
    </row>
    <row r="63" spans="1:11" ht="15.75" thickBot="1" x14ac:dyDescent="0.3">
      <c r="A63" s="1"/>
      <c r="B63" s="11">
        <f>ROW(B63) - ROW($B$2)</f>
        <v>61</v>
      </c>
      <c r="C63" s="12" t="s">
        <v>21</v>
      </c>
      <c r="D63" s="7" t="s">
        <v>85</v>
      </c>
      <c r="E63" s="8" t="s">
        <v>171</v>
      </c>
      <c r="F63" s="7" t="s">
        <v>229</v>
      </c>
      <c r="G63" s="8" t="s">
        <v>291</v>
      </c>
      <c r="H63" s="7" t="s">
        <v>319</v>
      </c>
      <c r="I63" s="8" t="s">
        <v>370</v>
      </c>
      <c r="J63" s="7">
        <v>1</v>
      </c>
      <c r="K63" s="7"/>
    </row>
    <row r="64" spans="1:11" ht="15.75" thickBot="1" x14ac:dyDescent="0.3">
      <c r="A64" s="1"/>
      <c r="B64" s="11">
        <f t="shared" si="0"/>
        <v>62</v>
      </c>
      <c r="C64" s="13" t="s">
        <v>21</v>
      </c>
      <c r="D64" s="9" t="s">
        <v>86</v>
      </c>
      <c r="E64" s="10" t="s">
        <v>172</v>
      </c>
      <c r="F64" s="9" t="s">
        <v>226</v>
      </c>
      <c r="G64" s="10" t="s">
        <v>292</v>
      </c>
      <c r="H64" s="9" t="s">
        <v>319</v>
      </c>
      <c r="I64" s="10" t="s">
        <v>371</v>
      </c>
      <c r="J64" s="9">
        <v>1</v>
      </c>
      <c r="K64" s="9"/>
    </row>
    <row r="65" spans="1:11" ht="15.75" thickBot="1" x14ac:dyDescent="0.3">
      <c r="A65" s="1"/>
      <c r="B65" s="11">
        <f>ROW(B65) - ROW($B$2)</f>
        <v>63</v>
      </c>
      <c r="C65" s="12" t="s">
        <v>21</v>
      </c>
      <c r="D65" s="7" t="s">
        <v>87</v>
      </c>
      <c r="E65" s="8" t="s">
        <v>173</v>
      </c>
      <c r="F65" s="7" t="s">
        <v>226</v>
      </c>
      <c r="G65" s="8" t="s">
        <v>293</v>
      </c>
      <c r="H65" s="7" t="s">
        <v>319</v>
      </c>
      <c r="I65" s="8" t="s">
        <v>372</v>
      </c>
      <c r="J65" s="7">
        <v>1</v>
      </c>
      <c r="K65" s="7"/>
    </row>
    <row r="66" spans="1:11" ht="15.75" thickBot="1" x14ac:dyDescent="0.3">
      <c r="A66" s="1"/>
      <c r="B66" s="11">
        <f t="shared" si="0"/>
        <v>64</v>
      </c>
      <c r="C66" s="13" t="s">
        <v>20</v>
      </c>
      <c r="D66" s="9" t="s">
        <v>88</v>
      </c>
      <c r="E66" s="10" t="s">
        <v>174</v>
      </c>
      <c r="F66" s="9" t="s">
        <v>229</v>
      </c>
      <c r="G66" s="10" t="s">
        <v>294</v>
      </c>
      <c r="H66" s="9" t="s">
        <v>319</v>
      </c>
      <c r="I66" s="10" t="s">
        <v>373</v>
      </c>
      <c r="J66" s="9">
        <v>1</v>
      </c>
      <c r="K66" s="9"/>
    </row>
    <row r="67" spans="1:11" ht="15.75" thickBot="1" x14ac:dyDescent="0.3">
      <c r="A67" s="1"/>
      <c r="B67" s="11">
        <f>ROW(B67) - ROW($B$2)</f>
        <v>65</v>
      </c>
      <c r="C67" s="12" t="s">
        <v>21</v>
      </c>
      <c r="D67" s="7" t="s">
        <v>89</v>
      </c>
      <c r="E67" s="8" t="s">
        <v>175</v>
      </c>
      <c r="F67" s="7" t="s">
        <v>226</v>
      </c>
      <c r="G67" s="8" t="s">
        <v>295</v>
      </c>
      <c r="H67" s="7" t="s">
        <v>319</v>
      </c>
      <c r="I67" s="8" t="s">
        <v>374</v>
      </c>
      <c r="J67" s="7">
        <v>1</v>
      </c>
      <c r="K67" s="7"/>
    </row>
    <row r="68" spans="1:11" ht="15.75" thickBot="1" x14ac:dyDescent="0.3">
      <c r="A68" s="1"/>
      <c r="B68" s="11">
        <f t="shared" si="0"/>
        <v>66</v>
      </c>
      <c r="C68" s="13" t="s">
        <v>21</v>
      </c>
      <c r="D68" s="9" t="s">
        <v>90</v>
      </c>
      <c r="E68" s="10" t="s">
        <v>176</v>
      </c>
      <c r="F68" s="9" t="s">
        <v>226</v>
      </c>
      <c r="G68" s="10" t="s">
        <v>296</v>
      </c>
      <c r="H68" s="9" t="s">
        <v>319</v>
      </c>
      <c r="I68" s="10" t="s">
        <v>369</v>
      </c>
      <c r="J68" s="9">
        <v>5</v>
      </c>
      <c r="K68" s="9"/>
    </row>
    <row r="69" spans="1:11" ht="15.75" thickBot="1" x14ac:dyDescent="0.3">
      <c r="A69" s="1"/>
      <c r="B69" s="11">
        <f>ROW(B69) - ROW($B$2)</f>
        <v>67</v>
      </c>
      <c r="C69" s="13" t="s">
        <v>21</v>
      </c>
      <c r="D69" s="7" t="s">
        <v>91</v>
      </c>
      <c r="E69" s="8" t="s">
        <v>177</v>
      </c>
      <c r="F69" s="7" t="s">
        <v>226</v>
      </c>
      <c r="G69" s="8" t="s">
        <v>297</v>
      </c>
      <c r="H69" s="7" t="s">
        <v>319</v>
      </c>
      <c r="I69" s="8" t="s">
        <v>375</v>
      </c>
      <c r="J69" s="7">
        <v>1</v>
      </c>
      <c r="K69" s="7"/>
    </row>
    <row r="70" spans="1:11" ht="15.75" thickBot="1" x14ac:dyDescent="0.3">
      <c r="A70" s="1"/>
      <c r="B70" s="11">
        <f t="shared" si="0"/>
        <v>68</v>
      </c>
      <c r="C70" s="13" t="s">
        <v>21</v>
      </c>
      <c r="D70" s="9" t="s">
        <v>92</v>
      </c>
      <c r="E70" s="10" t="s">
        <v>178</v>
      </c>
      <c r="F70" s="9" t="s">
        <v>226</v>
      </c>
      <c r="G70" s="10" t="s">
        <v>298</v>
      </c>
      <c r="H70" s="9" t="s">
        <v>319</v>
      </c>
      <c r="I70" s="10" t="s">
        <v>376</v>
      </c>
      <c r="J70" s="9">
        <v>1</v>
      </c>
      <c r="K70" s="9"/>
    </row>
    <row r="71" spans="1:11" ht="15.75" thickBot="1" x14ac:dyDescent="0.3">
      <c r="A71" s="1"/>
      <c r="B71" s="11">
        <f>ROW(B71) - ROW($B$2)</f>
        <v>69</v>
      </c>
      <c r="C71" s="12" t="s">
        <v>20</v>
      </c>
      <c r="D71" s="7" t="s">
        <v>93</v>
      </c>
      <c r="E71" s="8" t="s">
        <v>179</v>
      </c>
      <c r="F71" s="7" t="s">
        <v>226</v>
      </c>
      <c r="G71" s="8" t="s">
        <v>299</v>
      </c>
      <c r="H71" s="7" t="s">
        <v>319</v>
      </c>
      <c r="I71" s="8" t="s">
        <v>377</v>
      </c>
      <c r="J71" s="7">
        <v>1</v>
      </c>
      <c r="K71" s="7"/>
    </row>
    <row r="72" spans="1:11" ht="48.75" thickBot="1" x14ac:dyDescent="0.3">
      <c r="A72" s="1"/>
      <c r="B72" s="11">
        <f t="shared" si="0"/>
        <v>70</v>
      </c>
      <c r="C72" s="13" t="s">
        <v>20</v>
      </c>
      <c r="D72" s="9" t="s">
        <v>94</v>
      </c>
      <c r="E72" s="10" t="s">
        <v>180</v>
      </c>
      <c r="F72" s="9" t="s">
        <v>226</v>
      </c>
      <c r="G72" s="10" t="s">
        <v>300</v>
      </c>
      <c r="H72" s="9" t="s">
        <v>319</v>
      </c>
      <c r="I72" s="10" t="s">
        <v>378</v>
      </c>
      <c r="J72" s="9">
        <v>33</v>
      </c>
      <c r="K72" s="9"/>
    </row>
    <row r="73" spans="1:11" ht="15.75" thickBot="1" x14ac:dyDescent="0.3">
      <c r="A73" s="1"/>
      <c r="B73" s="11">
        <f>ROW(B73) - ROW($B$2)</f>
        <v>71</v>
      </c>
      <c r="C73" s="12" t="s">
        <v>21</v>
      </c>
      <c r="D73" s="7" t="s">
        <v>95</v>
      </c>
      <c r="E73" s="8" t="s">
        <v>181</v>
      </c>
      <c r="F73" s="7" t="s">
        <v>226</v>
      </c>
      <c r="G73" s="8" t="s">
        <v>301</v>
      </c>
      <c r="H73" s="7" t="s">
        <v>319</v>
      </c>
      <c r="I73" s="8" t="s">
        <v>379</v>
      </c>
      <c r="J73" s="7">
        <v>5</v>
      </c>
      <c r="K73" s="7"/>
    </row>
    <row r="74" spans="1:11" ht="15.75" thickBot="1" x14ac:dyDescent="0.3">
      <c r="A74" s="1"/>
      <c r="B74" s="11">
        <f t="shared" si="0"/>
        <v>72</v>
      </c>
      <c r="C74" s="13" t="s">
        <v>21</v>
      </c>
      <c r="D74" s="9" t="s">
        <v>96</v>
      </c>
      <c r="E74" s="10" t="s">
        <v>182</v>
      </c>
      <c r="F74" s="9" t="s">
        <v>227</v>
      </c>
      <c r="G74" s="10" t="s">
        <v>302</v>
      </c>
      <c r="H74" s="9" t="s">
        <v>319</v>
      </c>
      <c r="I74" s="10" t="s">
        <v>380</v>
      </c>
      <c r="J74" s="9">
        <v>2</v>
      </c>
      <c r="K74" s="9"/>
    </row>
    <row r="75" spans="1:11" ht="15.75" thickBot="1" x14ac:dyDescent="0.3">
      <c r="A75" s="1"/>
      <c r="B75" s="11">
        <f>ROW(B75) - ROW($B$2)</f>
        <v>73</v>
      </c>
      <c r="C75" s="12" t="s">
        <v>20</v>
      </c>
      <c r="D75" s="7" t="s">
        <v>97</v>
      </c>
      <c r="E75" s="8" t="s">
        <v>183</v>
      </c>
      <c r="F75" s="7" t="s">
        <v>226</v>
      </c>
      <c r="G75" s="8" t="s">
        <v>303</v>
      </c>
      <c r="H75" s="7" t="s">
        <v>319</v>
      </c>
      <c r="I75" s="8" t="s">
        <v>381</v>
      </c>
      <c r="J75" s="7">
        <v>4</v>
      </c>
      <c r="K75" s="7"/>
    </row>
    <row r="76" spans="1:11" ht="15.75" thickBot="1" x14ac:dyDescent="0.3">
      <c r="A76" s="1"/>
      <c r="B76" s="11">
        <f t="shared" si="0"/>
        <v>74</v>
      </c>
      <c r="C76" s="13" t="s">
        <v>22</v>
      </c>
      <c r="D76" s="9" t="s">
        <v>98</v>
      </c>
      <c r="E76" s="10" t="s">
        <v>184</v>
      </c>
      <c r="F76" s="7" t="s">
        <v>386</v>
      </c>
      <c r="G76" s="10" t="s">
        <v>230</v>
      </c>
      <c r="H76" s="9" t="s">
        <v>335</v>
      </c>
      <c r="I76" s="10" t="s">
        <v>385</v>
      </c>
      <c r="J76" s="9">
        <v>2</v>
      </c>
      <c r="K76" s="9"/>
    </row>
    <row r="77" spans="1:11" ht="36.75" thickBot="1" x14ac:dyDescent="0.3">
      <c r="A77" s="1"/>
      <c r="B77" s="11">
        <f>ROW(B77) - ROW($B$2)</f>
        <v>75</v>
      </c>
      <c r="C77" s="12" t="s">
        <v>22</v>
      </c>
      <c r="D77" s="7" t="s">
        <v>99</v>
      </c>
      <c r="E77" s="8" t="s">
        <v>185</v>
      </c>
      <c r="F77" s="7" t="s">
        <v>386</v>
      </c>
      <c r="G77" s="8" t="s">
        <v>231</v>
      </c>
      <c r="H77" s="7" t="s">
        <v>342</v>
      </c>
      <c r="I77" s="10" t="s">
        <v>385</v>
      </c>
      <c r="J77" s="7">
        <v>1</v>
      </c>
      <c r="K77" s="7"/>
    </row>
    <row r="78" spans="1:11" ht="24.75" thickBot="1" x14ac:dyDescent="0.3">
      <c r="A78" s="1"/>
      <c r="B78" s="11">
        <f t="shared" si="0"/>
        <v>76</v>
      </c>
      <c r="C78" s="13" t="s">
        <v>23</v>
      </c>
      <c r="D78" s="9" t="s">
        <v>100</v>
      </c>
      <c r="E78" s="10" t="s">
        <v>186</v>
      </c>
      <c r="F78" s="9" t="s">
        <v>232</v>
      </c>
      <c r="G78" s="10" t="s">
        <v>304</v>
      </c>
      <c r="H78" s="9" t="s">
        <v>341</v>
      </c>
      <c r="I78" s="10" t="s">
        <v>385</v>
      </c>
      <c r="J78" s="9">
        <v>1</v>
      </c>
      <c r="K78" s="9"/>
    </row>
    <row r="79" spans="1:11" ht="24.75" thickBot="1" x14ac:dyDescent="0.3">
      <c r="A79" s="1"/>
      <c r="B79" s="11">
        <f>ROW(B79) - ROW($B$2)</f>
        <v>77</v>
      </c>
      <c r="C79" s="12" t="s">
        <v>23</v>
      </c>
      <c r="D79" s="7" t="s">
        <v>101</v>
      </c>
      <c r="E79" s="8" t="s">
        <v>187</v>
      </c>
      <c r="F79" s="7" t="s">
        <v>233</v>
      </c>
      <c r="G79" s="8" t="s">
        <v>305</v>
      </c>
      <c r="H79" s="7" t="s">
        <v>341</v>
      </c>
      <c r="I79" s="10" t="s">
        <v>385</v>
      </c>
      <c r="J79" s="7">
        <v>1</v>
      </c>
      <c r="K79" s="7"/>
    </row>
    <row r="80" spans="1:11" ht="15.75" thickBot="1" x14ac:dyDescent="0.3">
      <c r="A80" s="1"/>
      <c r="B80" s="11">
        <f t="shared" si="0"/>
        <v>78</v>
      </c>
      <c r="C80" s="13" t="s">
        <v>23</v>
      </c>
      <c r="D80" s="9" t="s">
        <v>102</v>
      </c>
      <c r="E80" s="10" t="s">
        <v>188</v>
      </c>
      <c r="F80" s="9" t="s">
        <v>234</v>
      </c>
      <c r="G80" s="10" t="s">
        <v>306</v>
      </c>
      <c r="H80" s="9" t="s">
        <v>323</v>
      </c>
      <c r="I80" s="10" t="s">
        <v>385</v>
      </c>
      <c r="J80" s="9">
        <v>1</v>
      </c>
      <c r="K80" s="9"/>
    </row>
    <row r="81" spans="1:11" ht="15.75" thickBot="1" x14ac:dyDescent="0.3">
      <c r="A81" s="1"/>
      <c r="B81" s="11">
        <f>ROW(B81) - ROW($B$2)</f>
        <v>79</v>
      </c>
      <c r="C81" s="12" t="s">
        <v>23</v>
      </c>
      <c r="D81" s="7" t="s">
        <v>103</v>
      </c>
      <c r="E81" s="8" t="s">
        <v>189</v>
      </c>
      <c r="F81" s="7" t="s">
        <v>235</v>
      </c>
      <c r="G81" s="8" t="s">
        <v>307</v>
      </c>
      <c r="H81" s="7" t="s">
        <v>341</v>
      </c>
      <c r="I81" s="10" t="s">
        <v>385</v>
      </c>
      <c r="J81" s="7">
        <v>1</v>
      </c>
      <c r="K81" s="7"/>
    </row>
    <row r="82" spans="1:11" ht="15.75" thickBot="1" x14ac:dyDescent="0.3">
      <c r="A82" s="1"/>
      <c r="B82" s="11">
        <f t="shared" si="0"/>
        <v>80</v>
      </c>
      <c r="C82" s="13" t="s">
        <v>23</v>
      </c>
      <c r="D82" s="9" t="s">
        <v>104</v>
      </c>
      <c r="E82" s="10" t="s">
        <v>190</v>
      </c>
      <c r="F82" s="9" t="s">
        <v>236</v>
      </c>
      <c r="G82" s="10" t="s">
        <v>308</v>
      </c>
      <c r="H82" s="9" t="s">
        <v>321</v>
      </c>
      <c r="I82" s="10" t="s">
        <v>385</v>
      </c>
      <c r="J82" s="9">
        <v>1</v>
      </c>
      <c r="K82" s="9"/>
    </row>
    <row r="83" spans="1:11" ht="15.75" thickBot="1" x14ac:dyDescent="0.3">
      <c r="A83" s="1"/>
      <c r="B83" s="11">
        <f>ROW(B83) - ROW($B$2)</f>
        <v>81</v>
      </c>
      <c r="C83" s="12" t="s">
        <v>23</v>
      </c>
      <c r="D83" s="7" t="s">
        <v>105</v>
      </c>
      <c r="E83" s="8" t="s">
        <v>191</v>
      </c>
      <c r="F83" s="7" t="s">
        <v>237</v>
      </c>
      <c r="G83" s="8" t="s">
        <v>309</v>
      </c>
      <c r="H83" s="7" t="s">
        <v>341</v>
      </c>
      <c r="I83" s="10" t="s">
        <v>385</v>
      </c>
      <c r="J83" s="7">
        <v>1</v>
      </c>
      <c r="K83" s="7"/>
    </row>
    <row r="84" spans="1:11" ht="15.75" thickBot="1" x14ac:dyDescent="0.3">
      <c r="A84" s="1"/>
      <c r="B84" s="11">
        <f t="shared" si="0"/>
        <v>82</v>
      </c>
      <c r="C84" s="13" t="s">
        <v>23</v>
      </c>
      <c r="D84" s="9" t="s">
        <v>106</v>
      </c>
      <c r="E84" s="10" t="s">
        <v>191</v>
      </c>
      <c r="F84" s="9" t="s">
        <v>237</v>
      </c>
      <c r="G84" s="10" t="s">
        <v>310</v>
      </c>
      <c r="H84" s="9" t="s">
        <v>341</v>
      </c>
      <c r="I84" s="10" t="s">
        <v>385</v>
      </c>
      <c r="J84" s="9">
        <v>1</v>
      </c>
      <c r="K84" s="9"/>
    </row>
    <row r="85" spans="1:11" ht="15.75" thickBot="1" x14ac:dyDescent="0.3">
      <c r="A85" s="1"/>
      <c r="B85" s="11">
        <f>ROW(B85) - ROW($B$2)</f>
        <v>83</v>
      </c>
      <c r="C85" s="12" t="s">
        <v>23</v>
      </c>
      <c r="D85" s="7" t="s">
        <v>107</v>
      </c>
      <c r="E85" s="8" t="s">
        <v>192</v>
      </c>
      <c r="F85" s="7" t="s">
        <v>238</v>
      </c>
      <c r="G85" s="8" t="s">
        <v>311</v>
      </c>
      <c r="H85" s="7" t="s">
        <v>321</v>
      </c>
      <c r="I85" s="10" t="s">
        <v>385</v>
      </c>
      <c r="J85" s="7">
        <v>1</v>
      </c>
      <c r="K85" s="7"/>
    </row>
    <row r="86" spans="1:11" ht="15.75" thickBot="1" x14ac:dyDescent="0.3">
      <c r="A86" s="1"/>
      <c r="B86" s="11">
        <f t="shared" si="0"/>
        <v>84</v>
      </c>
      <c r="C86" s="13" t="s">
        <v>23</v>
      </c>
      <c r="D86" s="9" t="s">
        <v>108</v>
      </c>
      <c r="E86" s="10" t="s">
        <v>193</v>
      </c>
      <c r="F86" s="9" t="s">
        <v>239</v>
      </c>
      <c r="G86" s="10" t="s">
        <v>312</v>
      </c>
      <c r="H86" s="9" t="s">
        <v>341</v>
      </c>
      <c r="I86" s="10" t="s">
        <v>385</v>
      </c>
      <c r="J86" s="9">
        <v>1</v>
      </c>
      <c r="K86" s="9"/>
    </row>
    <row r="87" spans="1:11" ht="24.75" thickBot="1" x14ac:dyDescent="0.3">
      <c r="B87" s="11">
        <f t="shared" ref="B87:B88" si="1">ROW(B87) - ROW($B$2)</f>
        <v>85</v>
      </c>
      <c r="C87" s="13" t="s">
        <v>387</v>
      </c>
      <c r="D87" s="9" t="s">
        <v>388</v>
      </c>
      <c r="E87" s="10" t="s">
        <v>394</v>
      </c>
      <c r="F87" s="9" t="s">
        <v>386</v>
      </c>
      <c r="G87" s="10" t="s">
        <v>393</v>
      </c>
      <c r="H87" s="9" t="s">
        <v>329</v>
      </c>
      <c r="I87" s="10" t="s">
        <v>385</v>
      </c>
      <c r="J87" s="9">
        <v>1</v>
      </c>
      <c r="K87" s="9"/>
    </row>
    <row r="88" spans="1:11" ht="24.75" thickBot="1" x14ac:dyDescent="0.3">
      <c r="B88" s="11">
        <f t="shared" si="1"/>
        <v>86</v>
      </c>
      <c r="C88" s="13" t="s">
        <v>387</v>
      </c>
      <c r="D88" s="7" t="s">
        <v>395</v>
      </c>
      <c r="E88" s="8" t="s">
        <v>145</v>
      </c>
      <c r="F88" s="9" t="s">
        <v>386</v>
      </c>
      <c r="G88" s="8" t="s">
        <v>271</v>
      </c>
      <c r="H88" s="7" t="s">
        <v>333</v>
      </c>
      <c r="I88" s="8" t="s">
        <v>385</v>
      </c>
      <c r="J88" s="7">
        <v>6</v>
      </c>
      <c r="K88" s="7"/>
    </row>
    <row r="89" spans="1:11" ht="24.75" thickBot="1" x14ac:dyDescent="0.3">
      <c r="B89" s="11">
        <f>ROW(B89) - ROW($B$2)</f>
        <v>87</v>
      </c>
      <c r="C89" s="13" t="s">
        <v>387</v>
      </c>
      <c r="D89" s="7" t="s">
        <v>389</v>
      </c>
      <c r="E89" s="8" t="s">
        <v>390</v>
      </c>
      <c r="F89" s="9" t="s">
        <v>386</v>
      </c>
      <c r="G89" s="8" t="s">
        <v>391</v>
      </c>
      <c r="H89" s="7" t="s">
        <v>385</v>
      </c>
      <c r="I89" s="8" t="s">
        <v>385</v>
      </c>
      <c r="J89" s="7">
        <v>1</v>
      </c>
      <c r="K89" s="14" t="s">
        <v>392</v>
      </c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2025-01-23T06:47:35Z</dcterms:modified>
</cp:coreProperties>
</file>