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TEPPER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76" i="1" l="1"/>
  <c r="Q78" i="1"/>
  <c r="Q93" i="1" l="1"/>
  <c r="M93" i="1"/>
  <c r="B93" i="1"/>
  <c r="Q92" i="1"/>
  <c r="M92" i="1"/>
  <c r="B92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M78" i="1"/>
  <c r="B78" i="1"/>
  <c r="M77" i="1"/>
  <c r="B77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Q94" i="1" s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M10" i="1"/>
  <c r="B10" i="1"/>
  <c r="Q95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<sst xmlns="http://schemas.openxmlformats.org/spreadsheetml/2006/main" count="865" uniqueCount="500">
  <si>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</si>
  <si>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</si>
  <si>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</si>
  <si>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</si>
  <si>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</si>
  <si>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</si>
  <si>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</si>
  <si>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Electrolytic Capacitor</t>
  </si>
  <si>
    <t>Diode</t>
  </si>
  <si>
    <t>Fuse</t>
  </si>
  <si>
    <t>Ferrite Bead</t>
  </si>
  <si>
    <t>USB Connector</t>
  </si>
  <si>
    <t>Male Header</t>
  </si>
  <si>
    <t>Terminal Block</t>
  </si>
  <si>
    <t>VGA connector</t>
  </si>
  <si>
    <t>Terminal Blocks</t>
  </si>
  <si>
    <t>RJ45 Connector</t>
  </si>
  <si>
    <t>Inductor</t>
  </si>
  <si>
    <t>LED</t>
  </si>
  <si>
    <t>MOSFET</t>
  </si>
  <si>
    <t>Resistor</t>
  </si>
  <si>
    <t>Shunt Resistor</t>
  </si>
  <si>
    <t>Resistors</t>
  </si>
  <si>
    <t>Switch</t>
  </si>
  <si>
    <t>Microcontrollers</t>
  </si>
  <si>
    <t>IC</t>
  </si>
  <si>
    <t>Optocoupler</t>
  </si>
  <si>
    <t>Crystal</t>
  </si>
  <si>
    <t>Designator</t>
  </si>
  <si>
    <t>C1, C10, C20, C21, C38, C45, C52, C59</t>
  </si>
  <si>
    <t>C2</t>
  </si>
  <si>
    <t>C4, C5</t>
  </si>
  <si>
    <t>C6, C7</t>
  </si>
  <si>
    <t>C8, C73</t>
  </si>
  <si>
    <t>C9, C17, C30, C32, C33, C40, C47, C54, C75, C76, C78, C79, C82, C83, C84, C86</t>
  </si>
  <si>
    <t>C11</t>
  </si>
  <si>
    <t>C12</t>
  </si>
  <si>
    <t>C13, C18</t>
  </si>
  <si>
    <t>C14</t>
  </si>
  <si>
    <t>C15, C16</t>
  </si>
  <si>
    <t>C19, C36, C42</t>
  </si>
  <si>
    <t>C22</t>
  </si>
  <si>
    <t>C23, C24, C25, C26, C27, C28</t>
  </si>
  <si>
    <t>C29, C31, C34, C37, C41, C44, C48, C51, C55, C58, C74, C77, C80, C85</t>
  </si>
  <si>
    <t>C35, C49, C56, C66</t>
  </si>
  <si>
    <t>C39, C46, C53, C60</t>
  </si>
  <si>
    <t>C43, C50, C57, C72</t>
  </si>
  <si>
    <t>C61, C62, C63, C64, C67, C68, C69, C70</t>
  </si>
  <si>
    <t>C65, C71</t>
  </si>
  <si>
    <t>C81</t>
  </si>
  <si>
    <t>C87, C88</t>
  </si>
  <si>
    <t>D1, D10</t>
  </si>
  <si>
    <t>D2, D3</t>
  </si>
  <si>
    <t>D4</t>
  </si>
  <si>
    <t>D5</t>
  </si>
  <si>
    <t>D6, D7, D8, D9</t>
  </si>
  <si>
    <t>F1, F2, F3, F4</t>
  </si>
  <si>
    <t>FB1, FB2</t>
  </si>
  <si>
    <t>J1</t>
  </si>
  <si>
    <t>J2, J4</t>
  </si>
  <si>
    <t>J3</t>
  </si>
  <si>
    <t>J5, J20</t>
  </si>
  <si>
    <t>J8, J11, J16, J22, J23, J24, J25, J26</t>
  </si>
  <si>
    <t>J9, J10, J15, J17</t>
  </si>
  <si>
    <t>J12</t>
  </si>
  <si>
    <t>J13, J14</t>
  </si>
  <si>
    <t>J18, J19</t>
  </si>
  <si>
    <t>J27</t>
  </si>
  <si>
    <t>L1</t>
  </si>
  <si>
    <t>L2</t>
  </si>
  <si>
    <t>LED1, LED2, LED3, LED7</t>
  </si>
  <si>
    <t>LED4, LED5, LED8, LED9</t>
  </si>
  <si>
    <t>LED6</t>
  </si>
  <si>
    <t>Q1, Q2, Q3, Q4, Q5, Q6, Q7, Q8</t>
  </si>
  <si>
    <t>R1, R9, R16, R18, R19, R35, R36, R37, R38, R39, R40, R41, R42, R43, R44, R45, R49, R56, R63, R70, R91, R96, R98, R99, R100, R101, R102, R103, R104, R105, R106, R113, R114, R115, R122, R123, R124, R131, R132, R133, R140, R141, R142, R149, R150, R151, R158, R159, R160, R?</t>
  </si>
  <si>
    <t>R2, R3</t>
  </si>
  <si>
    <t>R4</t>
  </si>
  <si>
    <t>R5, R6</t>
  </si>
  <si>
    <t>R7, R8</t>
  </si>
  <si>
    <t>R10</t>
  </si>
  <si>
    <t>R11</t>
  </si>
  <si>
    <t>R12</t>
  </si>
  <si>
    <t>R13</t>
  </si>
  <si>
    <t>R14, R15</t>
  </si>
  <si>
    <t>R17, R167, R168, R169, R170</t>
  </si>
  <si>
    <t>R20</t>
  </si>
  <si>
    <t>R21, R23</t>
  </si>
  <si>
    <t>R22</t>
  </si>
  <si>
    <t>R24, R25, R26, R27, R28, R32, R94</t>
  </si>
  <si>
    <t>R29, R30, R31, R33</t>
  </si>
  <si>
    <t>R34</t>
  </si>
  <si>
    <t>R47, R50, R51, R53, R54, R57, R58, R60, R61, R64, R65, R67, R68, R71, R72, R74</t>
  </si>
  <si>
    <t>R48, R52, R55, R59, R62, R66, R69, R73</t>
  </si>
  <si>
    <t>R75, R76, R77, R78, R83, R84, R85, R86</t>
  </si>
  <si>
    <t>R79, R87</t>
  </si>
  <si>
    <t>R80, R82, R89, R107, R109, R111, R116, R118, R120, R125, R127, R129, R134, R136, R138, R143, R145, R147, R152, R154, R156, R161, R163, R165</t>
  </si>
  <si>
    <t>R81, R88, R90, R108, R110, R112, R117, R119, R121, R126, R128, R130, R135, R137, R139, R144, R146, R148, R153, R155, R157, R162, R164, R166</t>
  </si>
  <si>
    <t>R92</t>
  </si>
  <si>
    <t>R93</t>
  </si>
  <si>
    <t>R95, R97</t>
  </si>
  <si>
    <t>SW1, SW2</t>
  </si>
  <si>
    <t>U1</t>
  </si>
  <si>
    <t>U2</t>
  </si>
  <si>
    <t>U3</t>
  </si>
  <si>
    <t>U4, U15, U16, U17, U18, U19, U20, U21, U22, U23, U24, U25</t>
  </si>
  <si>
    <t>U5</t>
  </si>
  <si>
    <t>U6</t>
  </si>
  <si>
    <t>U7</t>
  </si>
  <si>
    <t>U8, U9</t>
  </si>
  <si>
    <t>U10, U11, U12, U13</t>
  </si>
  <si>
    <t>U14</t>
  </si>
  <si>
    <t>U26, U27, U28, U29, U30, U31, U32, U33, U34, U35, U36, U37, U38, U39, U40, U41, U42, U43, U44, U45, U46, U47, U48, U49</t>
  </si>
  <si>
    <t>X1</t>
  </si>
  <si>
    <t>X2</t>
  </si>
  <si>
    <t>X3</t>
  </si>
  <si>
    <t>Description</t>
  </si>
  <si>
    <t>CAP CER 0.1UF 16V X7R 0402</t>
  </si>
  <si>
    <t>CAP CER 4700PF 50V C0G/NPO 0603</t>
  </si>
  <si>
    <t>CAP CER 6.8PF 50V C0G/NPO 0402</t>
  </si>
  <si>
    <t>CAP CER 10PF 50V C0G/NP0 0402</t>
  </si>
  <si>
    <t>CAP CER 4.7UF 10V X5R 0402</t>
  </si>
  <si>
    <t>CAP CER 0.1UF 50V X7R 0402</t>
  </si>
  <si>
    <t>CAP CER 0.1UF 50V X5R 0402</t>
  </si>
  <si>
    <t>CAP CER 47PF 50V C0G/NP0 0402</t>
  </si>
  <si>
    <t>CAP CER 10UF 25V X5R 0603</t>
  </si>
  <si>
    <t>100uF 10V 55mA@120Hz ±20% SMD,D6.3xL5.4mm Aluminum Electrolytic Capacitors - SMD ROHS</t>
  </si>
  <si>
    <t>22uF 200V 320mA@100kHz ±20% SMD,D8xL16.5mm Aluminum Electrolytic Capacitors - SMD ROHS</t>
  </si>
  <si>
    <t>CAP ALUM 220UF 20% 50V SMD</t>
  </si>
  <si>
    <t>CAP CER 4700PF 50V X7R 0402</t>
  </si>
  <si>
    <t>CAP CER 0.1UF 100V X5R 0402</t>
  </si>
  <si>
    <t>CAP CER 1UF 10V X5R 0402</t>
  </si>
  <si>
    <t>CAP ALUM 100UF 20% 50V SMD</t>
  </si>
  <si>
    <t>CAP CER 1000PF 25V C0G 0402</t>
  </si>
  <si>
    <t>CAP CER 10000PF 50V C0G/NP0 0603</t>
  </si>
  <si>
    <t>CAP CER 0.022UF 16V X7R 0402</t>
  </si>
  <si>
    <t>CAP CER 470PF 50V X7R 0603</t>
  </si>
  <si>
    <t>CAP CER 18PF 50V C0G/NP0 0402</t>
  </si>
  <si>
    <t>TVS DIODE 5V 9.8V SOD923</t>
  </si>
  <si>
    <t>TVS DIODE 28VWM 45.4VC SMB</t>
  </si>
  <si>
    <t>TVS DIODE 5VWM 6.3VC DSN0603-2</t>
  </si>
  <si>
    <t>SMB(DO-214AA) TVS ROHS</t>
  </si>
  <si>
    <t>9V 200mA 100A 500mA 0805 Resettable Fuses ROHS</t>
  </si>
  <si>
    <t>FERRITE BEAD 10 OHM 0402 1LN</t>
  </si>
  <si>
    <t>5A 1 16P Female Type-C SMD USB Connectors ROHS</t>
  </si>
  <si>
    <t>Gold 250V 3A Straight Square Pins 2.5mm 4P 260℃ 6mm -40℃~+105℃ 3mm 2.54mm Plugin Black Brass 1x4P Plugin,P=2.54mm Pin Headers ROHS</t>
  </si>
  <si>
    <t>CONN HEADER VERT 3POS 2.54MM</t>
  </si>
  <si>
    <t>Tin 1x2P Corner pin Three sides 2 1 9.5mm -40℃~+105℃ 20A 300V Black 10~22 Copper Alloy 0.5~4 Plugin,P=9.5mm Barrier Terminal Blocks ROHS</t>
  </si>
  <si>
    <t>9P Female D-Sub Right-Angle 2 3A -50℃~+105℃ Push-Pull D-Sub / VGA connector ROHS</t>
  </si>
  <si>
    <t>Tin 4 1 8.5mm -40℃~+105℃ 20A 300V Black 12~22 Straight pin Copper Alloy 2.5 Plugin,P=8.5mm Barrier Terminal Blocks ROHS</t>
  </si>
  <si>
    <t>1x3P 18A -40℃~+105℃ 250V Green 14~30 Straight pin 5.08mm 2.5 1 3 Plugin,P=5.08mm Screw terminal ROHS</t>
  </si>
  <si>
    <t>TERM BLK 2P SIDE ENT 5.08MM PCB</t>
  </si>
  <si>
    <t>RJ45 RJReceptacle 1 WithLED Plugin Ethernet Connectors/Modular Connectors (RJ45 RJ11) ROHS</t>
  </si>
  <si>
    <t>M4 Plugin PCB Welding Terminal ROHS</t>
  </si>
  <si>
    <t>FERRITE BEAD 600 OHM 0402 1LN</t>
  </si>
  <si>
    <t>2.7A 6.8uH ±20% 50mΩ SMD Power Inductors ROHS</t>
  </si>
  <si>
    <t>RED LED 0603 Light Emitting Diodes</t>
  </si>
  <si>
    <t>yellow 0603 Light Emitting Diodes (LED) ROHS</t>
  </si>
  <si>
    <t>Emerald 0603 Light Emitting Diodes (LED) ROHS</t>
  </si>
  <si>
    <t>MOSFET N-CH 55V 17A DPAK</t>
  </si>
  <si>
    <t>RES 10K OHM 1% 1/16W 0402</t>
  </si>
  <si>
    <t>RES 5.1K OHM 1% 1/16W 0402</t>
  </si>
  <si>
    <t>RES SMD 1M OHM 5% 1/16W 0402</t>
  </si>
  <si>
    <t>RES 0 OHM JUMPER 1/10W 0603</t>
  </si>
  <si>
    <t>RES 158K OHM 0.1% 1/16W 0402</t>
  </si>
  <si>
    <t>RES SMD 30.1KOHM 0.1% 1/16W 0402</t>
  </si>
  <si>
    <t>RES 3.9K OHM 1% 1/16W 0402</t>
  </si>
  <si>
    <t>RES 470 OHM 1% 1/16W 0402</t>
  </si>
  <si>
    <t>RES 33 OHM 1% 1/16W 0402</t>
  </si>
  <si>
    <t>RES 200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</si>
  <si>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</si>
  <si>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</si>
  <si>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</si>
  <si>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</si>
  <si>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</si>
  <si>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</si>
  <si>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100 OHM 1% 1/16W 0402</t>
  </si>
  <si>
    <t>1W 50mΩ Surface Mount Current Sensing Resistors ±50ppm/℃ ±1% 2010 Current Sense Resistors/Shunt Resistors ROHS</t>
  </si>
  <si>
    <t>RES 49.9 OHM 1% 1/10W 0603</t>
  </si>
  <si>
    <t>RESISTOR 0402 JUMPER ZERO OHM</t>
  </si>
  <si>
    <t>RES SMD 57.6 OHM 1% 1/10W 0402</t>
  </si>
  <si>
    <t>RES 0 OHM JUMPER 1/16W 0402</t>
  </si>
  <si>
    <t>RES SMD 12.1KOHM 0.1% 1/16W 0402</t>
  </si>
  <si>
    <t>RES  SMD 330R 100 mW 0603</t>
  </si>
  <si>
    <t>SWITCH TACTILE SPST-NO 0.05A 12V</t>
  </si>
  <si>
    <t>IC MCU 32BIT 512KB FLASH 64LQFP</t>
  </si>
  <si>
    <t>IC REG BUCK ADJ 3A TSOT26</t>
  </si>
  <si>
    <t>70dB@(100Hz) 1.5A Fixed 3.3V~3.3V Positive 6V SOT-223 Linear Voltage Regulators (LDO) ROHS</t>
  </si>
  <si>
    <t>MOSFET 2N-CH 60V 15A 8SOIC</t>
  </si>
  <si>
    <t>IC TRANSCEIVER HALF 1/1 14VSON</t>
  </si>
  <si>
    <t>250Kbps transceiver 2/2 SOP-16 RS232 ICs ROHS</t>
  </si>
  <si>
    <t>IC TRANSCEIVER HALF 1/1 8SON</t>
  </si>
  <si>
    <t>IC XPNDR 1.7MHZ I2C 28SSOP</t>
  </si>
  <si>
    <t>IC MTR DRV BIPOLR 8-52V 38HTSSOP</t>
  </si>
  <si>
    <t>2/3-PORT ETHERCAT SLAVE CTLR</t>
  </si>
  <si>
    <t>Optoisolator Transistor Output 3750Vrms 1 Channel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</si>
  <si>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</si>
  <si>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</si>
  <si>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</si>
  <si>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</si>
  <si>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</si>
  <si>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Cap-0603</t>
  </si>
  <si>
    <t>cap-0402</t>
  </si>
  <si>
    <t>RVT1A101M0605</t>
  </si>
  <si>
    <t>VKMD1652D220MV</t>
  </si>
  <si>
    <t>UCD-220uF-10mmDia</t>
  </si>
  <si>
    <t>SOD-923.</t>
  </si>
  <si>
    <t>SMB_</t>
  </si>
  <si>
    <t>DSN0603-2</t>
  </si>
  <si>
    <t>Fuse-0805</t>
  </si>
  <si>
    <t>IND-0402</t>
  </si>
  <si>
    <t>HDR1X4_</t>
  </si>
  <si>
    <t>HDR1X3_</t>
  </si>
  <si>
    <t>MXHB9500-9.5-02P-BK01-Cu-S-A</t>
  </si>
  <si>
    <t>D-DMR009PF-D002</t>
  </si>
  <si>
    <t>MX8500-8.5-04P-BK01-Cu-S-A</t>
  </si>
  <si>
    <t>WJ500V-5.08-3P</t>
  </si>
  <si>
    <t>HR911105A</t>
  </si>
  <si>
    <t>T44001</t>
  </si>
  <si>
    <t>LED-0603</t>
  </si>
  <si>
    <t>DPAK</t>
  </si>
  <si>
    <t>Res-0402</t>
  </si>
  <si>
    <t>Res-0603</t>
  </si>
  <si>
    <t>Res-0201</t>
  </si>
  <si>
    <t>RES-2010</t>
  </si>
  <si>
    <t>B3U-1000P</t>
  </si>
  <si>
    <t>LQFP-64(10x10)</t>
  </si>
  <si>
    <t>SOT-23-6</t>
  </si>
  <si>
    <t>SOT- 223</t>
  </si>
  <si>
    <t>SOIC-8</t>
  </si>
  <si>
    <t>VSON-14(3x4.5)</t>
  </si>
  <si>
    <t>SOP-16</t>
  </si>
  <si>
    <t>SON-8-EP(3x3)</t>
  </si>
  <si>
    <t>SSOP-28-208mil</t>
  </si>
  <si>
    <t>HTSSOP-38-EP-4.4mm</t>
  </si>
  <si>
    <t>QFN-64-EP(9x9)</t>
  </si>
  <si>
    <t>SOP-4_2.54</t>
  </si>
  <si>
    <t>MC-306</t>
  </si>
  <si>
    <t>SMD3225-4P</t>
  </si>
  <si>
    <t>Manufacturer Part Number</t>
  </si>
  <si>
    <t>CC0402JRX7R7BB104</t>
  </si>
  <si>
    <t>CC0603JRNPO9BN472</t>
  </si>
  <si>
    <t>CC0402CRNPO9BN6R8</t>
  </si>
  <si>
    <t>GRM1555C1H100JA01D</t>
  </si>
  <si>
    <t>CC0402KRX5R6BB475</t>
  </si>
  <si>
    <t>C1005X7R1H104KT000F</t>
  </si>
  <si>
    <t>C1005X5R1H104K050BB</t>
  </si>
  <si>
    <t>GCM1555C1H470FA16D</t>
  </si>
  <si>
    <t>C1608X5R1E106M080AC</t>
  </si>
  <si>
    <t>UCD1H221MNL1GS</t>
  </si>
  <si>
    <t>CC0402KRX7R9BB472</t>
  </si>
  <si>
    <t>GRM155R62A104KE14D</t>
  </si>
  <si>
    <t>CC0402KRX5R6BB105</t>
  </si>
  <si>
    <t>UWT1H101MNL1GS</t>
  </si>
  <si>
    <t>C1005C0G1E102JT000F</t>
  </si>
  <si>
    <t>GRM1885C1H103JA01D</t>
  </si>
  <si>
    <t>CC0402JRX7R7BB223</t>
  </si>
  <si>
    <t>0603B471K500CT</t>
  </si>
  <si>
    <t>GCM1555C1H180GA16D</t>
  </si>
  <si>
    <t>ESD9L5.0ST5G</t>
  </si>
  <si>
    <t>SMBJ28A-13-F</t>
  </si>
  <si>
    <t>PESD5V0H1BSFYL</t>
  </si>
  <si>
    <t>SMBJ26CA</t>
  </si>
  <si>
    <t>SMD0805P020TF</t>
  </si>
  <si>
    <t>BLM15PG100SN1D</t>
  </si>
  <si>
    <t>TYPE-C-31-M-12</t>
  </si>
  <si>
    <t>X6511WV-04H-C60D30</t>
  </si>
  <si>
    <t>BLM15AG601SN1D</t>
  </si>
  <si>
    <t>LVC505040-6R8M-N</t>
  </si>
  <si>
    <t>NCD0603R3</t>
  </si>
  <si>
    <t>NCD0603Y2</t>
  </si>
  <si>
    <t>NCD0603G2</t>
  </si>
  <si>
    <t>IRFR024NTRPBF</t>
  </si>
  <si>
    <t>RC0402FR-0710KL</t>
  </si>
  <si>
    <t>RC0402FR-075K1L</t>
  </si>
  <si>
    <t>AF0402JR-071ML</t>
  </si>
  <si>
    <t>RC0603JR-070RL</t>
  </si>
  <si>
    <t>RT0402BRE07158KL</t>
  </si>
  <si>
    <t>RT0402BRD0730K1L</t>
  </si>
  <si>
    <t>RC0402FR-073K9L</t>
  </si>
  <si>
    <t>RC0402FR-07470RL</t>
  </si>
  <si>
    <t>RC0402FR-0733RL</t>
  </si>
  <si>
    <t>RC0402FR-07200RL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</si>
  <si>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</si>
  <si>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</si>
  <si>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</si>
  <si>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</si>
  <si>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</si>
  <si>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</si>
  <si>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RC0402FR-07100RL</t>
  </si>
  <si>
    <t>RLM20FECR050</t>
  </si>
  <si>
    <t>RC0603FR-0749R9L</t>
  </si>
  <si>
    <t>AC0402FR-070RL</t>
  </si>
  <si>
    <t>ERJ-2RKF57R6X</t>
  </si>
  <si>
    <t>RC0402FR-070RL</t>
  </si>
  <si>
    <t>RT0402BRD0712K1L</t>
  </si>
  <si>
    <t>RC0603JR-07330RL</t>
  </si>
  <si>
    <t>STM32G0B1RET6</t>
  </si>
  <si>
    <t>AP63300WU-7</t>
  </si>
  <si>
    <t>BL8071CLATR33</t>
  </si>
  <si>
    <t>CSD88537ND</t>
  </si>
  <si>
    <t>TCAN1463DMTRQ1</t>
  </si>
  <si>
    <t>MAX3232ESE</t>
  </si>
  <si>
    <t>THVD2450DRBR</t>
  </si>
  <si>
    <t>MCP23017T-E/SS</t>
  </si>
  <si>
    <t>DRV8711DCPR</t>
  </si>
  <si>
    <t>LAN9253-I/R4X</t>
  </si>
  <si>
    <t>IS181GB</t>
  </si>
  <si>
    <t>MC-306 32.7680K-A0:ROHS</t>
  </si>
  <si>
    <t>5TJ480000XYLBC</t>
  </si>
  <si>
    <t>X322525MRB4SI</t>
  </si>
  <si>
    <t>Manufacturer</t>
  </si>
  <si>
    <t>Yageo</t>
  </si>
  <si>
    <t>Murata</t>
  </si>
  <si>
    <t>TDK</t>
  </si>
  <si>
    <t>ROQANG</t>
  </si>
  <si>
    <t>Ymin</t>
  </si>
  <si>
    <t>Nichicon</t>
  </si>
  <si>
    <t>Walsin Technologies</t>
  </si>
  <si>
    <t>ON Semiconductor</t>
  </si>
  <si>
    <t>Diodes</t>
  </si>
  <si>
    <t>Nexperia</t>
  </si>
  <si>
    <t>MSKSEMI</t>
  </si>
  <si>
    <t>RUILON</t>
  </si>
  <si>
    <t>Korean Hroparts Elec</t>
  </si>
  <si>
    <t>XKB</t>
  </si>
  <si>
    <t>MAX</t>
  </si>
  <si>
    <t>Ckmtw</t>
  </si>
  <si>
    <t>Ningbo Kangnex Elec</t>
  </si>
  <si>
    <t>Phoenix Contact</t>
  </si>
  <si>
    <t>HANRUN</t>
  </si>
  <si>
    <t>XFCN</t>
  </si>
  <si>
    <t>Chlisin Elec</t>
  </si>
  <si>
    <t>Foshan NationStar Optoelectronics</t>
  </si>
  <si>
    <t>Infineon</t>
  </si>
  <si>
    <t>YAGEO</t>
  </si>
  <si>
    <t>TA-I Tech</t>
  </si>
  <si>
    <t>Panasonic</t>
  </si>
  <si>
    <t>Omron</t>
  </si>
  <si>
    <t>STMicroelectronics</t>
  </si>
  <si>
    <t>BL(Shanghai Belling)</t>
  </si>
  <si>
    <t>Texas Instruments</t>
  </si>
  <si>
    <t>UMW</t>
  </si>
  <si>
    <t>Microchip</t>
  </si>
  <si>
    <t>Isocom</t>
  </si>
  <si>
    <t>Seiko Epson</t>
  </si>
  <si>
    <t>JYJE</t>
  </si>
  <si>
    <t>YXC</t>
  </si>
  <si>
    <t>LCSC Part Number</t>
  </si>
  <si>
    <t>C541464</t>
  </si>
  <si>
    <t>C576818</t>
  </si>
  <si>
    <t>C189470</t>
  </si>
  <si>
    <t>C76946</t>
  </si>
  <si>
    <t>C326586</t>
  </si>
  <si>
    <t>C361198</t>
  </si>
  <si>
    <t>C393684</t>
  </si>
  <si>
    <t>C2168289</t>
  </si>
  <si>
    <t>C72474</t>
  </si>
  <si>
    <t>C487500</t>
  </si>
  <si>
    <t>C116211</t>
  </si>
  <si>
    <t>C162178</t>
  </si>
  <si>
    <t>C106254</t>
  </si>
  <si>
    <t>C445063</t>
  </si>
  <si>
    <t>C343059</t>
  </si>
  <si>
    <t>C541459</t>
  </si>
  <si>
    <t>C93192</t>
  </si>
  <si>
    <t>C882583</t>
  </si>
  <si>
    <t>C82326</t>
  </si>
  <si>
    <t>-</t>
  </si>
  <si>
    <t>C477989</t>
  </si>
  <si>
    <t>C5331111</t>
  </si>
  <si>
    <t>C20976</t>
  </si>
  <si>
    <t>C85823</t>
  </si>
  <si>
    <t>C165948</t>
  </si>
  <si>
    <t>C706876</t>
  </si>
  <si>
    <t>C7542168</t>
  </si>
  <si>
    <t>C141882</t>
  </si>
  <si>
    <t>C5188508</t>
  </si>
  <si>
    <t>C72334</t>
  </si>
  <si>
    <t>C12074</t>
  </si>
  <si>
    <t>C76884</t>
  </si>
  <si>
    <t>C285870</t>
  </si>
  <si>
    <t>C3151730</t>
  </si>
  <si>
    <t>C89811</t>
  </si>
  <si>
    <t>C87326</t>
  </si>
  <si>
    <t>C60490</t>
  </si>
  <si>
    <t>C105872</t>
  </si>
  <si>
    <t>C144054</t>
  </si>
  <si>
    <t>C95177</t>
  </si>
  <si>
    <t>C853045</t>
  </si>
  <si>
    <t>C852714</t>
  </si>
  <si>
    <t>C131467</t>
  </si>
  <si>
    <t>C114877</t>
  </si>
  <si>
    <t>C138002</t>
  </si>
  <si>
    <t>C114764</t>
  </si>
  <si>
    <t>C138003</t>
  </si>
  <si>
    <t>C103744</t>
  </si>
  <si>
    <t>C60491</t>
  </si>
  <si>
    <t>C105871</t>
  </si>
  <si>
    <t>C155743</t>
  </si>
  <si>
    <t>C114681</t>
  </si>
  <si>
    <t>C106232</t>
  </si>
  <si>
    <t>C912938</t>
  </si>
  <si>
    <t>C114625</t>
  </si>
  <si>
    <t>C226739</t>
  </si>
  <si>
    <t>C3025671</t>
  </si>
  <si>
    <t>C106231</t>
  </si>
  <si>
    <t>C281773</t>
  </si>
  <si>
    <t>C105879</t>
  </si>
  <si>
    <t>C231329</t>
  </si>
  <si>
    <t>C2829307</t>
  </si>
  <si>
    <t>C2158012</t>
  </si>
  <si>
    <t>C401677</t>
  </si>
  <si>
    <t>C117439</t>
  </si>
  <si>
    <t>C5215823</t>
  </si>
  <si>
    <t>C2904738</t>
  </si>
  <si>
    <t>C2878080</t>
  </si>
  <si>
    <t>C558584</t>
  </si>
  <si>
    <t>C60013</t>
  </si>
  <si>
    <t>C84196</t>
  </si>
  <si>
    <t>C2650464</t>
  </si>
  <si>
    <t>C2149247</t>
  </si>
  <si>
    <t>C70593</t>
  </si>
  <si>
    <t>0.1uF</t>
  </si>
  <si>
    <t>4.7nF</t>
  </si>
  <si>
    <t>DNP</t>
  </si>
  <si>
    <t>10pF</t>
  </si>
  <si>
    <t>4.7uF</t>
  </si>
  <si>
    <t>100nF</t>
  </si>
  <si>
    <t>47pF</t>
  </si>
  <si>
    <t>10uF</t>
  </si>
  <si>
    <t>100uF</t>
  </si>
  <si>
    <t>22uF</t>
  </si>
  <si>
    <t>220uF</t>
  </si>
  <si>
    <t>0.1uf</t>
  </si>
  <si>
    <t>1uF</t>
  </si>
  <si>
    <t>1nF</t>
  </si>
  <si>
    <t>0.01uF</t>
  </si>
  <si>
    <t>22nF</t>
  </si>
  <si>
    <t>470pF</t>
  </si>
  <si>
    <t>18pF</t>
  </si>
  <si>
    <t>68000-103HLF</t>
  </si>
  <si>
    <t>6.8uH</t>
  </si>
  <si>
    <t>10K</t>
  </si>
  <si>
    <t>5.1K</t>
  </si>
  <si>
    <t>1M</t>
  </si>
  <si>
    <t>0R</t>
  </si>
  <si>
    <t>158K</t>
  </si>
  <si>
    <t>30.1K</t>
  </si>
  <si>
    <t>3.9K</t>
  </si>
  <si>
    <t>470R</t>
  </si>
  <si>
    <t>33R</t>
  </si>
  <si>
    <t>200R</t>
  </si>
  <si>
    <t>33K</t>
  </si>
  <si>
    <t>60.4R</t>
  </si>
  <si>
    <t>100K</t>
  </si>
  <si>
    <t>4.7K</t>
  </si>
  <si>
    <t>22R</t>
  </si>
  <si>
    <t>120R</t>
  </si>
  <si>
    <t>100R</t>
  </si>
  <si>
    <t>50mR</t>
  </si>
  <si>
    <t>49.9R</t>
  </si>
  <si>
    <t>57.6R</t>
  </si>
  <si>
    <t>12.1k</t>
  </si>
  <si>
    <t>330R</t>
  </si>
  <si>
    <t>8MHz</t>
  </si>
  <si>
    <t>25MHz</t>
  </si>
  <si>
    <t>Quantity</t>
  </si>
  <si>
    <t>Bill of Materials for Project [STEPPER-Board-v1.0]</t>
  </si>
  <si>
    <t>STEPPER-Board-v1.0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</si>
  <si>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</si>
  <si>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</si>
  <si>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</si>
  <si>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</si>
  <si>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</si>
  <si>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</si>
  <si>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</si>
  <si>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</si>
  <si>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Custom</t>
  </si>
  <si>
    <t xml:space="preserve">SMB </t>
  </si>
  <si>
    <t>LCSC</t>
  </si>
  <si>
    <t>DO NOT MOUNT</t>
  </si>
  <si>
    <t>20A 350W 16V 4V 3.3V SOD-323 ESD and Surge Protection (TVS/ESD) ROHS</t>
  </si>
  <si>
    <t>SOD-323</t>
  </si>
  <si>
    <t>SD03</t>
  </si>
  <si>
    <t>MDD</t>
  </si>
  <si>
    <t>------</t>
  </si>
  <si>
    <t>C502526</t>
  </si>
  <si>
    <t>C91924</t>
  </si>
  <si>
    <t>Amphenol</t>
  </si>
  <si>
    <t>2.54-1*3P</t>
  </si>
  <si>
    <t>C49257</t>
  </si>
  <si>
    <t>C480516</t>
  </si>
  <si>
    <t>C481447</t>
  </si>
  <si>
    <t>C5745149</t>
  </si>
  <si>
    <t>C105882</t>
  </si>
  <si>
    <t>CC0402KRX5R9BB104</t>
  </si>
  <si>
    <t>-------</t>
  </si>
  <si>
    <t>C1538</t>
  </si>
  <si>
    <t>C85973</t>
  </si>
  <si>
    <t>C2583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</si>
</sst>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5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9" fillId="2" borderId="8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20" fillId="2" borderId="7" xfId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/>
    </xf>
    <xf numFmtId="0" fontId="19" fillId="2" borderId="7" xfId="0" quotePrefix="1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/>
    </xf>
    <xf numFmtId="0" fontId="20" fillId="2" borderId="8" xfId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5" fillId="2" borderId="8" xfId="0" quotePrefix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rew-Terminal-Blocks_Phoenix-Contact-1715721_C480516.html" TargetMode="External"/><Relationship Id="rId21" Type="http://schemas.openxmlformats.org/officeDocument/2006/relationships/hyperlink" Target="https://www.lcsc.com/product-detail/USB-Connectors_Korean-Hroparts-Elec-TYPE-C-31-M-12_C165948.html" TargetMode="External"/><Relationship Id="rId42" Type="http://schemas.openxmlformats.org/officeDocument/2006/relationships/hyperlink" Target="https://www.lcsc.com/product-detail/Chip-Resistor-Surface-Mount_YAGEO-RC0402FR-074K7L_C105871.html" TargetMode="External"/><Relationship Id="rId47" Type="http://schemas.openxmlformats.org/officeDocument/2006/relationships/hyperlink" Target="https://www.lcsc.com/product-detail/Chip-Resistor-Surface-Mount_YAGEO-RT0402BRD0712K1L_C281773.html" TargetMode="External"/><Relationship Id="rId63" Type="http://schemas.openxmlformats.org/officeDocument/2006/relationships/hyperlink" Target="https://www.lcsc.com/product-detail/D-Sub-VGA-Connectors_Ckmtw-Shenzhen-Cankemeng-D-DMR009PF-D002_C141882.html" TargetMode="External"/><Relationship Id="rId68" Type="http://schemas.openxmlformats.org/officeDocument/2006/relationships/hyperlink" Target="https://www.lcsc.com/product-detail/Chip-Resistor-Surface-Mount_YAGEO-RT0402BRE07158KL_C853045.html" TargetMode="External"/><Relationship Id="rId16" Type="http://schemas.openxmlformats.org/officeDocument/2006/relationships/hyperlink" Target="https://www.lcsc.com/product-detail/ESD-and-Surge-Protection-TVS-ESD_Diodes-Incorporated-SMBJ28A-13-F_C91924.html" TargetMode="External"/><Relationship Id="rId11" Type="http://schemas.openxmlformats.org/officeDocument/2006/relationships/hyperlink" Target="https://www.lcsc.com/product-detail/Multilayer-Ceramic-Capacitors-MLCC-SMD-SMT_YAGEO-CC0402JRX7R7BB223_C541459.html" TargetMode="External"/><Relationship Id="rId32" Type="http://schemas.openxmlformats.org/officeDocument/2006/relationships/hyperlink" Target="https://www.lcsc.com/product-detail/Chip-Resistor-Surface-Mount_YAGEO-RC0402FR-0710KL_C60490.html" TargetMode="External"/><Relationship Id="rId37" Type="http://schemas.openxmlformats.org/officeDocument/2006/relationships/hyperlink" Target="https://www.lcsc.com/product-detail/Chip-Resistor-Surface-Mount_YAGEO-RC0402FR-07470RL_C114877.html" TargetMode="External"/><Relationship Id="rId53" Type="http://schemas.openxmlformats.org/officeDocument/2006/relationships/hyperlink" Target="https://www.lcsc.com/product-detail/RS-485-RS-422-ICs_Texas-Instruments-THVD2450DRBR_C2878080.html" TargetMode="External"/><Relationship Id="rId58" Type="http://schemas.openxmlformats.org/officeDocument/2006/relationships/hyperlink" Target="https://www.lcsc.com/product-detail/Aluminum-Electrolytic-Capacitors-SMD_Ymin-VKMD1652D220MV_C487500.html" TargetMode="External"/><Relationship Id="rId74" Type="http://schemas.openxmlformats.org/officeDocument/2006/relationships/hyperlink" Target="https://www.lcsc.com/product-detail/Chip-Resistor-Surface-Mount_PANASONIC-ERJ2RKF57R6X_C3025671.html" TargetMode="External"/><Relationship Id="rId79" Type="http://schemas.openxmlformats.org/officeDocument/2006/relationships/hyperlink" Target="https://www.lcsc.com/product-detail/Crystals_JYJE-5TJ480000XYLBC_C2149247.html" TargetMode="External"/><Relationship Id="rId5" Type="http://schemas.openxmlformats.org/officeDocument/2006/relationships/hyperlink" Target="https://www.lcsc.com/product-detail/Multilayer-Ceramic-Capacitors-MLCC-SMD-SMT_TDK-C1005X7R1H104KT000F_C361198.html" TargetMode="External"/><Relationship Id="rId61" Type="http://schemas.openxmlformats.org/officeDocument/2006/relationships/hyperlink" Target="https://www.lcsc.com/product-detail/Aluminum-Electrolytic-Capacitors-SMD_Nichicon-UWT1H101MNL1GS_C445063.html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https://www.lcsc.com/product-detail/Resettable-Fuses_RUILON-Shenzhen-Ruilongyuan-Elec-SMD0805P020TF_C20976.html" TargetMode="External"/><Relationship Id="rId14" Type="http://schemas.openxmlformats.org/officeDocument/2006/relationships/hyperlink" Target="https://www.lcsc.com/product-detail/ESD-and-Surge-Protection-TVS-ESD_onsemi-ESD9L5-0ST5G_C82326.html" TargetMode="External"/><Relationship Id="rId22" Type="http://schemas.openxmlformats.org/officeDocument/2006/relationships/hyperlink" Target="https://www.lcsc.com/product-detail/Pin-Headers_XKB-Connection-X6511WV-04H-C60D30_C706876.html" TargetMode="External"/><Relationship Id="rId27" Type="http://schemas.openxmlformats.org/officeDocument/2006/relationships/hyperlink" Target="https://www.lcsc.com/product-detail/Ethernet-Connectors-Modular-Connectors-RJ45-RJ11_HANRUN-Zhongshan-HanRun-Elec-HR911105A_C12074.html" TargetMode="External"/><Relationship Id="rId30" Type="http://schemas.openxmlformats.org/officeDocument/2006/relationships/hyperlink" Target="https://www.lcsc.com/product-detail/LED-Indication-Discrete_Foshan-NationStar-Optoelectronics-NCD0603R3_C3151730.html" TargetMode="External"/><Relationship Id="rId35" Type="http://schemas.openxmlformats.org/officeDocument/2006/relationships/hyperlink" Target="https://www.lcsc.com/product-detail/Chip-Resistor-Surface-Mount_YAGEO-RC0603JR-070RL_C95177.html" TargetMode="External"/><Relationship Id="rId43" Type="http://schemas.openxmlformats.org/officeDocument/2006/relationships/hyperlink" Target="https://www.lcsc.com/product-detail/Chip-Resistor-Surface-Mount_YAGEO-RC0201FR-0722RL_C155743.html" TargetMode="External"/><Relationship Id="rId48" Type="http://schemas.openxmlformats.org/officeDocument/2006/relationships/hyperlink" Target="https://www.lcsc.com/product-detail/Chip-Resistor-Surface-Mount_YAGEO-RC0603JR-07330RL_C105879.html" TargetMode="External"/><Relationship Id="rId56" Type="http://schemas.openxmlformats.org/officeDocument/2006/relationships/hyperlink" Target="https://www.lcsc.com/product-detail/Multilayer-Ceramic-Capacitors-MLCC-SMD-SMT_YAGEO-CC0402KRX5R9BB104_C105882.html" TargetMode="External"/><Relationship Id="rId64" Type="http://schemas.openxmlformats.org/officeDocument/2006/relationships/hyperlink" Target="https://www.lcsc.com/product-detail/Barrier-Terminal-Blocks_MAX-MX8500-8-5-04P-BK01-Cu-S-A_C5188508.html" TargetMode="External"/><Relationship Id="rId69" Type="http://schemas.openxmlformats.org/officeDocument/2006/relationships/hyperlink" Target="https://www.lcsc.com/product-detail/Chip-Resistor-Surface-Mount_YAGEO-RT0402BRD0730K1L_C852714.html" TargetMode="External"/><Relationship Id="rId77" Type="http://schemas.openxmlformats.org/officeDocument/2006/relationships/hyperlink" Target="https://www.lcsc.com/product-detail/MOSFETs_Texas-Instruments-CSD88537ND_C117439.html" TargetMode="External"/><Relationship Id="rId8" Type="http://schemas.openxmlformats.org/officeDocument/2006/relationships/hyperlink" Target="https://www.lcsc.com/product-detail/Aluminum-Electrolytic-Capacitors-SMD_Nichicon-UCD1H221MNL1GS_C116211.html" TargetMode="External"/><Relationship Id="rId51" Type="http://schemas.openxmlformats.org/officeDocument/2006/relationships/hyperlink" Target="https://www.lcsc.com/product-detail/CAN-Transceivers_Texas-Instruments-TCAN1463DMTRQ1_C5215823.html" TargetMode="External"/><Relationship Id="rId72" Type="http://schemas.openxmlformats.org/officeDocument/2006/relationships/hyperlink" Target="https://www.lcsc.com/product-detail/Chip-Resistor-Surface-Mount_YAGEO-RC0603FR-0749R9L_C114625.html" TargetMode="External"/><Relationship Id="rId80" Type="http://schemas.openxmlformats.org/officeDocument/2006/relationships/hyperlink" Target="https://www.lcsc.com/product-detail/Crystals_YXC-Crystal-Oscillators-X322525MRB4SI_C70593.html" TargetMode="External"/><Relationship Id="rId3" Type="http://schemas.openxmlformats.org/officeDocument/2006/relationships/hyperlink" Target="https://www.lcsc.com/product-detail/Multilayer-Ceramic-Capacitors-MLCC-SMD-SMT_Murata-Electronics-GRM1555C1H100JA01D_C76946.html" TargetMode="External"/><Relationship Id="rId12" Type="http://schemas.openxmlformats.org/officeDocument/2006/relationships/hyperlink" Target="https://www.lcsc.com/product-detail/Multilayer-Ceramic-Capacitors-MLCC-SMD-SMT_Walsin-Tech-Corp-0603B471K500CT_C93192.html" TargetMode="External"/><Relationship Id="rId17" Type="http://schemas.openxmlformats.org/officeDocument/2006/relationships/hyperlink" Target="https://www.lcsc.com/product-detail/Schottky-Diodes_Guangdong-Hottech-SS24A_C2886579.html" TargetMode="External"/><Relationship Id="rId25" Type="http://schemas.openxmlformats.org/officeDocument/2006/relationships/hyperlink" Target="https://www.lcsc.com/product-detail/Screw-Terminal-Blocks_Ningbo-Kangnex-Elec-WJ500V-5-08-3P_C72334.html" TargetMode="External"/><Relationship Id="rId33" Type="http://schemas.openxmlformats.org/officeDocument/2006/relationships/hyperlink" Target="https://www.lcsc.com/product-detail/Chip-Resistor-Surface-Mount_YAGEO-RC0402FR-075K1L_C105872.html" TargetMode="External"/><Relationship Id="rId38" Type="http://schemas.openxmlformats.org/officeDocument/2006/relationships/hyperlink" Target="https://www.lcsc.com/product-detail/Chip-Resistor-Surface-Mount_YAGEO-RC0402FR-0733KL_C138003.html" TargetMode="External"/><Relationship Id="rId46" Type="http://schemas.openxmlformats.org/officeDocument/2006/relationships/hyperlink" Target="https://www.lcsc.com/product-detail/Chip-Resistor-Surface-Mount_YAGEO-RC0402FR-070RL_C106231.html" TargetMode="External"/><Relationship Id="rId59" Type="http://schemas.openxmlformats.org/officeDocument/2006/relationships/hyperlink" Target="https://www.lcsc.com/product-detail/Multilayer-Ceramic-Capacitors-MLCC-SMD-SMT_FH-Guangdong-Fenghua-Advanced-Tech-0402B472K500NT_C1538.html" TargetMode="External"/><Relationship Id="rId67" Type="http://schemas.openxmlformats.org/officeDocument/2006/relationships/hyperlink" Target="https://www.lcsc.com/product-detail/MOSFETs_Infineon-Technologies-IRFR024NTRPBF_C2583.html" TargetMode="External"/><Relationship Id="rId20" Type="http://schemas.openxmlformats.org/officeDocument/2006/relationships/hyperlink" Target="https://www.lcsc.com/product-detail/Ferrite-Beads_Murata-Electronics-BLM15PG100SN1D_C85823.html" TargetMode="External"/><Relationship Id="rId41" Type="http://schemas.openxmlformats.org/officeDocument/2006/relationships/hyperlink" Target="https://www.lcsc.com/product-detail/Chip-Resistor-Surface-Mount_YAGEO-RC0402FR-07100KL_C60491.html" TargetMode="External"/><Relationship Id="rId54" Type="http://schemas.openxmlformats.org/officeDocument/2006/relationships/hyperlink" Target="https://www.lcsc.com/product-detail/I-O-Expanders_Microchip-Tech-MCP23017T-E-SS_C558584.html" TargetMode="External"/><Relationship Id="rId62" Type="http://schemas.openxmlformats.org/officeDocument/2006/relationships/hyperlink" Target="https://www.lcsc.com/product-detail/Multilayer-Ceramic-Capacitors-MLCC-SMD-SMT_Murata-Electronics-GRM1885C1H103JA01D_C85973.html" TargetMode="External"/><Relationship Id="rId70" Type="http://schemas.openxmlformats.org/officeDocument/2006/relationships/hyperlink" Target="https://www.lcsc.com/product-detail/Chip-Resistor-Surface-Mount_YAGEO-RC0402FR-0733RL_C138002.html" TargetMode="External"/><Relationship Id="rId75" Type="http://schemas.openxmlformats.org/officeDocument/2006/relationships/hyperlink" Target="https://www.lcsc.com/product-detail/DC-DC-Converters_Diodes-Incorporated-AP63300WU-7_C2158012.html" TargetMode="External"/><Relationship Id="rId1" Type="http://schemas.openxmlformats.org/officeDocument/2006/relationships/hyperlink" Target="https://www.lcsc.com/product-detail/Multilayer-Ceramic-Capacitors-MLCC-SMD-SMT_YAGEO-CC0402JRX7R7BB104_C541464.html" TargetMode="External"/><Relationship Id="rId6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ESD-and-Surge-Protection-TVS-ESD_MDD-Microdiode-Semiconductor-SD03_C502526.html" TargetMode="External"/><Relationship Id="rId23" Type="http://schemas.openxmlformats.org/officeDocument/2006/relationships/hyperlink" Target="https://www.lcsc.com/product-detail/Pin-Headers_BOOMELE-Boom-Precision-Elec-2-54-1-3P_C49257.html" TargetMode="External"/><Relationship Id="rId28" Type="http://schemas.openxmlformats.org/officeDocument/2006/relationships/hyperlink" Target="https://www.lcsc.com/product-detail/PCB-Welding-Terminal_XFCN-T44001_C481447.html" TargetMode="External"/><Relationship Id="rId36" Type="http://schemas.openxmlformats.org/officeDocument/2006/relationships/hyperlink" Target="https://www.lcsc.com/product-detail/Chip-Resistor-Surface-Mount_YAGEO-RC0402FR-073K9L_C131467.html" TargetMode="External"/><Relationship Id="rId49" Type="http://schemas.openxmlformats.org/officeDocument/2006/relationships/hyperlink" Target="https://www.lcsc.com/product-detail/Tactile-Switches_Omron-Electronics-B3U-1000P_C231329.html" TargetMode="External"/><Relationship Id="rId57" Type="http://schemas.openxmlformats.org/officeDocument/2006/relationships/hyperlink" Target="https://www.lcsc.com/product-detail/Multilayer-Ceramic-Capacitors-MLCC-SMD-SMT_Murata-Electronics-GCM1555C1H470FA16D_C393684.html" TargetMode="External"/><Relationship Id="rId10" Type="http://schemas.openxmlformats.org/officeDocument/2006/relationships/hyperlink" Target="https://www.lcsc.com/product-detail/Multilayer-Ceramic-Capacitors-MLCC-SMD-SMT_TDK-C1005C0G1E102JT000F_C343059.html" TargetMode="External"/><Relationship Id="rId31" Type="http://schemas.openxmlformats.org/officeDocument/2006/relationships/hyperlink" Target="https://www.lcsc.com/product-detail/LED-Indication-Discrete_Foshan-NationStar-Optoelectronics-NCD0603G2_C87326.html" TargetMode="External"/><Relationship Id="rId44" Type="http://schemas.openxmlformats.org/officeDocument/2006/relationships/hyperlink" Target="https://www.lcsc.com/product-detail/Chip-Resistor-Surface-Mount_YAGEO-RC0603JR-07120RL_C114681.html" TargetMode="External"/><Relationship Id="rId52" Type="http://schemas.openxmlformats.org/officeDocument/2006/relationships/hyperlink" Target="https://www.lcsc.com/product-detail/RS232-ICs_UMW-Youtai-Semiconductor-Co-Ltd-MAX3232ESE_C2904738.html" TargetMode="External"/><Relationship Id="rId60" Type="http://schemas.openxmlformats.org/officeDocument/2006/relationships/hyperlink" Target="https://www.lcsc.com/product-detail/Multilayer-Ceramic-Capacitors-MLCC-SMD-SMT_Murata-Electronics-GRM155R62A104KE14D_C162178.html" TargetMode="External"/><Relationship Id="rId65" Type="http://schemas.openxmlformats.org/officeDocument/2006/relationships/hyperlink" Target="https://www.lcsc.com/product-detail/Power-Inductors_Chilisin-Elec-LVC505040-6R8M-N_C285870.html" TargetMode="External"/><Relationship Id="rId73" Type="http://schemas.openxmlformats.org/officeDocument/2006/relationships/hyperlink" Target="https://www.lcsc.com/product-detail/Chip-Resistor-Surface-Mount_YAGEO-AC0402FR-070RL_C226739.html" TargetMode="External"/><Relationship Id="rId78" Type="http://schemas.openxmlformats.org/officeDocument/2006/relationships/hyperlink" Target="https://www.lcsc.com/product-detail/Transistor-Photovoltaic-Output-Optoisolators_Isocom-Components-IS181GB_C84196.html" TargetMode="External"/><Relationship Id="rId81" Type="http://schemas.openxmlformats.org/officeDocument/2006/relationships/hyperlink" Target="https://www.lcsc.com/product-detail/Brushed-DC-Motor-Drivers_Texas-Instruments-DRV8711DCPR_C60013.html" TargetMode="External"/><Relationship Id="rId4" Type="http://schemas.openxmlformats.org/officeDocument/2006/relationships/hyperlink" Target="https://www.lcsc.com/product-detail/Multilayer-Ceramic-Capacitors-MLCC-SMD-SMT_YAGEO-CC0402KRX5R6BB475_C326586.html" TargetMode="External"/><Relationship Id="rId9" Type="http://schemas.openxmlformats.org/officeDocument/2006/relationships/hyperlink" Target="https://www.lcsc.com/product-detail/Multilayer-Ceramic-Capacitors-MLCC-SMD-SMT_YAGEO-CC0402KRX5R6BB105_C106254.html" TargetMode="External"/><Relationship Id="rId13" Type="http://schemas.openxmlformats.org/officeDocument/2006/relationships/hyperlink" Target="https://www.lcsc.com/product-detail/Multilayer-Ceramic-Capacitors-MLCC-SMD-SMT_Murata-Electronics-GCM1555C1H180GA16D_C882583.html" TargetMode="External"/><Relationship Id="rId18" Type="http://schemas.openxmlformats.org/officeDocument/2006/relationships/hyperlink" Target="https://www.lcsc.com/product-detail/ESD-and-Surge-Protection-TVS-ESD_MSKSEMI-SMBJ26CA_C5331111.html" TargetMode="External"/><Relationship Id="rId39" Type="http://schemas.openxmlformats.org/officeDocument/2006/relationships/hyperlink" Target="https://www.lcsc.com/product-detail/Chip-Resistor-Surface-Mount_YAGEO-RC0402FR-07200RL_C114764.html" TargetMode="External"/><Relationship Id="rId34" Type="http://schemas.openxmlformats.org/officeDocument/2006/relationships/hyperlink" Target="https://www.lcsc.com/product-detail/Chip-Resistor-Surface-Mount_YAGEO-AF0402JR-071ML_C144054.html" TargetMode="External"/><Relationship Id="rId50" Type="http://schemas.openxmlformats.org/officeDocument/2006/relationships/hyperlink" Target="https://www.lcsc.com/product-detail/Microcontrollers-MCU-MPU-SOC_STMicroelectronics-STM32G0B1RET6_C2829307.html" TargetMode="External"/><Relationship Id="rId55" Type="http://schemas.openxmlformats.org/officeDocument/2006/relationships/hyperlink" Target="https://www.lcsc.com/product-detail/Interface-Specialized_Microchip-Tech-LAN9253-I-R4X_C5745149.html" TargetMode="External"/><Relationship Id="rId76" Type="http://schemas.openxmlformats.org/officeDocument/2006/relationships/hyperlink" Target="https://www.lcsc.com/product-detail/Voltage-Regulators-Linear-Low-Drop-Out-LDO-Regulators_BL-Shanghai-Belling-BL8071CLATR33_C401677.html" TargetMode="External"/><Relationship Id="rId7" Type="http://schemas.openxmlformats.org/officeDocument/2006/relationships/hyperlink" Target="https://www.lcsc.com/product-detail/Aluminum-Electrolytic-Capacitors-SMD_ROQANG-RVT1A101M0605_C72474.html" TargetMode="External"/><Relationship Id="rId71" Type="http://schemas.openxmlformats.org/officeDocument/2006/relationships/hyperlink" Target="https://www.lcsc.com/product-detail/Current-Sense-Resistors-Shunt-Resistors_TA-I-Tech-RLM20FECR050_C912938.html" TargetMode="External"/><Relationship Id="rId2" Type="http://schemas.openxmlformats.org/officeDocument/2006/relationships/hyperlink" Target="https://www.lcsc.com/product-detail/Multilayer-Ceramic-Capacitors-MLCC-SMD-SMT_YAGEO-CC0603JRNPO9BN472_C576818.html" TargetMode="External"/><Relationship Id="rId29" Type="http://schemas.openxmlformats.org/officeDocument/2006/relationships/hyperlink" Target="https://www.lcsc.com/product-detail/Ferrite-Beads_Murata-Electronics-BLM15AG601SN1D_C76884.html" TargetMode="External"/><Relationship Id="rId24" Type="http://schemas.openxmlformats.org/officeDocument/2006/relationships/hyperlink" Target="https://www.lcsc.com/product-detail/Barrier-Terminal-Blocks_MAX-MXHB9500-9-5-02P-BK01-Cu-S-A_C7542168.html" TargetMode="External"/><Relationship Id="rId40" Type="http://schemas.openxmlformats.org/officeDocument/2006/relationships/hyperlink" Target="https://www.lcsc.com/product-detail/Chip-Resistor-Surface-Mount_RALEC-RTT0360R4FTP_C103744.html" TargetMode="External"/><Relationship Id="rId45" Type="http://schemas.openxmlformats.org/officeDocument/2006/relationships/hyperlink" Target="https://www.lcsc.com/product-detail/Chip-Resistor-Surface-Mount_YAGEO-RC0402FR-07100RL_C106232.html" TargetMode="External"/><Relationship Id="rId66" Type="http://schemas.openxmlformats.org/officeDocument/2006/relationships/hyperlink" Target="https://www.lcsc.com/product-detail/LED-Indication-Discrete_Foshan-NationStar-Optoelectronics-NCD0603Y2_C8981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07"/>
  <sheetViews>
    <sheetView tabSelected="1" workbookViewId="0">
      <selection activeCell="E103" sqref="E103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710937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2"/>
      <c r="L1" s="42"/>
      <c r="M1" s="42"/>
      <c r="N1" s="42"/>
      <c r="O1" s="42"/>
      <c r="P1" s="42"/>
      <c r="Q1" s="42"/>
      <c r="R1" s="42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467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468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28</v>
      </c>
      <c r="E7" s="12" t="s">
        <v>115</v>
      </c>
      <c r="F7" s="12" t="s">
        <v>198</v>
      </c>
      <c r="G7" s="12" t="s">
        <v>238</v>
      </c>
      <c r="H7" s="12" t="s">
        <v>310</v>
      </c>
      <c r="I7" s="12" t="s">
        <v>469</v>
      </c>
      <c r="J7" s="12" t="s">
        <v>347</v>
      </c>
      <c r="K7" s="12" t="s">
        <v>470</v>
      </c>
      <c r="L7" s="12" t="s">
        <v>466</v>
      </c>
      <c r="M7" s="12" t="s">
        <v>471</v>
      </c>
      <c r="N7" s="12" t="s">
        <v>472</v>
      </c>
      <c r="O7" s="12" t="s">
        <v>473</v>
      </c>
      <c r="P7" s="12" t="s">
        <v>474</v>
      </c>
      <c r="Q7" s="12" t="s">
        <v>475</v>
      </c>
      <c r="R7" s="12" t="s">
        <v>476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29</v>
      </c>
      <c r="E8" s="14" t="s">
        <v>116</v>
      </c>
      <c r="F8" s="14" t="s">
        <v>199</v>
      </c>
      <c r="G8" s="14" t="s">
        <v>239</v>
      </c>
      <c r="H8" s="14" t="s">
        <v>311</v>
      </c>
      <c r="I8" s="55" t="s">
        <v>496</v>
      </c>
      <c r="J8" s="14" t="s">
        <v>348</v>
      </c>
      <c r="K8" s="46" t="s">
        <v>422</v>
      </c>
      <c r="L8" s="14">
        <v>8</v>
      </c>
      <c r="M8" s="14">
        <f>L8*5</f>
        <v>40</v>
      </c>
      <c r="N8" s="14">
        <v>100</v>
      </c>
      <c r="O8" s="49" t="s">
        <v>479</v>
      </c>
      <c r="P8" s="15">
        <v>1.6000000000000001E-3</v>
      </c>
      <c r="Q8" s="15">
        <f>P8*N8</f>
        <v>0.16</v>
      </c>
      <c r="R8" s="14"/>
    </row>
    <row r="9" spans="1:18" x14ac:dyDescent="0.25">
      <c r="A9" s="1"/>
      <c r="B9" s="17">
        <f t="shared" ref="B9:B93" si="0">ROW(B9) - ROW($B$7)</f>
        <v>2</v>
      </c>
      <c r="C9" s="23" t="s">
        <v>6</v>
      </c>
      <c r="D9" s="20" t="s">
        <v>30</v>
      </c>
      <c r="E9" s="20" t="s">
        <v>117</v>
      </c>
      <c r="F9" s="20" t="s">
        <v>200</v>
      </c>
      <c r="G9" s="20" t="s">
        <v>240</v>
      </c>
      <c r="H9" s="20" t="s">
        <v>311</v>
      </c>
      <c r="I9" s="56" t="s">
        <v>496</v>
      </c>
      <c r="J9" s="20" t="s">
        <v>349</v>
      </c>
      <c r="K9" s="47" t="s">
        <v>423</v>
      </c>
      <c r="L9" s="20">
        <v>1</v>
      </c>
      <c r="M9" s="20">
        <f t="shared" ref="M9" si="1">L9*5</f>
        <v>5</v>
      </c>
      <c r="N9" s="14">
        <v>20</v>
      </c>
      <c r="O9" s="49" t="s">
        <v>479</v>
      </c>
      <c r="P9" s="15">
        <v>2.0799999999999999E-2</v>
      </c>
      <c r="Q9" s="21">
        <f t="shared" ref="Q9" si="2">P9*N9</f>
        <v>0.41599999999999998</v>
      </c>
      <c r="R9" s="20"/>
    </row>
    <row r="10" spans="1:18" x14ac:dyDescent="0.25">
      <c r="A10" s="1"/>
      <c r="B10" s="16">
        <f>ROW(B10) - ROW($B$7)</f>
        <v>3</v>
      </c>
      <c r="C10" s="22" t="s">
        <v>6</v>
      </c>
      <c r="D10" s="48" t="s">
        <v>31</v>
      </c>
      <c r="E10" s="50" t="s">
        <v>118</v>
      </c>
      <c r="F10" s="45" t="s">
        <v>199</v>
      </c>
      <c r="G10" s="48" t="s">
        <v>241</v>
      </c>
      <c r="H10" s="48" t="s">
        <v>311</v>
      </c>
      <c r="I10" s="56" t="s">
        <v>496</v>
      </c>
      <c r="J10" s="48" t="s">
        <v>350</v>
      </c>
      <c r="K10" s="48" t="s">
        <v>424</v>
      </c>
      <c r="L10" s="48">
        <v>2</v>
      </c>
      <c r="M10" s="48">
        <f>L10*5</f>
        <v>10</v>
      </c>
      <c r="N10" s="52" t="s">
        <v>367</v>
      </c>
      <c r="O10" s="48" t="s">
        <v>479</v>
      </c>
      <c r="P10" s="52" t="s">
        <v>367</v>
      </c>
      <c r="Q10" s="52" t="s">
        <v>367</v>
      </c>
      <c r="R10" s="53" t="s">
        <v>480</v>
      </c>
    </row>
    <row r="11" spans="1:18" x14ac:dyDescent="0.25">
      <c r="A11" s="1"/>
      <c r="B11" s="17">
        <f t="shared" si="0"/>
        <v>4</v>
      </c>
      <c r="C11" s="23" t="s">
        <v>6</v>
      </c>
      <c r="D11" s="20" t="s">
        <v>32</v>
      </c>
      <c r="E11" s="20" t="s">
        <v>119</v>
      </c>
      <c r="F11" s="20" t="s">
        <v>199</v>
      </c>
      <c r="G11" s="20" t="s">
        <v>242</v>
      </c>
      <c r="H11" s="20" t="s">
        <v>312</v>
      </c>
      <c r="I11" s="56" t="s">
        <v>496</v>
      </c>
      <c r="J11" s="20" t="s">
        <v>351</v>
      </c>
      <c r="K11" s="47" t="s">
        <v>425</v>
      </c>
      <c r="L11" s="20">
        <v>2</v>
      </c>
      <c r="M11" s="20">
        <f t="shared" ref="M11" si="3">L11*5</f>
        <v>10</v>
      </c>
      <c r="N11" s="20">
        <v>100</v>
      </c>
      <c r="O11" s="54" t="s">
        <v>479</v>
      </c>
      <c r="P11" s="21">
        <v>2.0999999999999999E-3</v>
      </c>
      <c r="Q11" s="21">
        <f t="shared" ref="Q11" si="4">P11*N11</f>
        <v>0.21</v>
      </c>
      <c r="R11" s="20"/>
    </row>
    <row r="12" spans="1:18" x14ac:dyDescent="0.25">
      <c r="A12" s="1"/>
      <c r="B12" s="16">
        <f>ROW(B12) - ROW($B$7)</f>
        <v>5</v>
      </c>
      <c r="C12" s="23" t="s">
        <v>6</v>
      </c>
      <c r="D12" s="14" t="s">
        <v>33</v>
      </c>
      <c r="E12" s="14" t="s">
        <v>120</v>
      </c>
      <c r="F12" s="14" t="s">
        <v>199</v>
      </c>
      <c r="G12" s="14" t="s">
        <v>243</v>
      </c>
      <c r="H12" s="14" t="s">
        <v>311</v>
      </c>
      <c r="I12" s="56" t="s">
        <v>496</v>
      </c>
      <c r="J12" s="14" t="s">
        <v>352</v>
      </c>
      <c r="K12" s="46" t="s">
        <v>426</v>
      </c>
      <c r="L12" s="14">
        <v>2</v>
      </c>
      <c r="M12" s="14">
        <f>L12*5</f>
        <v>10</v>
      </c>
      <c r="N12" s="20">
        <v>50</v>
      </c>
      <c r="O12" s="49" t="s">
        <v>479</v>
      </c>
      <c r="P12" s="21">
        <v>1.7500000000000002E-2</v>
      </c>
      <c r="Q12" s="15">
        <f>P12*N12</f>
        <v>0.87500000000000011</v>
      </c>
      <c r="R12" s="14"/>
    </row>
    <row r="13" spans="1:18" ht="36" x14ac:dyDescent="0.25">
      <c r="A13" s="1"/>
      <c r="B13" s="17">
        <f t="shared" si="0"/>
        <v>6</v>
      </c>
      <c r="C13" s="23" t="s">
        <v>6</v>
      </c>
      <c r="D13" s="20" t="s">
        <v>34</v>
      </c>
      <c r="E13" s="20" t="s">
        <v>121</v>
      </c>
      <c r="F13" s="20" t="s">
        <v>201</v>
      </c>
      <c r="G13" s="20" t="s">
        <v>244</v>
      </c>
      <c r="H13" s="20" t="s">
        <v>313</v>
      </c>
      <c r="I13" s="56" t="s">
        <v>496</v>
      </c>
      <c r="J13" s="20" t="s">
        <v>353</v>
      </c>
      <c r="K13" s="47" t="s">
        <v>427</v>
      </c>
      <c r="L13" s="20">
        <v>16</v>
      </c>
      <c r="M13" s="20">
        <f t="shared" ref="M13" si="5">L13*5</f>
        <v>80</v>
      </c>
      <c r="N13" s="14">
        <v>100</v>
      </c>
      <c r="O13" s="49" t="s">
        <v>479</v>
      </c>
      <c r="P13" s="15">
        <v>1.32E-2</v>
      </c>
      <c r="Q13" s="21">
        <f t="shared" ref="Q13" si="6">P13*N13</f>
        <v>1.32</v>
      </c>
      <c r="R13" s="20"/>
    </row>
    <row r="14" spans="1:18" x14ac:dyDescent="0.25">
      <c r="A14" s="1"/>
      <c r="B14" s="16">
        <f>ROW(B14) - ROW($B$7)</f>
        <v>7</v>
      </c>
      <c r="C14" s="23" t="s">
        <v>6</v>
      </c>
      <c r="D14" s="14" t="s">
        <v>35</v>
      </c>
      <c r="E14" s="14" t="s">
        <v>122</v>
      </c>
      <c r="F14" s="14" t="s">
        <v>199</v>
      </c>
      <c r="G14" s="48" t="s">
        <v>245</v>
      </c>
      <c r="H14" s="14" t="s">
        <v>313</v>
      </c>
      <c r="I14" s="14" t="s">
        <v>495</v>
      </c>
      <c r="J14" s="14" t="s">
        <v>494</v>
      </c>
      <c r="K14" s="46" t="s">
        <v>422</v>
      </c>
      <c r="L14" s="14">
        <v>1</v>
      </c>
      <c r="M14" s="14">
        <f>L14*5</f>
        <v>5</v>
      </c>
      <c r="N14" s="14">
        <v>100</v>
      </c>
      <c r="O14" s="49" t="s">
        <v>479</v>
      </c>
      <c r="P14" s="15">
        <v>2.7000000000000001E-3</v>
      </c>
      <c r="Q14" s="15">
        <f>P14*N14</f>
        <v>0.27</v>
      </c>
      <c r="R14" s="14"/>
    </row>
    <row r="15" spans="1:18" x14ac:dyDescent="0.25">
      <c r="A15" s="1"/>
      <c r="B15" s="17">
        <f t="shared" si="0"/>
        <v>8</v>
      </c>
      <c r="C15" s="23" t="s">
        <v>6</v>
      </c>
      <c r="D15" s="20" t="s">
        <v>36</v>
      </c>
      <c r="E15" s="20" t="s">
        <v>123</v>
      </c>
      <c r="F15" s="20" t="s">
        <v>199</v>
      </c>
      <c r="G15" s="20" t="s">
        <v>246</v>
      </c>
      <c r="H15" s="20" t="s">
        <v>312</v>
      </c>
      <c r="I15" s="56" t="s">
        <v>496</v>
      </c>
      <c r="J15" s="20" t="s">
        <v>354</v>
      </c>
      <c r="K15" s="47" t="s">
        <v>428</v>
      </c>
      <c r="L15" s="20">
        <v>1</v>
      </c>
      <c r="M15" s="20">
        <f t="shared" ref="M15" si="7">L15*5</f>
        <v>5</v>
      </c>
      <c r="N15" s="20">
        <v>20</v>
      </c>
      <c r="O15" s="54" t="s">
        <v>479</v>
      </c>
      <c r="P15" s="21">
        <v>2.1100000000000001E-2</v>
      </c>
      <c r="Q15" s="21">
        <f t="shared" ref="Q15" si="8">P15*N15</f>
        <v>0.42200000000000004</v>
      </c>
      <c r="R15" s="20"/>
    </row>
    <row r="16" spans="1:18" x14ac:dyDescent="0.25">
      <c r="A16" s="1"/>
      <c r="B16" s="16">
        <f>ROW(B16) - ROW($B$7)</f>
        <v>9</v>
      </c>
      <c r="C16" s="23" t="s">
        <v>6</v>
      </c>
      <c r="D16" s="14" t="s">
        <v>37</v>
      </c>
      <c r="E16" s="14" t="s">
        <v>124</v>
      </c>
      <c r="F16" s="14" t="s">
        <v>200</v>
      </c>
      <c r="G16" s="14" t="s">
        <v>247</v>
      </c>
      <c r="H16" s="14" t="s">
        <v>313</v>
      </c>
      <c r="I16" s="56" t="s">
        <v>496</v>
      </c>
      <c r="J16" s="14" t="s">
        <v>355</v>
      </c>
      <c r="K16" s="46" t="s">
        <v>429</v>
      </c>
      <c r="L16" s="14">
        <v>2</v>
      </c>
      <c r="M16" s="14">
        <f>L16*5</f>
        <v>10</v>
      </c>
      <c r="N16" s="14">
        <v>11</v>
      </c>
      <c r="O16" s="49" t="s">
        <v>479</v>
      </c>
      <c r="P16" s="15">
        <v>1.0296000000000001</v>
      </c>
      <c r="Q16" s="15">
        <f>P16*N16</f>
        <v>11.325600000000001</v>
      </c>
      <c r="R16" s="14"/>
    </row>
    <row r="17" spans="1:18" ht="36" x14ac:dyDescent="0.25">
      <c r="A17" s="1"/>
      <c r="B17" s="17">
        <f t="shared" si="0"/>
        <v>10</v>
      </c>
      <c r="C17" s="23" t="s">
        <v>6</v>
      </c>
      <c r="D17" s="20" t="s">
        <v>38</v>
      </c>
      <c r="E17" s="20" t="s">
        <v>125</v>
      </c>
      <c r="F17" s="20" t="s">
        <v>477</v>
      </c>
      <c r="G17" s="20" t="s">
        <v>202</v>
      </c>
      <c r="H17" s="20" t="s">
        <v>314</v>
      </c>
      <c r="I17" s="56" t="s">
        <v>496</v>
      </c>
      <c r="J17" s="20" t="s">
        <v>356</v>
      </c>
      <c r="K17" s="47" t="s">
        <v>430</v>
      </c>
      <c r="L17" s="20">
        <v>1</v>
      </c>
      <c r="M17" s="20">
        <f t="shared" ref="M17" si="9">L17*5</f>
        <v>5</v>
      </c>
      <c r="N17" s="20">
        <v>100</v>
      </c>
      <c r="O17" s="49" t="s">
        <v>479</v>
      </c>
      <c r="P17" s="21">
        <v>2.2800000000000001E-2</v>
      </c>
      <c r="Q17" s="21">
        <f t="shared" ref="Q17" si="10">P17*N17</f>
        <v>2.2800000000000002</v>
      </c>
      <c r="R17" s="20"/>
    </row>
    <row r="18" spans="1:18" ht="36" x14ac:dyDescent="0.25">
      <c r="A18" s="1"/>
      <c r="B18" s="16">
        <f>ROW(B18) - ROW($B$7)</f>
        <v>11</v>
      </c>
      <c r="C18" s="22" t="s">
        <v>7</v>
      </c>
      <c r="D18" s="14" t="s">
        <v>39</v>
      </c>
      <c r="E18" s="14" t="s">
        <v>126</v>
      </c>
      <c r="F18" s="20" t="s">
        <v>477</v>
      </c>
      <c r="G18" s="14" t="s">
        <v>203</v>
      </c>
      <c r="H18" s="14" t="s">
        <v>315</v>
      </c>
      <c r="I18" s="56" t="s">
        <v>496</v>
      </c>
      <c r="J18" s="14" t="s">
        <v>357</v>
      </c>
      <c r="K18" s="46" t="s">
        <v>431</v>
      </c>
      <c r="L18" s="14">
        <v>2</v>
      </c>
      <c r="M18" s="14">
        <f>L18*5</f>
        <v>10</v>
      </c>
      <c r="N18" s="14">
        <v>11</v>
      </c>
      <c r="O18" s="49" t="s">
        <v>479</v>
      </c>
      <c r="P18" s="15">
        <v>0.18679999999999999</v>
      </c>
      <c r="Q18" s="15">
        <f>P18*N18</f>
        <v>2.0547999999999997</v>
      </c>
      <c r="R18" s="14"/>
    </row>
    <row r="19" spans="1:18" x14ac:dyDescent="0.25">
      <c r="A19" s="1"/>
      <c r="B19" s="17">
        <f t="shared" si="0"/>
        <v>12</v>
      </c>
      <c r="C19" s="23" t="s">
        <v>6</v>
      </c>
      <c r="D19" s="20" t="s">
        <v>40</v>
      </c>
      <c r="E19" s="20" t="s">
        <v>127</v>
      </c>
      <c r="F19" s="20" t="s">
        <v>204</v>
      </c>
      <c r="G19" s="20" t="s">
        <v>248</v>
      </c>
      <c r="H19" s="20" t="s">
        <v>316</v>
      </c>
      <c r="I19" s="56" t="s">
        <v>496</v>
      </c>
      <c r="J19" s="20" t="s">
        <v>358</v>
      </c>
      <c r="K19" s="47" t="s">
        <v>432</v>
      </c>
      <c r="L19" s="20">
        <v>3</v>
      </c>
      <c r="M19" s="20">
        <f t="shared" ref="M19" si="11">L19*5</f>
        <v>15</v>
      </c>
      <c r="N19" s="14">
        <v>20</v>
      </c>
      <c r="O19" s="49" t="s">
        <v>479</v>
      </c>
      <c r="P19" s="15">
        <v>0.29310000000000003</v>
      </c>
      <c r="Q19" s="21">
        <f t="shared" ref="Q19" si="12">P19*N19</f>
        <v>5.8620000000000001</v>
      </c>
      <c r="R19" s="20"/>
    </row>
    <row r="20" spans="1:18" x14ac:dyDescent="0.25">
      <c r="A20" s="1"/>
      <c r="B20" s="16">
        <f>ROW(B20) - ROW($B$7)</f>
        <v>13</v>
      </c>
      <c r="C20" s="22" t="s">
        <v>6</v>
      </c>
      <c r="D20" s="14" t="s">
        <v>41</v>
      </c>
      <c r="E20" s="14" t="s">
        <v>128</v>
      </c>
      <c r="F20" s="14" t="s">
        <v>199</v>
      </c>
      <c r="G20" s="48" t="s">
        <v>249</v>
      </c>
      <c r="H20" s="14" t="s">
        <v>311</v>
      </c>
      <c r="I20" s="56" t="s">
        <v>496</v>
      </c>
      <c r="J20" s="14" t="s">
        <v>497</v>
      </c>
      <c r="K20" s="46" t="s">
        <v>423</v>
      </c>
      <c r="L20" s="14">
        <v>1</v>
      </c>
      <c r="M20" s="14">
        <f>L20*5</f>
        <v>5</v>
      </c>
      <c r="N20" s="14">
        <v>100</v>
      </c>
      <c r="O20" s="49" t="s">
        <v>479</v>
      </c>
      <c r="P20" s="15">
        <v>1E-3</v>
      </c>
      <c r="Q20" s="15">
        <f>P20*N20</f>
        <v>0.1</v>
      </c>
      <c r="R20" s="14"/>
    </row>
    <row r="21" spans="1:18" x14ac:dyDescent="0.25">
      <c r="A21" s="1"/>
      <c r="B21" s="17">
        <f t="shared" si="0"/>
        <v>14</v>
      </c>
      <c r="C21" s="23" t="s">
        <v>6</v>
      </c>
      <c r="D21" s="20" t="s">
        <v>42</v>
      </c>
      <c r="E21" s="20" t="s">
        <v>129</v>
      </c>
      <c r="F21" s="20" t="s">
        <v>199</v>
      </c>
      <c r="G21" s="20" t="s">
        <v>250</v>
      </c>
      <c r="H21" s="20" t="s">
        <v>312</v>
      </c>
      <c r="I21" s="56" t="s">
        <v>496</v>
      </c>
      <c r="J21" s="20" t="s">
        <v>359</v>
      </c>
      <c r="K21" s="47" t="s">
        <v>433</v>
      </c>
      <c r="L21" s="20">
        <v>6</v>
      </c>
      <c r="M21" s="20">
        <f t="shared" ref="M21" si="13">L21*5</f>
        <v>30</v>
      </c>
      <c r="N21" s="20">
        <v>50</v>
      </c>
      <c r="O21" s="54" t="s">
        <v>479</v>
      </c>
      <c r="P21" s="21">
        <v>8.3999999999999995E-3</v>
      </c>
      <c r="Q21" s="21">
        <f t="shared" ref="Q21" si="14">P21*N21</f>
        <v>0.42</v>
      </c>
      <c r="R21" s="20"/>
    </row>
    <row r="22" spans="1:18" ht="24" x14ac:dyDescent="0.25">
      <c r="A22" s="1"/>
      <c r="B22" s="16">
        <f>ROW(B22) - ROW($B$7)</f>
        <v>15</v>
      </c>
      <c r="C22" s="22" t="s">
        <v>6</v>
      </c>
      <c r="D22" s="14" t="s">
        <v>43</v>
      </c>
      <c r="E22" s="14" t="s">
        <v>130</v>
      </c>
      <c r="F22" s="14" t="s">
        <v>199</v>
      </c>
      <c r="G22" s="14" t="s">
        <v>251</v>
      </c>
      <c r="H22" s="14" t="s">
        <v>311</v>
      </c>
      <c r="I22" s="56" t="s">
        <v>496</v>
      </c>
      <c r="J22" s="14" t="s">
        <v>360</v>
      </c>
      <c r="K22" s="46" t="s">
        <v>434</v>
      </c>
      <c r="L22" s="14">
        <v>14</v>
      </c>
      <c r="M22" s="14">
        <f>L22*5</f>
        <v>70</v>
      </c>
      <c r="N22" s="20">
        <v>100</v>
      </c>
      <c r="O22" s="49" t="s">
        <v>479</v>
      </c>
      <c r="P22" s="21">
        <v>2.5999999999999999E-3</v>
      </c>
      <c r="Q22" s="15">
        <f>P22*N22</f>
        <v>0.26</v>
      </c>
      <c r="R22" s="14"/>
    </row>
    <row r="23" spans="1:18" x14ac:dyDescent="0.25">
      <c r="A23" s="1"/>
      <c r="B23" s="17">
        <f t="shared" si="0"/>
        <v>16</v>
      </c>
      <c r="C23" s="23" t="s">
        <v>6</v>
      </c>
      <c r="D23" s="20" t="s">
        <v>44</v>
      </c>
      <c r="E23" s="20" t="s">
        <v>131</v>
      </c>
      <c r="F23" s="20" t="s">
        <v>477</v>
      </c>
      <c r="G23" s="20" t="s">
        <v>252</v>
      </c>
      <c r="H23" s="20" t="s">
        <v>316</v>
      </c>
      <c r="I23" s="56" t="s">
        <v>496</v>
      </c>
      <c r="J23" s="20" t="s">
        <v>361</v>
      </c>
      <c r="K23" s="47" t="s">
        <v>430</v>
      </c>
      <c r="L23" s="20">
        <v>4</v>
      </c>
      <c r="M23" s="20">
        <f t="shared" ref="M23" si="15">L23*5</f>
        <v>20</v>
      </c>
      <c r="N23" s="20">
        <v>25</v>
      </c>
      <c r="O23" s="54" t="s">
        <v>479</v>
      </c>
      <c r="P23" s="21">
        <v>0.15429999999999999</v>
      </c>
      <c r="Q23" s="21">
        <f t="shared" ref="Q23" si="16">P23*N23</f>
        <v>3.8574999999999999</v>
      </c>
      <c r="R23" s="20"/>
    </row>
    <row r="24" spans="1:18" x14ac:dyDescent="0.25">
      <c r="A24" s="1"/>
      <c r="B24" s="16">
        <f>ROW(B24) - ROW($B$7)</f>
        <v>17</v>
      </c>
      <c r="C24" s="22" t="s">
        <v>6</v>
      </c>
      <c r="D24" s="14" t="s">
        <v>45</v>
      </c>
      <c r="E24" s="14" t="s">
        <v>132</v>
      </c>
      <c r="F24" s="14" t="s">
        <v>199</v>
      </c>
      <c r="G24" s="14" t="s">
        <v>253</v>
      </c>
      <c r="H24" s="14" t="s">
        <v>313</v>
      </c>
      <c r="I24" s="56" t="s">
        <v>496</v>
      </c>
      <c r="J24" s="14" t="s">
        <v>362</v>
      </c>
      <c r="K24" s="46" t="s">
        <v>435</v>
      </c>
      <c r="L24" s="14">
        <v>4</v>
      </c>
      <c r="M24" s="14">
        <f>L24*5</f>
        <v>20</v>
      </c>
      <c r="N24" s="20">
        <v>100</v>
      </c>
      <c r="O24" s="49" t="s">
        <v>479</v>
      </c>
      <c r="P24" s="21">
        <v>1.7100000000000001E-2</v>
      </c>
      <c r="Q24" s="15">
        <f>P24*N24</f>
        <v>1.71</v>
      </c>
      <c r="R24" s="14"/>
    </row>
    <row r="25" spans="1:18" x14ac:dyDescent="0.25">
      <c r="A25" s="1"/>
      <c r="B25" s="17">
        <f t="shared" si="0"/>
        <v>18</v>
      </c>
      <c r="C25" s="22" t="s">
        <v>6</v>
      </c>
      <c r="D25" s="20" t="s">
        <v>46</v>
      </c>
      <c r="E25" s="20" t="s">
        <v>133</v>
      </c>
      <c r="F25" s="20" t="s">
        <v>200</v>
      </c>
      <c r="G25" s="20" t="s">
        <v>254</v>
      </c>
      <c r="H25" s="20" t="s">
        <v>312</v>
      </c>
      <c r="I25" s="56" t="s">
        <v>496</v>
      </c>
      <c r="J25" s="20" t="s">
        <v>498</v>
      </c>
      <c r="K25" s="47" t="s">
        <v>436</v>
      </c>
      <c r="L25" s="20">
        <v>4</v>
      </c>
      <c r="M25" s="20">
        <f t="shared" ref="M25" si="17">L25*5</f>
        <v>20</v>
      </c>
      <c r="N25" s="20">
        <v>40</v>
      </c>
      <c r="O25" s="54" t="s">
        <v>479</v>
      </c>
      <c r="P25" s="21">
        <v>2.5999999999999999E-2</v>
      </c>
      <c r="Q25" s="21">
        <f t="shared" ref="Q25" si="18">P25*N25</f>
        <v>1.04</v>
      </c>
      <c r="R25" s="20"/>
    </row>
    <row r="26" spans="1:18" ht="24" x14ac:dyDescent="0.25">
      <c r="A26" s="1"/>
      <c r="B26" s="16">
        <f>ROW(B26) - ROW($B$7)</f>
        <v>19</v>
      </c>
      <c r="C26" s="22" t="s">
        <v>6</v>
      </c>
      <c r="D26" s="48" t="s">
        <v>47</v>
      </c>
      <c r="E26" s="50" t="s">
        <v>119</v>
      </c>
      <c r="F26" s="45" t="s">
        <v>199</v>
      </c>
      <c r="G26" s="48" t="s">
        <v>242</v>
      </c>
      <c r="H26" s="48" t="s">
        <v>312</v>
      </c>
      <c r="I26" s="56" t="s">
        <v>496</v>
      </c>
      <c r="J26" s="48" t="s">
        <v>351</v>
      </c>
      <c r="K26" s="48" t="s">
        <v>424</v>
      </c>
      <c r="L26" s="48">
        <v>8</v>
      </c>
      <c r="M26" s="48">
        <f>L26*5</f>
        <v>40</v>
      </c>
      <c r="N26" s="52" t="s">
        <v>367</v>
      </c>
      <c r="O26" s="48" t="s">
        <v>479</v>
      </c>
      <c r="P26" s="52" t="s">
        <v>367</v>
      </c>
      <c r="Q26" s="52" t="s">
        <v>367</v>
      </c>
      <c r="R26" s="53" t="s">
        <v>480</v>
      </c>
    </row>
    <row r="27" spans="1:18" x14ac:dyDescent="0.25">
      <c r="A27" s="1"/>
      <c r="B27" s="17">
        <f t="shared" si="0"/>
        <v>20</v>
      </c>
      <c r="C27" s="22" t="s">
        <v>6</v>
      </c>
      <c r="D27" s="20" t="s">
        <v>48</v>
      </c>
      <c r="E27" s="20" t="s">
        <v>134</v>
      </c>
      <c r="F27" s="20" t="s">
        <v>199</v>
      </c>
      <c r="G27" s="20" t="s">
        <v>255</v>
      </c>
      <c r="H27" s="20" t="s">
        <v>311</v>
      </c>
      <c r="I27" s="56" t="s">
        <v>496</v>
      </c>
      <c r="J27" s="20" t="s">
        <v>363</v>
      </c>
      <c r="K27" s="47" t="s">
        <v>437</v>
      </c>
      <c r="L27" s="20">
        <v>2</v>
      </c>
      <c r="M27" s="20">
        <f t="shared" ref="M27" si="19">L27*5</f>
        <v>10</v>
      </c>
      <c r="N27" s="20">
        <v>100</v>
      </c>
      <c r="O27" s="49" t="s">
        <v>479</v>
      </c>
      <c r="P27" s="21">
        <v>3.0999999999999999E-3</v>
      </c>
      <c r="Q27" s="21">
        <f t="shared" ref="Q27" si="20">P27*N27</f>
        <v>0.31</v>
      </c>
      <c r="R27" s="20"/>
    </row>
    <row r="28" spans="1:18" x14ac:dyDescent="0.25">
      <c r="A28" s="1"/>
      <c r="B28" s="16">
        <f>ROW(B28) - ROW($B$7)</f>
        <v>21</v>
      </c>
      <c r="C28" s="22" t="s">
        <v>6</v>
      </c>
      <c r="D28" s="14" t="s">
        <v>49</v>
      </c>
      <c r="E28" s="14" t="s">
        <v>135</v>
      </c>
      <c r="F28" s="14" t="s">
        <v>200</v>
      </c>
      <c r="G28" s="14" t="s">
        <v>256</v>
      </c>
      <c r="H28" s="14" t="s">
        <v>317</v>
      </c>
      <c r="I28" s="56" t="s">
        <v>496</v>
      </c>
      <c r="J28" s="14" t="s">
        <v>364</v>
      </c>
      <c r="K28" s="46" t="s">
        <v>438</v>
      </c>
      <c r="L28" s="14">
        <v>1</v>
      </c>
      <c r="M28" s="14">
        <f>L28*5</f>
        <v>5</v>
      </c>
      <c r="N28" s="14">
        <v>10</v>
      </c>
      <c r="O28" s="49" t="s">
        <v>479</v>
      </c>
      <c r="P28" s="15">
        <v>3.7000000000000002E-3</v>
      </c>
      <c r="Q28" s="15">
        <f>P28*N28</f>
        <v>3.7000000000000005E-2</v>
      </c>
      <c r="R28" s="14"/>
    </row>
    <row r="29" spans="1:18" x14ac:dyDescent="0.25">
      <c r="A29" s="1"/>
      <c r="B29" s="17">
        <f t="shared" si="0"/>
        <v>22</v>
      </c>
      <c r="C29" s="22" t="s">
        <v>6</v>
      </c>
      <c r="D29" s="20" t="s">
        <v>50</v>
      </c>
      <c r="E29" s="20" t="s">
        <v>136</v>
      </c>
      <c r="F29" s="20" t="s">
        <v>199</v>
      </c>
      <c r="G29" s="20" t="s">
        <v>257</v>
      </c>
      <c r="H29" s="20" t="s">
        <v>312</v>
      </c>
      <c r="I29" s="56" t="s">
        <v>496</v>
      </c>
      <c r="J29" s="20" t="s">
        <v>365</v>
      </c>
      <c r="K29" s="47" t="s">
        <v>439</v>
      </c>
      <c r="L29" s="20">
        <v>2</v>
      </c>
      <c r="M29" s="20">
        <f t="shared" ref="M29" si="21">L29*5</f>
        <v>10</v>
      </c>
      <c r="N29" s="20">
        <v>20</v>
      </c>
      <c r="O29" s="49" t="s">
        <v>479</v>
      </c>
      <c r="P29" s="21">
        <v>1.83E-2</v>
      </c>
      <c r="Q29" s="21">
        <f t="shared" ref="Q29" si="22">P29*N29</f>
        <v>0.36599999999999999</v>
      </c>
      <c r="R29" s="20"/>
    </row>
    <row r="30" spans="1:18" x14ac:dyDescent="0.25">
      <c r="A30" s="1"/>
      <c r="B30" s="16">
        <f>ROW(B30) - ROW($B$7)</f>
        <v>23</v>
      </c>
      <c r="C30" s="23" t="s">
        <v>8</v>
      </c>
      <c r="D30" s="14" t="s">
        <v>51</v>
      </c>
      <c r="E30" s="14" t="s">
        <v>137</v>
      </c>
      <c r="F30" s="14" t="s">
        <v>205</v>
      </c>
      <c r="G30" s="14" t="s">
        <v>258</v>
      </c>
      <c r="H30" s="14" t="s">
        <v>318</v>
      </c>
      <c r="I30" s="56" t="s">
        <v>496</v>
      </c>
      <c r="J30" s="14" t="s">
        <v>366</v>
      </c>
      <c r="K30" s="46" t="s">
        <v>367</v>
      </c>
      <c r="L30" s="14">
        <v>2</v>
      </c>
      <c r="M30" s="14">
        <f>L30*5</f>
        <v>10</v>
      </c>
      <c r="N30" s="20">
        <v>25</v>
      </c>
      <c r="O30" s="49" t="s">
        <v>479</v>
      </c>
      <c r="P30" s="21">
        <v>0.10249999999999999</v>
      </c>
      <c r="Q30" s="15">
        <f>P30*N30</f>
        <v>2.5625</v>
      </c>
      <c r="R30" s="14"/>
    </row>
    <row r="31" spans="1:18" ht="24" x14ac:dyDescent="0.25">
      <c r="A31" s="1"/>
      <c r="B31" s="17">
        <f t="shared" si="0"/>
        <v>24</v>
      </c>
      <c r="C31" s="23" t="s">
        <v>8</v>
      </c>
      <c r="D31" s="20" t="s">
        <v>52</v>
      </c>
      <c r="E31" s="20" t="s">
        <v>481</v>
      </c>
      <c r="F31" s="20" t="s">
        <v>482</v>
      </c>
      <c r="G31" s="20" t="s">
        <v>483</v>
      </c>
      <c r="H31" s="20" t="s">
        <v>484</v>
      </c>
      <c r="I31" s="55" t="s">
        <v>485</v>
      </c>
      <c r="J31" s="20" t="s">
        <v>486</v>
      </c>
      <c r="K31" s="46" t="s">
        <v>367</v>
      </c>
      <c r="L31" s="20">
        <v>2</v>
      </c>
      <c r="M31" s="20">
        <f t="shared" ref="M31" si="23">L31*5</f>
        <v>10</v>
      </c>
      <c r="N31" s="20">
        <v>40</v>
      </c>
      <c r="O31" s="49" t="s">
        <v>479</v>
      </c>
      <c r="P31" s="21">
        <v>2.4E-2</v>
      </c>
      <c r="Q31" s="21">
        <f t="shared" ref="Q31" si="24">P31*N31</f>
        <v>0.96</v>
      </c>
      <c r="R31" s="20"/>
    </row>
    <row r="32" spans="1:18" x14ac:dyDescent="0.25">
      <c r="A32" s="1"/>
      <c r="B32" s="16">
        <f>ROW(B32) - ROW($B$7)</f>
        <v>25</v>
      </c>
      <c r="C32" s="22" t="s">
        <v>8</v>
      </c>
      <c r="D32" s="14" t="s">
        <v>53</v>
      </c>
      <c r="E32" s="14" t="s">
        <v>138</v>
      </c>
      <c r="F32" s="14" t="s">
        <v>206</v>
      </c>
      <c r="G32" s="14" t="s">
        <v>259</v>
      </c>
      <c r="H32" s="14" t="s">
        <v>319</v>
      </c>
      <c r="I32" s="55" t="s">
        <v>485</v>
      </c>
      <c r="J32" s="20" t="s">
        <v>487</v>
      </c>
      <c r="K32" s="46" t="s">
        <v>367</v>
      </c>
      <c r="L32" s="14">
        <v>1</v>
      </c>
      <c r="M32" s="14">
        <f>L32*5</f>
        <v>5</v>
      </c>
      <c r="N32" s="20">
        <v>10</v>
      </c>
      <c r="O32" s="49" t="s">
        <v>479</v>
      </c>
      <c r="P32" s="21">
        <v>0.153</v>
      </c>
      <c r="Q32" s="15">
        <f>P32*N32</f>
        <v>1.53</v>
      </c>
      <c r="R32" s="14"/>
    </row>
    <row r="33" spans="1:18" x14ac:dyDescent="0.25">
      <c r="A33" s="1"/>
      <c r="B33" s="17">
        <f t="shared" si="0"/>
        <v>26</v>
      </c>
      <c r="C33" s="23" t="s">
        <v>8</v>
      </c>
      <c r="D33" s="20" t="s">
        <v>54</v>
      </c>
      <c r="E33" s="20" t="s">
        <v>139</v>
      </c>
      <c r="F33" s="20" t="s">
        <v>207</v>
      </c>
      <c r="G33" s="20" t="s">
        <v>260</v>
      </c>
      <c r="H33" s="20" t="s">
        <v>320</v>
      </c>
      <c r="I33" s="55" t="s">
        <v>485</v>
      </c>
      <c r="J33" s="20" t="s">
        <v>368</v>
      </c>
      <c r="K33" s="46" t="s">
        <v>367</v>
      </c>
      <c r="L33" s="20">
        <v>1</v>
      </c>
      <c r="M33" s="20">
        <f t="shared" ref="M33" si="25">L33*5</f>
        <v>5</v>
      </c>
      <c r="N33" s="20">
        <v>20</v>
      </c>
      <c r="O33" s="49" t="s">
        <v>479</v>
      </c>
      <c r="P33" s="21">
        <v>1.9300000000000001E-2</v>
      </c>
      <c r="Q33" s="21">
        <f t="shared" ref="Q33" si="26">P33*N33</f>
        <v>0.38600000000000001</v>
      </c>
      <c r="R33" s="20"/>
    </row>
    <row r="34" spans="1:18" x14ac:dyDescent="0.25">
      <c r="A34" s="1"/>
      <c r="B34" s="16">
        <f>ROW(B34) - ROW($B$7)</f>
        <v>27</v>
      </c>
      <c r="C34" s="22" t="s">
        <v>8</v>
      </c>
      <c r="D34" s="14" t="s">
        <v>55</v>
      </c>
      <c r="E34" s="14" t="s">
        <v>140</v>
      </c>
      <c r="F34" s="14" t="s">
        <v>478</v>
      </c>
      <c r="G34" s="14" t="s">
        <v>261</v>
      </c>
      <c r="H34" s="14" t="s">
        <v>321</v>
      </c>
      <c r="I34" s="55" t="s">
        <v>485</v>
      </c>
      <c r="J34" s="14" t="s">
        <v>369</v>
      </c>
      <c r="K34" s="46" t="s">
        <v>367</v>
      </c>
      <c r="L34" s="14">
        <v>4</v>
      </c>
      <c r="M34" s="14">
        <f>L34*5</f>
        <v>20</v>
      </c>
      <c r="N34" s="20">
        <v>70</v>
      </c>
      <c r="O34" s="49" t="s">
        <v>479</v>
      </c>
      <c r="P34" s="21">
        <v>2.6700000000000002E-2</v>
      </c>
      <c r="Q34" s="15">
        <f>P34*N34</f>
        <v>1.8690000000000002</v>
      </c>
      <c r="R34" s="14"/>
    </row>
    <row r="35" spans="1:18" ht="24" x14ac:dyDescent="0.25">
      <c r="A35" s="1"/>
      <c r="B35" s="17">
        <f t="shared" si="0"/>
        <v>28</v>
      </c>
      <c r="C35" s="23" t="s">
        <v>9</v>
      </c>
      <c r="D35" s="20" t="s">
        <v>56</v>
      </c>
      <c r="E35" s="20" t="s">
        <v>141</v>
      </c>
      <c r="F35" s="20" t="s">
        <v>208</v>
      </c>
      <c r="G35" s="20" t="s">
        <v>262</v>
      </c>
      <c r="H35" s="20" t="s">
        <v>322</v>
      </c>
      <c r="I35" s="55" t="s">
        <v>485</v>
      </c>
      <c r="J35" s="20" t="s">
        <v>370</v>
      </c>
      <c r="K35" s="46" t="s">
        <v>367</v>
      </c>
      <c r="L35" s="20">
        <v>4</v>
      </c>
      <c r="M35" s="20">
        <f t="shared" ref="M35" si="27">L35*5</f>
        <v>20</v>
      </c>
      <c r="N35" s="14">
        <v>30</v>
      </c>
      <c r="O35" s="49" t="s">
        <v>479</v>
      </c>
      <c r="P35" s="15">
        <v>5.5500000000000001E-2</v>
      </c>
      <c r="Q35" s="21">
        <f t="shared" ref="Q35" si="28">P35*N35</f>
        <v>1.665</v>
      </c>
      <c r="R35" s="20"/>
    </row>
    <row r="36" spans="1:18" x14ac:dyDescent="0.25">
      <c r="A36" s="1"/>
      <c r="B36" s="16">
        <f>ROW(B36) - ROW($B$7)</f>
        <v>29</v>
      </c>
      <c r="C36" s="22" t="s">
        <v>10</v>
      </c>
      <c r="D36" s="14" t="s">
        <v>57</v>
      </c>
      <c r="E36" s="14" t="s">
        <v>142</v>
      </c>
      <c r="F36" s="14" t="s">
        <v>209</v>
      </c>
      <c r="G36" s="14" t="s">
        <v>263</v>
      </c>
      <c r="H36" s="14" t="s">
        <v>312</v>
      </c>
      <c r="I36" s="55" t="s">
        <v>485</v>
      </c>
      <c r="J36" s="14" t="s">
        <v>371</v>
      </c>
      <c r="K36" s="46" t="s">
        <v>367</v>
      </c>
      <c r="L36" s="14">
        <v>2</v>
      </c>
      <c r="M36" s="14">
        <f>L36*5</f>
        <v>10</v>
      </c>
      <c r="N36" s="20">
        <v>50</v>
      </c>
      <c r="O36" s="49" t="s">
        <v>479</v>
      </c>
      <c r="P36" s="21">
        <v>7.0000000000000001E-3</v>
      </c>
      <c r="Q36" s="15">
        <f>P36*N36</f>
        <v>0.35000000000000003</v>
      </c>
      <c r="R36" s="14"/>
    </row>
    <row r="37" spans="1:18" ht="24" x14ac:dyDescent="0.25">
      <c r="A37" s="1"/>
      <c r="B37" s="17">
        <f t="shared" si="0"/>
        <v>30</v>
      </c>
      <c r="C37" s="23" t="s">
        <v>11</v>
      </c>
      <c r="D37" s="20" t="s">
        <v>58</v>
      </c>
      <c r="E37" s="20" t="s">
        <v>143</v>
      </c>
      <c r="F37" s="20" t="s">
        <v>477</v>
      </c>
      <c r="G37" s="20" t="s">
        <v>264</v>
      </c>
      <c r="H37" s="20" t="s">
        <v>323</v>
      </c>
      <c r="I37" s="55" t="s">
        <v>485</v>
      </c>
      <c r="J37" s="20" t="s">
        <v>372</v>
      </c>
      <c r="K37" s="46" t="s">
        <v>367</v>
      </c>
      <c r="L37" s="20">
        <v>1</v>
      </c>
      <c r="M37" s="20">
        <f t="shared" ref="M37" si="29">L37*5</f>
        <v>5</v>
      </c>
      <c r="N37" s="20">
        <v>10</v>
      </c>
      <c r="O37" s="49" t="s">
        <v>479</v>
      </c>
      <c r="P37" s="21">
        <v>0.1482</v>
      </c>
      <c r="Q37" s="21">
        <f t="shared" ref="Q37" si="30">P37*N37</f>
        <v>1.482</v>
      </c>
      <c r="R37" s="20"/>
    </row>
    <row r="38" spans="1:18" ht="48" x14ac:dyDescent="0.25">
      <c r="A38" s="1"/>
      <c r="B38" s="16">
        <f>ROW(B38) - ROW($B$7)</f>
        <v>31</v>
      </c>
      <c r="C38" s="22" t="s">
        <v>12</v>
      </c>
      <c r="D38" s="14" t="s">
        <v>59</v>
      </c>
      <c r="E38" s="14" t="s">
        <v>144</v>
      </c>
      <c r="F38" s="14" t="s">
        <v>210</v>
      </c>
      <c r="G38" s="14" t="s">
        <v>265</v>
      </c>
      <c r="H38" s="14" t="s">
        <v>324</v>
      </c>
      <c r="I38" s="55" t="s">
        <v>485</v>
      </c>
      <c r="J38" s="14" t="s">
        <v>373</v>
      </c>
      <c r="K38" s="46" t="s">
        <v>367</v>
      </c>
      <c r="L38" s="14">
        <v>2</v>
      </c>
      <c r="M38" s="14">
        <f>L38*5</f>
        <v>10</v>
      </c>
      <c r="N38" s="14">
        <v>20</v>
      </c>
      <c r="O38" s="49" t="s">
        <v>479</v>
      </c>
      <c r="P38" s="15">
        <v>5.1299999999999998E-2</v>
      </c>
      <c r="Q38" s="15">
        <f>P38*N38</f>
        <v>1.026</v>
      </c>
      <c r="R38" s="14"/>
    </row>
    <row r="39" spans="1:18" x14ac:dyDescent="0.25">
      <c r="A39" s="1"/>
      <c r="B39" s="17">
        <f t="shared" si="0"/>
        <v>32</v>
      </c>
      <c r="C39" s="23" t="s">
        <v>12</v>
      </c>
      <c r="D39" s="20" t="s">
        <v>60</v>
      </c>
      <c r="E39" s="20" t="s">
        <v>145</v>
      </c>
      <c r="F39" s="20" t="s">
        <v>211</v>
      </c>
      <c r="G39" s="48" t="s">
        <v>440</v>
      </c>
      <c r="H39" s="14" t="s">
        <v>488</v>
      </c>
      <c r="I39" s="20" t="s">
        <v>489</v>
      </c>
      <c r="J39" s="14" t="s">
        <v>490</v>
      </c>
      <c r="K39" s="46" t="s">
        <v>367</v>
      </c>
      <c r="L39" s="20">
        <v>1</v>
      </c>
      <c r="M39" s="20">
        <f t="shared" ref="M39" si="31">L39*5</f>
        <v>5</v>
      </c>
      <c r="N39" s="14">
        <v>50</v>
      </c>
      <c r="O39" s="54" t="s">
        <v>479</v>
      </c>
      <c r="P39" s="15">
        <v>1.4500000000000001E-2</v>
      </c>
      <c r="Q39" s="21">
        <f t="shared" ref="Q39" si="32">P39*N39</f>
        <v>0.72500000000000009</v>
      </c>
      <c r="R39" s="20"/>
    </row>
    <row r="40" spans="1:18" ht="60" x14ac:dyDescent="0.25">
      <c r="A40" s="1"/>
      <c r="B40" s="16">
        <f>ROW(B40) - ROW($B$7)</f>
        <v>33</v>
      </c>
      <c r="C40" s="22" t="s">
        <v>13</v>
      </c>
      <c r="D40" s="14" t="s">
        <v>61</v>
      </c>
      <c r="E40" s="14" t="s">
        <v>146</v>
      </c>
      <c r="F40" s="20" t="s">
        <v>477</v>
      </c>
      <c r="G40" s="14" t="s">
        <v>212</v>
      </c>
      <c r="H40" s="14" t="s">
        <v>325</v>
      </c>
      <c r="I40" s="55" t="s">
        <v>485</v>
      </c>
      <c r="J40" s="14" t="s">
        <v>374</v>
      </c>
      <c r="K40" s="46" t="s">
        <v>367</v>
      </c>
      <c r="L40" s="14">
        <v>2</v>
      </c>
      <c r="M40" s="14">
        <f>L40*5</f>
        <v>10</v>
      </c>
      <c r="N40" s="20">
        <v>15</v>
      </c>
      <c r="O40" s="49" t="s">
        <v>479</v>
      </c>
      <c r="P40" s="21">
        <v>0.1066</v>
      </c>
      <c r="Q40" s="15">
        <f>P40*N40</f>
        <v>1.599</v>
      </c>
      <c r="R40" s="14"/>
    </row>
    <row r="41" spans="1:18" ht="36" x14ac:dyDescent="0.25">
      <c r="A41" s="1"/>
      <c r="B41" s="17">
        <f t="shared" si="0"/>
        <v>34</v>
      </c>
      <c r="C41" s="23" t="s">
        <v>14</v>
      </c>
      <c r="D41" s="20" t="s">
        <v>62</v>
      </c>
      <c r="E41" s="20" t="s">
        <v>147</v>
      </c>
      <c r="F41" s="20" t="s">
        <v>477</v>
      </c>
      <c r="G41" s="20" t="s">
        <v>213</v>
      </c>
      <c r="H41" s="20" t="s">
        <v>326</v>
      </c>
      <c r="I41" s="55" t="s">
        <v>485</v>
      </c>
      <c r="J41" s="20" t="s">
        <v>375</v>
      </c>
      <c r="K41" s="46" t="s">
        <v>367</v>
      </c>
      <c r="L41" s="20">
        <v>8</v>
      </c>
      <c r="M41" s="20">
        <f t="shared" ref="M41" si="33">L41*5</f>
        <v>40</v>
      </c>
      <c r="N41" s="20">
        <v>45</v>
      </c>
      <c r="O41" s="54" t="s">
        <v>479</v>
      </c>
      <c r="P41" s="21">
        <v>0.33040000000000003</v>
      </c>
      <c r="Q41" s="21">
        <f t="shared" ref="Q41" si="34">P41*N41</f>
        <v>14.868000000000002</v>
      </c>
      <c r="R41" s="20"/>
    </row>
    <row r="42" spans="1:18" ht="48" x14ac:dyDescent="0.25">
      <c r="A42" s="1"/>
      <c r="B42" s="16">
        <f>ROW(B42) - ROW($B$7)</f>
        <v>35</v>
      </c>
      <c r="C42" s="22" t="s">
        <v>13</v>
      </c>
      <c r="D42" s="14" t="s">
        <v>63</v>
      </c>
      <c r="E42" s="14" t="s">
        <v>148</v>
      </c>
      <c r="F42" s="20" t="s">
        <v>477</v>
      </c>
      <c r="G42" s="14" t="s">
        <v>214</v>
      </c>
      <c r="H42" s="14" t="s">
        <v>325</v>
      </c>
      <c r="I42" s="55" t="s">
        <v>485</v>
      </c>
      <c r="J42" s="14" t="s">
        <v>376</v>
      </c>
      <c r="K42" s="46" t="s">
        <v>367</v>
      </c>
      <c r="L42" s="14">
        <v>4</v>
      </c>
      <c r="M42" s="14">
        <f>L42*5</f>
        <v>20</v>
      </c>
      <c r="N42" s="14">
        <v>25</v>
      </c>
      <c r="O42" s="49" t="s">
        <v>479</v>
      </c>
      <c r="P42" s="15">
        <v>0.21529999999999999</v>
      </c>
      <c r="Q42" s="15">
        <f>P42*N42</f>
        <v>5.3824999999999994</v>
      </c>
      <c r="R42" s="14"/>
    </row>
    <row r="43" spans="1:18" ht="48" x14ac:dyDescent="0.25">
      <c r="A43" s="1"/>
      <c r="B43" s="17">
        <f t="shared" si="0"/>
        <v>36</v>
      </c>
      <c r="C43" s="23" t="s">
        <v>13</v>
      </c>
      <c r="D43" s="20" t="s">
        <v>64</v>
      </c>
      <c r="E43" s="20" t="s">
        <v>149</v>
      </c>
      <c r="F43" s="20" t="s">
        <v>477</v>
      </c>
      <c r="G43" s="20" t="s">
        <v>215</v>
      </c>
      <c r="H43" s="20" t="s">
        <v>327</v>
      </c>
      <c r="I43" s="55" t="s">
        <v>485</v>
      </c>
      <c r="J43" s="20" t="s">
        <v>377</v>
      </c>
      <c r="K43" s="46" t="s">
        <v>367</v>
      </c>
      <c r="L43" s="20">
        <v>1</v>
      </c>
      <c r="M43" s="20">
        <f t="shared" ref="M43" si="35">L43*5</f>
        <v>5</v>
      </c>
      <c r="N43" s="14">
        <v>10</v>
      </c>
      <c r="O43" s="49" t="s">
        <v>479</v>
      </c>
      <c r="P43" s="15">
        <v>0.16550000000000001</v>
      </c>
      <c r="Q43" s="21">
        <f t="shared" ref="Q43" si="36">P43*N43</f>
        <v>1.655</v>
      </c>
      <c r="R43" s="20"/>
    </row>
    <row r="44" spans="1:18" x14ac:dyDescent="0.25">
      <c r="A44" s="1"/>
      <c r="B44" s="16">
        <f>ROW(B44) - ROW($B$7)</f>
        <v>37</v>
      </c>
      <c r="C44" s="22" t="s">
        <v>15</v>
      </c>
      <c r="D44" s="14" t="s">
        <v>65</v>
      </c>
      <c r="E44" s="14" t="s">
        <v>150</v>
      </c>
      <c r="F44" s="20" t="s">
        <v>477</v>
      </c>
      <c r="G44" s="14">
        <v>1715721</v>
      </c>
      <c r="H44" s="14" t="s">
        <v>328</v>
      </c>
      <c r="I44" s="55" t="s">
        <v>485</v>
      </c>
      <c r="J44" s="14" t="s">
        <v>491</v>
      </c>
      <c r="K44" s="46" t="s">
        <v>367</v>
      </c>
      <c r="L44" s="14">
        <v>2</v>
      </c>
      <c r="M44" s="14">
        <f>L44*5</f>
        <v>10</v>
      </c>
      <c r="N44" s="14">
        <v>11</v>
      </c>
      <c r="O44" s="49" t="s">
        <v>479</v>
      </c>
      <c r="P44" s="15">
        <v>0.30509999999999998</v>
      </c>
      <c r="Q44" s="15">
        <f>P44*N44</f>
        <v>3.3560999999999996</v>
      </c>
      <c r="R44" s="14"/>
    </row>
    <row r="45" spans="1:18" ht="36" x14ac:dyDescent="0.25">
      <c r="A45" s="1"/>
      <c r="B45" s="17">
        <f t="shared" si="0"/>
        <v>38</v>
      </c>
      <c r="C45" s="23" t="s">
        <v>16</v>
      </c>
      <c r="D45" s="20" t="s">
        <v>66</v>
      </c>
      <c r="E45" s="20" t="s">
        <v>151</v>
      </c>
      <c r="F45" s="20" t="s">
        <v>477</v>
      </c>
      <c r="G45" s="20" t="s">
        <v>216</v>
      </c>
      <c r="H45" s="20" t="s">
        <v>329</v>
      </c>
      <c r="I45" s="55" t="s">
        <v>485</v>
      </c>
      <c r="J45" s="20" t="s">
        <v>378</v>
      </c>
      <c r="K45" s="46" t="s">
        <v>367</v>
      </c>
      <c r="L45" s="20">
        <v>2</v>
      </c>
      <c r="M45" s="20">
        <f t="shared" ref="M45" si="37">L45*5</f>
        <v>10</v>
      </c>
      <c r="N45" s="14">
        <v>11</v>
      </c>
      <c r="O45" s="49" t="s">
        <v>479</v>
      </c>
      <c r="P45" s="15">
        <v>1.1589</v>
      </c>
      <c r="Q45" s="21">
        <f t="shared" ref="Q45" si="38">P45*N45</f>
        <v>12.747900000000001</v>
      </c>
      <c r="R45" s="20"/>
    </row>
    <row r="46" spans="1:18" ht="24" x14ac:dyDescent="0.25">
      <c r="A46" s="1"/>
      <c r="B46" s="16">
        <f>ROW(B46) - ROW($B$7)</f>
        <v>39</v>
      </c>
      <c r="C46" s="22" t="s">
        <v>15</v>
      </c>
      <c r="D46" s="14" t="s">
        <v>67</v>
      </c>
      <c r="E46" s="14" t="s">
        <v>152</v>
      </c>
      <c r="F46" s="20" t="s">
        <v>477</v>
      </c>
      <c r="G46" s="14" t="s">
        <v>217</v>
      </c>
      <c r="H46" s="14" t="s">
        <v>330</v>
      </c>
      <c r="I46" s="55" t="s">
        <v>485</v>
      </c>
      <c r="J46" s="20" t="s">
        <v>492</v>
      </c>
      <c r="K46" s="46" t="s">
        <v>367</v>
      </c>
      <c r="L46" s="14">
        <v>1</v>
      </c>
      <c r="M46" s="14">
        <f>L46*5</f>
        <v>5</v>
      </c>
      <c r="N46" s="20">
        <v>10</v>
      </c>
      <c r="O46" s="49" t="s">
        <v>479</v>
      </c>
      <c r="P46" s="21">
        <v>9.7199999999999995E-2</v>
      </c>
      <c r="Q46" s="15">
        <f>P46*N46</f>
        <v>0.97199999999999998</v>
      </c>
      <c r="R46" s="14"/>
    </row>
    <row r="47" spans="1:18" x14ac:dyDescent="0.25">
      <c r="A47" s="1"/>
      <c r="B47" s="17">
        <f t="shared" si="0"/>
        <v>40</v>
      </c>
      <c r="C47" s="23" t="s">
        <v>10</v>
      </c>
      <c r="D47" s="20" t="s">
        <v>68</v>
      </c>
      <c r="E47" s="20" t="s">
        <v>153</v>
      </c>
      <c r="F47" s="20" t="s">
        <v>209</v>
      </c>
      <c r="G47" s="20" t="s">
        <v>266</v>
      </c>
      <c r="H47" s="20" t="s">
        <v>312</v>
      </c>
      <c r="I47" s="55" t="s">
        <v>485</v>
      </c>
      <c r="J47" s="20" t="s">
        <v>379</v>
      </c>
      <c r="K47" s="46" t="s">
        <v>367</v>
      </c>
      <c r="L47" s="20">
        <v>1</v>
      </c>
      <c r="M47" s="20">
        <f t="shared" ref="M47" si="39">L47*5</f>
        <v>5</v>
      </c>
      <c r="N47" s="20">
        <v>100</v>
      </c>
      <c r="O47" s="49" t="s">
        <v>479</v>
      </c>
      <c r="P47" s="21">
        <v>3.3E-3</v>
      </c>
      <c r="Q47" s="21">
        <f t="shared" ref="Q47" si="40">P47*N47</f>
        <v>0.33</v>
      </c>
      <c r="R47" s="20"/>
    </row>
    <row r="48" spans="1:18" ht="24" x14ac:dyDescent="0.25">
      <c r="A48" s="1"/>
      <c r="B48" s="16">
        <f>ROW(B48) - ROW($B$7)</f>
        <v>41</v>
      </c>
      <c r="C48" s="22" t="s">
        <v>17</v>
      </c>
      <c r="D48" s="14" t="s">
        <v>69</v>
      </c>
      <c r="E48" s="14" t="s">
        <v>154</v>
      </c>
      <c r="F48" s="20" t="s">
        <v>477</v>
      </c>
      <c r="G48" s="14" t="s">
        <v>267</v>
      </c>
      <c r="H48" s="14" t="s">
        <v>331</v>
      </c>
      <c r="I48" s="55" t="s">
        <v>485</v>
      </c>
      <c r="J48" s="14" t="s">
        <v>380</v>
      </c>
      <c r="K48" s="46" t="s">
        <v>441</v>
      </c>
      <c r="L48" s="14">
        <v>1</v>
      </c>
      <c r="M48" s="14">
        <f>L48*5</f>
        <v>5</v>
      </c>
      <c r="N48" s="14">
        <v>10</v>
      </c>
      <c r="O48" s="49" t="s">
        <v>479</v>
      </c>
      <c r="P48" s="15">
        <v>8.9499999999999996E-2</v>
      </c>
      <c r="Q48" s="15">
        <f>P48*N48</f>
        <v>0.89500000000000002</v>
      </c>
      <c r="R48" s="14"/>
    </row>
    <row r="49" spans="1:18" ht="24" x14ac:dyDescent="0.25">
      <c r="A49" s="1"/>
      <c r="B49" s="17">
        <f t="shared" si="0"/>
        <v>42</v>
      </c>
      <c r="C49" s="23" t="s">
        <v>18</v>
      </c>
      <c r="D49" s="20" t="s">
        <v>70</v>
      </c>
      <c r="E49" s="20" t="s">
        <v>155</v>
      </c>
      <c r="F49" s="20" t="s">
        <v>218</v>
      </c>
      <c r="G49" s="20" t="s">
        <v>268</v>
      </c>
      <c r="H49" s="20" t="s">
        <v>332</v>
      </c>
      <c r="I49" s="55" t="s">
        <v>485</v>
      </c>
      <c r="J49" s="20" t="s">
        <v>381</v>
      </c>
      <c r="K49" s="47" t="s">
        <v>367</v>
      </c>
      <c r="L49" s="20">
        <v>4</v>
      </c>
      <c r="M49" s="20">
        <f t="shared" ref="M49" si="41">L49*5</f>
        <v>20</v>
      </c>
      <c r="N49" s="14">
        <v>40</v>
      </c>
      <c r="O49" s="49" t="s">
        <v>479</v>
      </c>
      <c r="P49" s="15">
        <v>2.2700000000000001E-2</v>
      </c>
      <c r="Q49" s="21">
        <f t="shared" ref="Q49" si="42">P49*N49</f>
        <v>0.90800000000000003</v>
      </c>
      <c r="R49" s="20"/>
    </row>
    <row r="50" spans="1:18" ht="24" x14ac:dyDescent="0.25">
      <c r="A50" s="1"/>
      <c r="B50" s="16">
        <f>ROW(B50) - ROW($B$7)</f>
        <v>43</v>
      </c>
      <c r="C50" s="22" t="s">
        <v>18</v>
      </c>
      <c r="D50" s="14" t="s">
        <v>71</v>
      </c>
      <c r="E50" s="14" t="s">
        <v>156</v>
      </c>
      <c r="F50" s="14" t="s">
        <v>218</v>
      </c>
      <c r="G50" s="14" t="s">
        <v>269</v>
      </c>
      <c r="H50" s="14" t="s">
        <v>332</v>
      </c>
      <c r="I50" s="55" t="s">
        <v>485</v>
      </c>
      <c r="J50" s="14" t="s">
        <v>382</v>
      </c>
      <c r="K50" s="47" t="s">
        <v>367</v>
      </c>
      <c r="L50" s="14">
        <v>4</v>
      </c>
      <c r="M50" s="14">
        <f>L50*5</f>
        <v>20</v>
      </c>
      <c r="N50" s="14">
        <v>40</v>
      </c>
      <c r="O50" s="49" t="s">
        <v>479</v>
      </c>
      <c r="P50" s="15">
        <v>2.1100000000000001E-2</v>
      </c>
      <c r="Q50" s="15">
        <f>P50*N50</f>
        <v>0.84400000000000008</v>
      </c>
      <c r="R50" s="14"/>
    </row>
    <row r="51" spans="1:18" ht="24" x14ac:dyDescent="0.25">
      <c r="A51" s="1"/>
      <c r="B51" s="17">
        <f t="shared" si="0"/>
        <v>44</v>
      </c>
      <c r="C51" s="23" t="s">
        <v>18</v>
      </c>
      <c r="D51" s="20" t="s">
        <v>72</v>
      </c>
      <c r="E51" s="20" t="s">
        <v>157</v>
      </c>
      <c r="F51" s="20" t="s">
        <v>218</v>
      </c>
      <c r="G51" s="20" t="s">
        <v>270</v>
      </c>
      <c r="H51" s="20" t="s">
        <v>332</v>
      </c>
      <c r="I51" s="55" t="s">
        <v>485</v>
      </c>
      <c r="J51" s="20" t="s">
        <v>383</v>
      </c>
      <c r="K51" s="47" t="s">
        <v>367</v>
      </c>
      <c r="L51" s="20">
        <v>1</v>
      </c>
      <c r="M51" s="20">
        <f t="shared" ref="M51" si="43">L51*5</f>
        <v>5</v>
      </c>
      <c r="N51" s="20">
        <v>20</v>
      </c>
      <c r="O51" s="49" t="s">
        <v>479</v>
      </c>
      <c r="P51" s="21">
        <v>2.3400000000000001E-2</v>
      </c>
      <c r="Q51" s="21">
        <f t="shared" ref="Q51" si="44">P51*N51</f>
        <v>0.46800000000000003</v>
      </c>
      <c r="R51" s="20"/>
    </row>
    <row r="52" spans="1:18" x14ac:dyDescent="0.25">
      <c r="A52" s="1"/>
      <c r="B52" s="16">
        <f>ROW(B52) - ROW($B$7)</f>
        <v>45</v>
      </c>
      <c r="C52" s="22" t="s">
        <v>19</v>
      </c>
      <c r="D52" s="14" t="s">
        <v>73</v>
      </c>
      <c r="E52" s="14" t="s">
        <v>158</v>
      </c>
      <c r="F52" s="14" t="s">
        <v>219</v>
      </c>
      <c r="G52" s="14" t="s">
        <v>271</v>
      </c>
      <c r="H52" s="14" t="s">
        <v>333</v>
      </c>
      <c r="I52" s="55" t="s">
        <v>485</v>
      </c>
      <c r="J52" s="14" t="s">
        <v>499</v>
      </c>
      <c r="K52" s="47" t="s">
        <v>367</v>
      </c>
      <c r="L52" s="14">
        <v>8</v>
      </c>
      <c r="M52" s="14">
        <f>L52*5</f>
        <v>40</v>
      </c>
      <c r="N52" s="14">
        <v>45</v>
      </c>
      <c r="O52" s="49" t="s">
        <v>479</v>
      </c>
      <c r="P52" s="15">
        <v>0.23980000000000001</v>
      </c>
      <c r="Q52" s="15">
        <f>P52*N52</f>
        <v>10.791</v>
      </c>
      <c r="R52" s="14"/>
    </row>
    <row r="53" spans="1:18" ht="108" x14ac:dyDescent="0.25">
      <c r="A53" s="1"/>
      <c r="B53" s="17">
        <f t="shared" si="0"/>
        <v>46</v>
      </c>
      <c r="C53" s="23" t="s">
        <v>20</v>
      </c>
      <c r="D53" s="20" t="s">
        <v>74</v>
      </c>
      <c r="E53" s="20" t="s">
        <v>159</v>
      </c>
      <c r="F53" s="20" t="s">
        <v>220</v>
      </c>
      <c r="G53" s="20" t="s">
        <v>272</v>
      </c>
      <c r="H53" s="20" t="s">
        <v>311</v>
      </c>
      <c r="I53" s="55" t="s">
        <v>485</v>
      </c>
      <c r="J53" s="20" t="s">
        <v>384</v>
      </c>
      <c r="K53" s="47" t="s">
        <v>442</v>
      </c>
      <c r="L53" s="20">
        <v>50</v>
      </c>
      <c r="M53" s="20">
        <f t="shared" ref="M53" si="45">L53*5</f>
        <v>250</v>
      </c>
      <c r="N53" s="14">
        <v>300</v>
      </c>
      <c r="O53" s="49" t="s">
        <v>479</v>
      </c>
      <c r="P53" s="15">
        <v>5.0000000000000001E-4</v>
      </c>
      <c r="Q53" s="21">
        <f t="shared" ref="Q53" si="46">P53*N53</f>
        <v>0.15</v>
      </c>
      <c r="R53" s="20"/>
    </row>
    <row r="54" spans="1:18" x14ac:dyDescent="0.25">
      <c r="A54" s="1"/>
      <c r="B54" s="16">
        <f>ROW(B54) - ROW($B$7)</f>
        <v>47</v>
      </c>
      <c r="C54" s="22" t="s">
        <v>20</v>
      </c>
      <c r="D54" s="14" t="s">
        <v>75</v>
      </c>
      <c r="E54" s="14" t="s">
        <v>160</v>
      </c>
      <c r="F54" s="14" t="s">
        <v>220</v>
      </c>
      <c r="G54" s="14" t="s">
        <v>273</v>
      </c>
      <c r="H54" s="14" t="s">
        <v>311</v>
      </c>
      <c r="I54" s="55" t="s">
        <v>485</v>
      </c>
      <c r="J54" s="14" t="s">
        <v>385</v>
      </c>
      <c r="K54" s="46" t="s">
        <v>443</v>
      </c>
      <c r="L54" s="14">
        <v>2</v>
      </c>
      <c r="M54" s="14">
        <f>L54*5</f>
        <v>10</v>
      </c>
      <c r="N54" s="14">
        <v>100</v>
      </c>
      <c r="O54" s="49" t="s">
        <v>479</v>
      </c>
      <c r="P54" s="15">
        <v>6.9999999999999999E-4</v>
      </c>
      <c r="Q54" s="15">
        <f>P54*N54</f>
        <v>6.9999999999999993E-2</v>
      </c>
      <c r="R54" s="14"/>
    </row>
    <row r="55" spans="1:18" x14ac:dyDescent="0.25">
      <c r="A55" s="1"/>
      <c r="B55" s="17">
        <f t="shared" si="0"/>
        <v>48</v>
      </c>
      <c r="C55" s="23" t="s">
        <v>20</v>
      </c>
      <c r="D55" s="20" t="s">
        <v>76</v>
      </c>
      <c r="E55" s="20" t="s">
        <v>161</v>
      </c>
      <c r="F55" s="20" t="s">
        <v>220</v>
      </c>
      <c r="G55" s="20" t="s">
        <v>274</v>
      </c>
      <c r="H55" s="20" t="s">
        <v>311</v>
      </c>
      <c r="I55" s="55" t="s">
        <v>485</v>
      </c>
      <c r="J55" s="20" t="s">
        <v>386</v>
      </c>
      <c r="K55" s="47" t="s">
        <v>444</v>
      </c>
      <c r="L55" s="20">
        <v>1</v>
      </c>
      <c r="M55" s="20">
        <f t="shared" ref="M55" si="47">L55*5</f>
        <v>5</v>
      </c>
      <c r="N55" s="20">
        <v>100</v>
      </c>
      <c r="O55" s="49" t="s">
        <v>479</v>
      </c>
      <c r="P55" s="21">
        <v>2.8E-3</v>
      </c>
      <c r="Q55" s="21">
        <f t="shared" ref="Q55" si="48">P55*N55</f>
        <v>0.27999999999999997</v>
      </c>
      <c r="R55" s="20"/>
    </row>
    <row r="56" spans="1:18" x14ac:dyDescent="0.25">
      <c r="A56" s="1"/>
      <c r="B56" s="16">
        <f>ROW(B56) - ROW($B$7)</f>
        <v>49</v>
      </c>
      <c r="C56" s="22" t="s">
        <v>20</v>
      </c>
      <c r="D56" s="48" t="s">
        <v>77</v>
      </c>
      <c r="E56" s="50" t="s">
        <v>162</v>
      </c>
      <c r="F56" s="45" t="s">
        <v>221</v>
      </c>
      <c r="G56" s="48" t="s">
        <v>275</v>
      </c>
      <c r="H56" s="48" t="s">
        <v>311</v>
      </c>
      <c r="I56" s="55" t="s">
        <v>485</v>
      </c>
      <c r="J56" s="48" t="s">
        <v>387</v>
      </c>
      <c r="K56" s="48" t="s">
        <v>424</v>
      </c>
      <c r="L56" s="48">
        <v>2</v>
      </c>
      <c r="M56" s="48">
        <f>L56*5</f>
        <v>10</v>
      </c>
      <c r="N56" s="52" t="s">
        <v>367</v>
      </c>
      <c r="O56" s="48" t="s">
        <v>479</v>
      </c>
      <c r="P56" s="52" t="s">
        <v>367</v>
      </c>
      <c r="Q56" s="52" t="s">
        <v>367</v>
      </c>
      <c r="R56" s="53" t="s">
        <v>480</v>
      </c>
    </row>
    <row r="57" spans="1:18" x14ac:dyDescent="0.25">
      <c r="A57" s="1"/>
      <c r="B57" s="17">
        <f t="shared" si="0"/>
        <v>50</v>
      </c>
      <c r="C57" s="23" t="s">
        <v>20</v>
      </c>
      <c r="D57" s="20" t="s">
        <v>78</v>
      </c>
      <c r="E57" s="20" t="s">
        <v>162</v>
      </c>
      <c r="F57" s="20" t="s">
        <v>221</v>
      </c>
      <c r="G57" s="20" t="s">
        <v>275</v>
      </c>
      <c r="H57" s="20" t="s">
        <v>311</v>
      </c>
      <c r="I57" s="55" t="s">
        <v>485</v>
      </c>
      <c r="J57" s="20" t="s">
        <v>387</v>
      </c>
      <c r="K57" s="47" t="s">
        <v>445</v>
      </c>
      <c r="L57" s="20">
        <v>2</v>
      </c>
      <c r="M57" s="20">
        <f t="shared" ref="M57" si="49">L57*5</f>
        <v>10</v>
      </c>
      <c r="N57" s="14">
        <v>100</v>
      </c>
      <c r="O57" s="49" t="s">
        <v>479</v>
      </c>
      <c r="P57" s="15">
        <v>1E-3</v>
      </c>
      <c r="Q57" s="21">
        <f t="shared" ref="Q57" si="50">P57*N57</f>
        <v>0.1</v>
      </c>
      <c r="R57" s="20"/>
    </row>
    <row r="58" spans="1:18" x14ac:dyDescent="0.25">
      <c r="A58" s="1"/>
      <c r="B58" s="16">
        <f>ROW(B58) - ROW($B$7)</f>
        <v>51</v>
      </c>
      <c r="C58" s="22" t="s">
        <v>20</v>
      </c>
      <c r="D58" s="14" t="s">
        <v>79</v>
      </c>
      <c r="E58" s="14" t="s">
        <v>163</v>
      </c>
      <c r="F58" s="14" t="s">
        <v>220</v>
      </c>
      <c r="G58" s="14" t="s">
        <v>276</v>
      </c>
      <c r="H58" s="14" t="s">
        <v>311</v>
      </c>
      <c r="I58" s="14"/>
      <c r="J58" s="14" t="s">
        <v>388</v>
      </c>
      <c r="K58" s="46" t="s">
        <v>446</v>
      </c>
      <c r="L58" s="14">
        <v>1</v>
      </c>
      <c r="M58" s="14">
        <f>L58*5</f>
        <v>5</v>
      </c>
      <c r="N58" s="14">
        <v>20</v>
      </c>
      <c r="O58" s="49" t="s">
        <v>479</v>
      </c>
      <c r="P58" s="15">
        <v>2.7400000000000001E-2</v>
      </c>
      <c r="Q58" s="15">
        <f>P58*N58</f>
        <v>0.54800000000000004</v>
      </c>
      <c r="R58" s="14"/>
    </row>
    <row r="59" spans="1:18" x14ac:dyDescent="0.25">
      <c r="A59" s="1"/>
      <c r="B59" s="17">
        <f t="shared" si="0"/>
        <v>52</v>
      </c>
      <c r="C59" s="23" t="s">
        <v>20</v>
      </c>
      <c r="D59" s="20" t="s">
        <v>80</v>
      </c>
      <c r="E59" s="20" t="s">
        <v>164</v>
      </c>
      <c r="F59" s="20" t="s">
        <v>220</v>
      </c>
      <c r="G59" s="20" t="s">
        <v>277</v>
      </c>
      <c r="H59" s="20" t="s">
        <v>311</v>
      </c>
      <c r="I59" s="20"/>
      <c r="J59" s="20" t="s">
        <v>389</v>
      </c>
      <c r="K59" s="47" t="s">
        <v>447</v>
      </c>
      <c r="L59" s="20">
        <v>1</v>
      </c>
      <c r="M59" s="20">
        <f t="shared" ref="M59" si="51">L59*5</f>
        <v>5</v>
      </c>
      <c r="N59" s="20">
        <v>50</v>
      </c>
      <c r="O59" s="54" t="s">
        <v>479</v>
      </c>
      <c r="P59" s="21">
        <v>1.8200000000000001E-2</v>
      </c>
      <c r="Q59" s="21">
        <f t="shared" ref="Q59" si="52">P59*N59</f>
        <v>0.91</v>
      </c>
      <c r="R59" s="20"/>
    </row>
    <row r="60" spans="1:18" x14ac:dyDescent="0.25">
      <c r="A60" s="1"/>
      <c r="B60" s="16">
        <f>ROW(B60) - ROW($B$7)</f>
        <v>53</v>
      </c>
      <c r="C60" s="22" t="s">
        <v>20</v>
      </c>
      <c r="D60" s="14" t="s">
        <v>81</v>
      </c>
      <c r="E60" s="14" t="s">
        <v>165</v>
      </c>
      <c r="F60" s="14" t="s">
        <v>220</v>
      </c>
      <c r="G60" s="14" t="s">
        <v>278</v>
      </c>
      <c r="H60" s="14" t="s">
        <v>311</v>
      </c>
      <c r="I60" s="14"/>
      <c r="J60" s="14" t="s">
        <v>390</v>
      </c>
      <c r="K60" s="46" t="s">
        <v>448</v>
      </c>
      <c r="L60" s="14">
        <v>1</v>
      </c>
      <c r="M60" s="14">
        <f>L60*5</f>
        <v>5</v>
      </c>
      <c r="N60" s="20">
        <v>100</v>
      </c>
      <c r="O60" s="49" t="s">
        <v>479</v>
      </c>
      <c r="P60" s="21">
        <v>5.9999999999999995E-4</v>
      </c>
      <c r="Q60" s="15">
        <f>P60*N60</f>
        <v>0.06</v>
      </c>
      <c r="R60" s="14"/>
    </row>
    <row r="61" spans="1:18" x14ac:dyDescent="0.25">
      <c r="A61" s="1"/>
      <c r="B61" s="17">
        <f t="shared" si="0"/>
        <v>54</v>
      </c>
      <c r="C61" s="23" t="s">
        <v>20</v>
      </c>
      <c r="D61" s="20" t="s">
        <v>82</v>
      </c>
      <c r="E61" s="20" t="s">
        <v>166</v>
      </c>
      <c r="F61" s="20" t="s">
        <v>220</v>
      </c>
      <c r="G61" s="20" t="s">
        <v>279</v>
      </c>
      <c r="H61" s="20" t="s">
        <v>311</v>
      </c>
      <c r="I61" s="20"/>
      <c r="J61" s="20" t="s">
        <v>391</v>
      </c>
      <c r="K61" s="47" t="s">
        <v>449</v>
      </c>
      <c r="L61" s="20">
        <v>1</v>
      </c>
      <c r="M61" s="20">
        <f t="shared" ref="M61" si="53">L61*5</f>
        <v>5</v>
      </c>
      <c r="N61" s="14">
        <v>100</v>
      </c>
      <c r="O61" s="49" t="s">
        <v>479</v>
      </c>
      <c r="P61" s="15">
        <v>6.9999999999999999E-4</v>
      </c>
      <c r="Q61" s="21">
        <f t="shared" ref="Q61" si="54">P61*N61</f>
        <v>6.9999999999999993E-2</v>
      </c>
      <c r="R61" s="20"/>
    </row>
    <row r="62" spans="1:18" x14ac:dyDescent="0.25">
      <c r="A62" s="1"/>
      <c r="B62" s="16">
        <f>ROW(B62) - ROW($B$7)</f>
        <v>55</v>
      </c>
      <c r="C62" s="23" t="s">
        <v>20</v>
      </c>
      <c r="D62" s="14" t="s">
        <v>83</v>
      </c>
      <c r="E62" s="14" t="s">
        <v>167</v>
      </c>
      <c r="F62" s="14" t="s">
        <v>220</v>
      </c>
      <c r="G62" s="14" t="s">
        <v>280</v>
      </c>
      <c r="H62" s="14" t="s">
        <v>311</v>
      </c>
      <c r="I62" s="14"/>
      <c r="J62" s="14" t="s">
        <v>392</v>
      </c>
      <c r="K62" s="46" t="s">
        <v>450</v>
      </c>
      <c r="L62" s="14">
        <v>2</v>
      </c>
      <c r="M62" s="14">
        <f>L62*5</f>
        <v>10</v>
      </c>
      <c r="N62" s="14">
        <v>100</v>
      </c>
      <c r="O62" s="49" t="s">
        <v>479</v>
      </c>
      <c r="P62" s="15">
        <v>6.9999999999999999E-4</v>
      </c>
      <c r="Q62" s="15">
        <f>P62*N62</f>
        <v>6.9999999999999993E-2</v>
      </c>
      <c r="R62" s="14"/>
    </row>
    <row r="63" spans="1:18" x14ac:dyDescent="0.25">
      <c r="A63" s="1"/>
      <c r="B63" s="17">
        <f t="shared" si="0"/>
        <v>56</v>
      </c>
      <c r="C63" s="23" t="s">
        <v>20</v>
      </c>
      <c r="D63" s="20" t="s">
        <v>84</v>
      </c>
      <c r="E63" s="20" t="s">
        <v>168</v>
      </c>
      <c r="F63" s="20" t="s">
        <v>220</v>
      </c>
      <c r="G63" s="20" t="s">
        <v>281</v>
      </c>
      <c r="H63" s="20" t="s">
        <v>311</v>
      </c>
      <c r="I63" s="20"/>
      <c r="J63" s="20" t="s">
        <v>393</v>
      </c>
      <c r="K63" s="47" t="s">
        <v>451</v>
      </c>
      <c r="L63" s="20">
        <v>5</v>
      </c>
      <c r="M63" s="20">
        <f t="shared" ref="M63" si="55">L63*5</f>
        <v>25</v>
      </c>
      <c r="N63" s="14">
        <v>100</v>
      </c>
      <c r="O63" s="49" t="s">
        <v>479</v>
      </c>
      <c r="P63" s="15">
        <v>5.9999999999999995E-4</v>
      </c>
      <c r="Q63" s="21">
        <f t="shared" ref="Q63" si="56">P63*N63</f>
        <v>0.06</v>
      </c>
      <c r="R63" s="20"/>
    </row>
    <row r="64" spans="1:18" x14ac:dyDescent="0.25">
      <c r="A64" s="1"/>
      <c r="B64" s="16">
        <f>ROW(B64) - ROW($B$7)</f>
        <v>57</v>
      </c>
      <c r="C64" s="23" t="s">
        <v>20</v>
      </c>
      <c r="D64" s="14" t="s">
        <v>85</v>
      </c>
      <c r="E64" s="14" t="s">
        <v>169</v>
      </c>
      <c r="F64" s="14" t="s">
        <v>220</v>
      </c>
      <c r="G64" s="14" t="s">
        <v>282</v>
      </c>
      <c r="H64" s="14" t="s">
        <v>334</v>
      </c>
      <c r="I64" s="14"/>
      <c r="J64" s="14" t="s">
        <v>394</v>
      </c>
      <c r="K64" s="46" t="s">
        <v>452</v>
      </c>
      <c r="L64" s="14">
        <v>1</v>
      </c>
      <c r="M64" s="14">
        <f>L64*5</f>
        <v>5</v>
      </c>
      <c r="N64" s="20">
        <v>100</v>
      </c>
      <c r="O64" s="49" t="s">
        <v>479</v>
      </c>
      <c r="P64" s="21">
        <v>6.9999999999999999E-4</v>
      </c>
      <c r="Q64" s="15">
        <f>P64*N64</f>
        <v>6.9999999999999993E-2</v>
      </c>
      <c r="R64" s="14"/>
    </row>
    <row r="65" spans="1:18" ht="36" x14ac:dyDescent="0.25">
      <c r="A65" s="1"/>
      <c r="B65" s="17">
        <f t="shared" si="0"/>
        <v>58</v>
      </c>
      <c r="C65" s="23" t="s">
        <v>20</v>
      </c>
      <c r="D65" s="20" t="s">
        <v>86</v>
      </c>
      <c r="E65" s="20" t="s">
        <v>170</v>
      </c>
      <c r="F65" s="20" t="s">
        <v>221</v>
      </c>
      <c r="G65" s="20" t="s">
        <v>283</v>
      </c>
      <c r="H65" s="20"/>
      <c r="I65" s="20"/>
      <c r="J65" s="20" t="s">
        <v>395</v>
      </c>
      <c r="K65" s="47" t="s">
        <v>453</v>
      </c>
      <c r="L65" s="20">
        <v>2</v>
      </c>
      <c r="M65" s="20">
        <f t="shared" ref="M65" si="57">L65*5</f>
        <v>10</v>
      </c>
      <c r="N65" s="14">
        <v>100</v>
      </c>
      <c r="O65" s="49" t="s">
        <v>479</v>
      </c>
      <c r="P65" s="15">
        <v>5.9999999999999995E-4</v>
      </c>
      <c r="Q65" s="21">
        <f t="shared" ref="Q65" si="58">P65*N65</f>
        <v>0.06</v>
      </c>
      <c r="R65" s="20"/>
    </row>
    <row r="66" spans="1:18" x14ac:dyDescent="0.25">
      <c r="A66" s="1"/>
      <c r="B66" s="16">
        <f>ROW(B66) - ROW($B$7)</f>
        <v>59</v>
      </c>
      <c r="C66" s="23" t="s">
        <v>20</v>
      </c>
      <c r="D66" s="14" t="s">
        <v>87</v>
      </c>
      <c r="E66" s="14" t="s">
        <v>171</v>
      </c>
      <c r="F66" s="14" t="s">
        <v>220</v>
      </c>
      <c r="G66" s="14" t="s">
        <v>284</v>
      </c>
      <c r="H66" s="14" t="s">
        <v>311</v>
      </c>
      <c r="I66" s="14"/>
      <c r="J66" s="14" t="s">
        <v>396</v>
      </c>
      <c r="K66" s="46" t="s">
        <v>454</v>
      </c>
      <c r="L66" s="14">
        <v>1</v>
      </c>
      <c r="M66" s="14">
        <f>L66*5</f>
        <v>5</v>
      </c>
      <c r="N66" s="20">
        <v>100</v>
      </c>
      <c r="O66" s="49" t="s">
        <v>479</v>
      </c>
      <c r="P66" s="21">
        <v>5.9999999999999995E-4</v>
      </c>
      <c r="Q66" s="15">
        <f>P66*N66</f>
        <v>0.06</v>
      </c>
      <c r="R66" s="14"/>
    </row>
    <row r="67" spans="1:18" x14ac:dyDescent="0.25">
      <c r="A67" s="1"/>
      <c r="B67" s="17">
        <f t="shared" si="0"/>
        <v>60</v>
      </c>
      <c r="C67" s="23" t="s">
        <v>20</v>
      </c>
      <c r="D67" s="20" t="s">
        <v>88</v>
      </c>
      <c r="E67" s="20" t="s">
        <v>172</v>
      </c>
      <c r="F67" s="20" t="s">
        <v>220</v>
      </c>
      <c r="G67" s="20" t="s">
        <v>285</v>
      </c>
      <c r="H67" s="20" t="s">
        <v>311</v>
      </c>
      <c r="I67" s="20"/>
      <c r="J67" s="20" t="s">
        <v>397</v>
      </c>
      <c r="K67" s="47" t="s">
        <v>455</v>
      </c>
      <c r="L67" s="20">
        <v>7</v>
      </c>
      <c r="M67" s="20">
        <f t="shared" ref="M67" si="59">L67*5</f>
        <v>35</v>
      </c>
      <c r="N67" s="14">
        <v>100</v>
      </c>
      <c r="O67" s="49" t="s">
        <v>479</v>
      </c>
      <c r="P67" s="15">
        <v>6.9999999999999999E-4</v>
      </c>
      <c r="Q67" s="21">
        <f t="shared" ref="Q67" si="60">P67*N67</f>
        <v>6.9999999999999993E-2</v>
      </c>
      <c r="R67" s="20"/>
    </row>
    <row r="68" spans="1:18" x14ac:dyDescent="0.25">
      <c r="A68" s="1"/>
      <c r="B68" s="16">
        <f>ROW(B68) - ROW($B$7)</f>
        <v>61</v>
      </c>
      <c r="C68" s="22" t="s">
        <v>20</v>
      </c>
      <c r="D68" s="14" t="s">
        <v>89</v>
      </c>
      <c r="E68" s="14" t="s">
        <v>173</v>
      </c>
      <c r="F68" s="14" t="s">
        <v>222</v>
      </c>
      <c r="G68" s="14" t="s">
        <v>286</v>
      </c>
      <c r="H68" s="14" t="s">
        <v>311</v>
      </c>
      <c r="I68" s="14"/>
      <c r="J68" s="14" t="s">
        <v>398</v>
      </c>
      <c r="K68" s="46" t="s">
        <v>456</v>
      </c>
      <c r="L68" s="14">
        <v>4</v>
      </c>
      <c r="M68" s="14">
        <f>L68*5</f>
        <v>20</v>
      </c>
      <c r="N68" s="20">
        <v>100</v>
      </c>
      <c r="O68" s="49" t="s">
        <v>479</v>
      </c>
      <c r="P68" s="21">
        <v>8.9999999999999998E-4</v>
      </c>
      <c r="Q68" s="15">
        <f>P68*N68</f>
        <v>0.09</v>
      </c>
      <c r="R68" s="14"/>
    </row>
    <row r="69" spans="1:18" x14ac:dyDescent="0.25">
      <c r="A69" s="1"/>
      <c r="B69" s="17">
        <f t="shared" si="0"/>
        <v>62</v>
      </c>
      <c r="C69" s="23" t="s">
        <v>20</v>
      </c>
      <c r="D69" s="20" t="s">
        <v>90</v>
      </c>
      <c r="E69" s="20" t="s">
        <v>174</v>
      </c>
      <c r="F69" s="20" t="s">
        <v>221</v>
      </c>
      <c r="G69" s="20" t="s">
        <v>287</v>
      </c>
      <c r="H69" s="20" t="s">
        <v>311</v>
      </c>
      <c r="I69" s="20"/>
      <c r="J69" s="20" t="s">
        <v>399</v>
      </c>
      <c r="K69" s="47" t="s">
        <v>457</v>
      </c>
      <c r="L69" s="20">
        <v>1</v>
      </c>
      <c r="M69" s="20">
        <f t="shared" ref="M69" si="61">L69*5</f>
        <v>5</v>
      </c>
      <c r="N69" s="14">
        <v>100</v>
      </c>
      <c r="O69" s="49" t="s">
        <v>479</v>
      </c>
      <c r="P69" s="15">
        <v>1E-3</v>
      </c>
      <c r="Q69" s="21">
        <f t="shared" ref="Q69" si="62">P69*N69</f>
        <v>0.1</v>
      </c>
      <c r="R69" s="20"/>
    </row>
    <row r="70" spans="1:18" ht="36" x14ac:dyDescent="0.25">
      <c r="A70" s="1"/>
      <c r="B70" s="16">
        <f>ROW(B70) - ROW($B$7)</f>
        <v>63</v>
      </c>
      <c r="C70" s="22" t="s">
        <v>20</v>
      </c>
      <c r="D70" s="14" t="s">
        <v>91</v>
      </c>
      <c r="E70" s="14" t="s">
        <v>175</v>
      </c>
      <c r="F70" s="14" t="s">
        <v>220</v>
      </c>
      <c r="G70" s="14" t="s">
        <v>288</v>
      </c>
      <c r="H70" s="14" t="s">
        <v>311</v>
      </c>
      <c r="I70" s="14"/>
      <c r="J70" s="14" t="s">
        <v>400</v>
      </c>
      <c r="K70" s="46" t="s">
        <v>458</v>
      </c>
      <c r="L70" s="14">
        <v>16</v>
      </c>
      <c r="M70" s="14">
        <f>L70*5</f>
        <v>80</v>
      </c>
      <c r="N70" s="20">
        <v>100</v>
      </c>
      <c r="O70" s="49" t="s">
        <v>479</v>
      </c>
      <c r="P70" s="21">
        <v>6.9999999999999999E-4</v>
      </c>
      <c r="Q70" s="15">
        <f>P70*N70</f>
        <v>6.9999999999999993E-2</v>
      </c>
      <c r="R70" s="14"/>
    </row>
    <row r="71" spans="1:18" ht="48" x14ac:dyDescent="0.25">
      <c r="A71" s="1"/>
      <c r="B71" s="17">
        <f t="shared" si="0"/>
        <v>64</v>
      </c>
      <c r="C71" s="23" t="s">
        <v>21</v>
      </c>
      <c r="D71" s="20" t="s">
        <v>92</v>
      </c>
      <c r="E71" s="20" t="s">
        <v>176</v>
      </c>
      <c r="F71" s="20" t="s">
        <v>223</v>
      </c>
      <c r="G71" s="20" t="s">
        <v>289</v>
      </c>
      <c r="H71" s="20" t="s">
        <v>335</v>
      </c>
      <c r="I71" s="20"/>
      <c r="J71" s="20" t="s">
        <v>401</v>
      </c>
      <c r="K71" s="47" t="s">
        <v>459</v>
      </c>
      <c r="L71" s="20">
        <v>8</v>
      </c>
      <c r="M71" s="20">
        <f t="shared" ref="M71" si="63">L71*5</f>
        <v>40</v>
      </c>
      <c r="N71" s="20">
        <v>50</v>
      </c>
      <c r="O71" s="54" t="s">
        <v>479</v>
      </c>
      <c r="P71" s="21">
        <v>5.67E-2</v>
      </c>
      <c r="Q71" s="21">
        <f t="shared" ref="Q71" si="64">P71*N71</f>
        <v>2.835</v>
      </c>
      <c r="R71" s="20"/>
    </row>
    <row r="72" spans="1:18" ht="24" x14ac:dyDescent="0.25">
      <c r="A72" s="1"/>
      <c r="B72" s="16">
        <f>ROW(B72) - ROW($B$7)</f>
        <v>65</v>
      </c>
      <c r="C72" s="22" t="s">
        <v>20</v>
      </c>
      <c r="D72" s="14" t="s">
        <v>93</v>
      </c>
      <c r="E72" s="14" t="s">
        <v>177</v>
      </c>
      <c r="F72" s="14" t="s">
        <v>221</v>
      </c>
      <c r="G72" s="14" t="s">
        <v>290</v>
      </c>
      <c r="H72" s="14" t="s">
        <v>311</v>
      </c>
      <c r="I72" s="14"/>
      <c r="J72" s="14" t="s">
        <v>402</v>
      </c>
      <c r="K72" s="46" t="s">
        <v>460</v>
      </c>
      <c r="L72" s="14">
        <v>8</v>
      </c>
      <c r="M72" s="14">
        <f>L72*5</f>
        <v>40</v>
      </c>
      <c r="N72" s="14">
        <v>100</v>
      </c>
      <c r="O72" s="49" t="s">
        <v>479</v>
      </c>
      <c r="P72" s="15">
        <v>1.1999999999999999E-3</v>
      </c>
      <c r="Q72" s="15">
        <f>P72*N72</f>
        <v>0.12</v>
      </c>
      <c r="R72" s="14"/>
    </row>
    <row r="73" spans="1:18" x14ac:dyDescent="0.25">
      <c r="A73" s="1"/>
      <c r="B73" s="17">
        <f t="shared" si="0"/>
        <v>66</v>
      </c>
      <c r="C73" s="23" t="s">
        <v>20</v>
      </c>
      <c r="D73" s="20" t="s">
        <v>94</v>
      </c>
      <c r="E73" s="20" t="s">
        <v>178</v>
      </c>
      <c r="F73" s="20" t="s">
        <v>220</v>
      </c>
      <c r="G73" s="20" t="s">
        <v>291</v>
      </c>
      <c r="H73" s="20" t="s">
        <v>311</v>
      </c>
      <c r="I73" s="20"/>
      <c r="J73" s="20" t="s">
        <v>403</v>
      </c>
      <c r="K73" s="47" t="s">
        <v>445</v>
      </c>
      <c r="L73" s="20">
        <v>2</v>
      </c>
      <c r="M73" s="20">
        <f t="shared" ref="M73" si="65">L73*5</f>
        <v>10</v>
      </c>
      <c r="N73" s="20">
        <v>100</v>
      </c>
      <c r="O73" s="54" t="s">
        <v>479</v>
      </c>
      <c r="P73" s="21">
        <v>1E-3</v>
      </c>
      <c r="Q73" s="21">
        <f t="shared" ref="Q73" si="66">P73*N73</f>
        <v>0.1</v>
      </c>
      <c r="R73" s="20"/>
    </row>
    <row r="74" spans="1:18" ht="60" x14ac:dyDescent="0.25">
      <c r="A74" s="1"/>
      <c r="B74" s="16">
        <f>ROW(B74) - ROW($B$7)</f>
        <v>67</v>
      </c>
      <c r="C74" s="22" t="s">
        <v>22</v>
      </c>
      <c r="D74" s="14" t="s">
        <v>95</v>
      </c>
      <c r="E74" s="14" t="s">
        <v>179</v>
      </c>
      <c r="F74" s="14" t="s">
        <v>220</v>
      </c>
      <c r="G74" s="14" t="s">
        <v>292</v>
      </c>
      <c r="H74" s="14" t="s">
        <v>336</v>
      </c>
      <c r="I74" s="14"/>
      <c r="J74" s="14" t="s">
        <v>404</v>
      </c>
      <c r="K74" s="46" t="s">
        <v>461</v>
      </c>
      <c r="L74" s="14">
        <v>24</v>
      </c>
      <c r="M74" s="14">
        <f>L74*5</f>
        <v>120</v>
      </c>
      <c r="N74" s="14">
        <v>200</v>
      </c>
      <c r="O74" s="49" t="s">
        <v>479</v>
      </c>
      <c r="P74" s="15">
        <v>4.8999999999999998E-3</v>
      </c>
      <c r="Q74" s="15">
        <f>P74*N74</f>
        <v>0.98</v>
      </c>
      <c r="R74" s="14"/>
    </row>
    <row r="75" spans="1:18" ht="60" x14ac:dyDescent="0.25">
      <c r="A75" s="1"/>
      <c r="B75" s="17">
        <f t="shared" si="0"/>
        <v>68</v>
      </c>
      <c r="C75" s="23" t="s">
        <v>22</v>
      </c>
      <c r="D75" s="20" t="s">
        <v>96</v>
      </c>
      <c r="E75" s="20" t="s">
        <v>180</v>
      </c>
      <c r="F75" s="20" t="s">
        <v>220</v>
      </c>
      <c r="G75" s="20" t="s">
        <v>293</v>
      </c>
      <c r="H75" s="20" t="s">
        <v>311</v>
      </c>
      <c r="I75" s="20"/>
      <c r="J75" s="20" t="s">
        <v>405</v>
      </c>
      <c r="K75" s="47" t="s">
        <v>445</v>
      </c>
      <c r="L75" s="20">
        <v>24</v>
      </c>
      <c r="M75" s="20">
        <f t="shared" ref="M75" si="67">L75*5</f>
        <v>120</v>
      </c>
      <c r="N75" s="20">
        <v>200</v>
      </c>
      <c r="O75" s="49" t="s">
        <v>479</v>
      </c>
      <c r="P75" s="21">
        <v>5.9999999999999995E-4</v>
      </c>
      <c r="Q75" s="21">
        <f t="shared" ref="Q75" si="68">P75*N75</f>
        <v>0.12</v>
      </c>
      <c r="R75" s="20"/>
    </row>
    <row r="76" spans="1:18" x14ac:dyDescent="0.25">
      <c r="A76" s="1"/>
      <c r="B76" s="16">
        <f>ROW(B76) - ROW($B$7)</f>
        <v>69</v>
      </c>
      <c r="C76" s="22" t="s">
        <v>20</v>
      </c>
      <c r="D76" s="14" t="s">
        <v>97</v>
      </c>
      <c r="E76" s="14" t="s">
        <v>181</v>
      </c>
      <c r="F76" s="14" t="s">
        <v>220</v>
      </c>
      <c r="G76" s="14" t="s">
        <v>294</v>
      </c>
      <c r="H76" s="14" t="s">
        <v>311</v>
      </c>
      <c r="I76" s="14"/>
      <c r="J76" s="14" t="s">
        <v>406</v>
      </c>
      <c r="K76" s="46" t="s">
        <v>462</v>
      </c>
      <c r="L76" s="14">
        <v>1</v>
      </c>
      <c r="M76" s="14">
        <f>L76*5</f>
        <v>5</v>
      </c>
      <c r="N76" s="20">
        <v>50</v>
      </c>
      <c r="O76" s="49" t="s">
        <v>479</v>
      </c>
      <c r="P76" s="21">
        <v>2.0400000000000001E-2</v>
      </c>
      <c r="Q76" s="15">
        <f>P76*N76</f>
        <v>1.02</v>
      </c>
      <c r="R76" s="14"/>
    </row>
    <row r="77" spans="1:18" x14ac:dyDescent="0.25">
      <c r="A77" s="1"/>
      <c r="B77" s="17">
        <f t="shared" si="0"/>
        <v>70</v>
      </c>
      <c r="C77" s="23" t="s">
        <v>20</v>
      </c>
      <c r="D77" s="48" t="s">
        <v>98</v>
      </c>
      <c r="E77" s="50" t="s">
        <v>172</v>
      </c>
      <c r="F77" s="45" t="s">
        <v>220</v>
      </c>
      <c r="G77" s="48" t="s">
        <v>285</v>
      </c>
      <c r="H77" s="48" t="s">
        <v>311</v>
      </c>
      <c r="I77" s="51"/>
      <c r="J77" s="48" t="s">
        <v>397</v>
      </c>
      <c r="K77" s="48" t="s">
        <v>424</v>
      </c>
      <c r="L77" s="48">
        <v>1</v>
      </c>
      <c r="M77" s="48">
        <f t="shared" ref="M77" si="69">L77*5</f>
        <v>5</v>
      </c>
      <c r="N77" s="52" t="s">
        <v>367</v>
      </c>
      <c r="O77" s="48" t="s">
        <v>479</v>
      </c>
      <c r="P77" s="52" t="s">
        <v>367</v>
      </c>
      <c r="Q77" s="52" t="s">
        <v>367</v>
      </c>
      <c r="R77" s="53" t="s">
        <v>480</v>
      </c>
    </row>
    <row r="78" spans="1:18" x14ac:dyDescent="0.25">
      <c r="A78" s="1"/>
      <c r="B78" s="16">
        <f>ROW(B78) - ROW($B$7)</f>
        <v>71</v>
      </c>
      <c r="C78" s="22" t="s">
        <v>20</v>
      </c>
      <c r="D78" s="14" t="s">
        <v>99</v>
      </c>
      <c r="E78" s="14" t="s">
        <v>182</v>
      </c>
      <c r="F78" s="14" t="s">
        <v>221</v>
      </c>
      <c r="G78" s="14" t="s">
        <v>295</v>
      </c>
      <c r="H78" s="14" t="s">
        <v>311</v>
      </c>
      <c r="I78" s="14"/>
      <c r="J78" s="14" t="s">
        <v>407</v>
      </c>
      <c r="K78" s="46" t="s">
        <v>463</v>
      </c>
      <c r="L78" s="14">
        <v>2</v>
      </c>
      <c r="M78" s="14">
        <f>L78*5</f>
        <v>10</v>
      </c>
      <c r="N78" s="14">
        <v>100</v>
      </c>
      <c r="O78" s="49" t="s">
        <v>479</v>
      </c>
      <c r="P78" s="15">
        <v>1E-3</v>
      </c>
      <c r="Q78" s="15">
        <f>P78*N78</f>
        <v>0.1</v>
      </c>
      <c r="R78" s="14"/>
    </row>
    <row r="79" spans="1:18" x14ac:dyDescent="0.25">
      <c r="A79" s="1"/>
      <c r="B79" s="17">
        <f t="shared" si="0"/>
        <v>72</v>
      </c>
      <c r="C79" s="23" t="s">
        <v>23</v>
      </c>
      <c r="D79" s="20" t="s">
        <v>100</v>
      </c>
      <c r="E79" s="20" t="s">
        <v>183</v>
      </c>
      <c r="F79" s="20" t="s">
        <v>224</v>
      </c>
      <c r="G79" s="20" t="s">
        <v>224</v>
      </c>
      <c r="H79" s="20" t="s">
        <v>337</v>
      </c>
      <c r="I79" s="20"/>
      <c r="J79" s="20" t="s">
        <v>408</v>
      </c>
      <c r="K79" s="47" t="s">
        <v>367</v>
      </c>
      <c r="L79" s="20">
        <v>2</v>
      </c>
      <c r="M79" s="20">
        <f t="shared" ref="M79" si="70">L79*5</f>
        <v>10</v>
      </c>
      <c r="N79" s="14">
        <v>15</v>
      </c>
      <c r="O79" s="49" t="s">
        <v>479</v>
      </c>
      <c r="P79" s="15">
        <v>0.1552</v>
      </c>
      <c r="Q79" s="21">
        <f t="shared" ref="Q79" si="71">P79*N79</f>
        <v>2.3280000000000003</v>
      </c>
      <c r="R79" s="20"/>
    </row>
    <row r="80" spans="1:18" x14ac:dyDescent="0.25">
      <c r="A80" s="1"/>
      <c r="B80" s="16">
        <f>ROW(B80) - ROW($B$7)</f>
        <v>73</v>
      </c>
      <c r="C80" s="22" t="s">
        <v>24</v>
      </c>
      <c r="D80" s="14" t="s">
        <v>101</v>
      </c>
      <c r="E80" s="14" t="s">
        <v>184</v>
      </c>
      <c r="F80" s="14" t="s">
        <v>225</v>
      </c>
      <c r="G80" s="14" t="s">
        <v>296</v>
      </c>
      <c r="H80" s="14" t="s">
        <v>338</v>
      </c>
      <c r="I80" s="14"/>
      <c r="J80" s="14" t="s">
        <v>409</v>
      </c>
      <c r="K80" s="47" t="s">
        <v>367</v>
      </c>
      <c r="L80" s="14">
        <v>1</v>
      </c>
      <c r="M80" s="14">
        <f>L80*5</f>
        <v>5</v>
      </c>
      <c r="N80" s="20">
        <v>6</v>
      </c>
      <c r="O80" s="49" t="s">
        <v>479</v>
      </c>
      <c r="P80" s="21">
        <v>2.6966000000000001</v>
      </c>
      <c r="Q80" s="15">
        <f>P80*N80</f>
        <v>16.179600000000001</v>
      </c>
      <c r="R80" s="14"/>
    </row>
    <row r="81" spans="1:18" x14ac:dyDescent="0.25">
      <c r="A81" s="1"/>
      <c r="B81" s="17">
        <f t="shared" si="0"/>
        <v>74</v>
      </c>
      <c r="C81" s="23" t="s">
        <v>25</v>
      </c>
      <c r="D81" s="20" t="s">
        <v>102</v>
      </c>
      <c r="E81" s="20" t="s">
        <v>185</v>
      </c>
      <c r="F81" s="20" t="s">
        <v>226</v>
      </c>
      <c r="G81" s="20" t="s">
        <v>297</v>
      </c>
      <c r="H81" s="20" t="s">
        <v>319</v>
      </c>
      <c r="I81" s="20"/>
      <c r="J81" s="20" t="s">
        <v>410</v>
      </c>
      <c r="K81" s="47" t="s">
        <v>367</v>
      </c>
      <c r="L81" s="20">
        <v>1</v>
      </c>
      <c r="M81" s="20">
        <f t="shared" ref="M81" si="72">L81*5</f>
        <v>5</v>
      </c>
      <c r="N81" s="20">
        <v>6</v>
      </c>
      <c r="O81" s="54" t="s">
        <v>479</v>
      </c>
      <c r="P81" s="21">
        <v>0.41870000000000002</v>
      </c>
      <c r="Q81" s="21">
        <f t="shared" ref="Q81" si="73">P81*N81</f>
        <v>2.5122</v>
      </c>
      <c r="R81" s="20"/>
    </row>
    <row r="82" spans="1:18" ht="36" x14ac:dyDescent="0.25">
      <c r="A82" s="1"/>
      <c r="B82" s="16">
        <f>ROW(B82) - ROW($B$7)</f>
        <v>75</v>
      </c>
      <c r="C82" s="22" t="s">
        <v>25</v>
      </c>
      <c r="D82" s="14" t="s">
        <v>103</v>
      </c>
      <c r="E82" s="14" t="s">
        <v>186</v>
      </c>
      <c r="F82" s="14" t="s">
        <v>227</v>
      </c>
      <c r="G82" s="14" t="s">
        <v>298</v>
      </c>
      <c r="H82" s="14" t="s">
        <v>339</v>
      </c>
      <c r="I82" s="14"/>
      <c r="J82" s="14" t="s">
        <v>411</v>
      </c>
      <c r="K82" s="47" t="s">
        <v>367</v>
      </c>
      <c r="L82" s="14">
        <v>1</v>
      </c>
      <c r="M82" s="14">
        <f>L82*5</f>
        <v>5</v>
      </c>
      <c r="N82" s="14">
        <v>10</v>
      </c>
      <c r="O82" s="49" t="s">
        <v>479</v>
      </c>
      <c r="P82" s="15">
        <v>0.1706</v>
      </c>
      <c r="Q82" s="15">
        <f>P82*N82</f>
        <v>1.706</v>
      </c>
      <c r="R82" s="14"/>
    </row>
    <row r="83" spans="1:18" ht="24" x14ac:dyDescent="0.25">
      <c r="A83" s="1"/>
      <c r="B83" s="17">
        <f t="shared" si="0"/>
        <v>76</v>
      </c>
      <c r="C83" s="23" t="s">
        <v>25</v>
      </c>
      <c r="D83" s="20" t="s">
        <v>104</v>
      </c>
      <c r="E83" s="20" t="s">
        <v>187</v>
      </c>
      <c r="F83" s="20" t="s">
        <v>228</v>
      </c>
      <c r="G83" s="20" t="s">
        <v>299</v>
      </c>
      <c r="H83" s="20" t="s">
        <v>340</v>
      </c>
      <c r="I83" s="20"/>
      <c r="J83" s="20" t="s">
        <v>412</v>
      </c>
      <c r="K83" s="47" t="s">
        <v>367</v>
      </c>
      <c r="L83" s="20">
        <v>12</v>
      </c>
      <c r="M83" s="20">
        <f t="shared" ref="M83" si="74">L83*5</f>
        <v>60</v>
      </c>
      <c r="N83" s="20">
        <v>61</v>
      </c>
      <c r="O83" s="54" t="s">
        <v>479</v>
      </c>
      <c r="P83" s="21">
        <v>0.71960000000000002</v>
      </c>
      <c r="Q83" s="21">
        <f t="shared" ref="Q83" si="75">P83*N83</f>
        <v>43.895600000000002</v>
      </c>
      <c r="R83" s="20"/>
    </row>
    <row r="84" spans="1:18" x14ac:dyDescent="0.25">
      <c r="A84" s="1"/>
      <c r="B84" s="16">
        <f>ROW(B84) - ROW($B$7)</f>
        <v>77</v>
      </c>
      <c r="C84" s="22" t="s">
        <v>25</v>
      </c>
      <c r="D84" s="14" t="s">
        <v>105</v>
      </c>
      <c r="E84" s="14" t="s">
        <v>188</v>
      </c>
      <c r="F84" s="14" t="s">
        <v>229</v>
      </c>
      <c r="G84" s="14" t="s">
        <v>300</v>
      </c>
      <c r="H84" s="14" t="s">
        <v>340</v>
      </c>
      <c r="I84" s="14"/>
      <c r="J84" s="14" t="s">
        <v>413</v>
      </c>
      <c r="K84" s="47" t="s">
        <v>367</v>
      </c>
      <c r="L84" s="14">
        <v>1</v>
      </c>
      <c r="M84" s="14">
        <f>L84*5</f>
        <v>5</v>
      </c>
      <c r="N84" s="14">
        <v>6</v>
      </c>
      <c r="O84" s="49" t="s">
        <v>479</v>
      </c>
      <c r="P84" s="15">
        <v>2.9133</v>
      </c>
      <c r="Q84" s="15">
        <f>P84*N84</f>
        <v>17.479800000000001</v>
      </c>
      <c r="R84" s="14"/>
    </row>
    <row r="85" spans="1:18" ht="24" x14ac:dyDescent="0.25">
      <c r="A85" s="1"/>
      <c r="B85" s="17">
        <f t="shared" si="0"/>
        <v>78</v>
      </c>
      <c r="C85" s="23" t="s">
        <v>25</v>
      </c>
      <c r="D85" s="20" t="s">
        <v>106</v>
      </c>
      <c r="E85" s="20" t="s">
        <v>189</v>
      </c>
      <c r="F85" s="20" t="s">
        <v>230</v>
      </c>
      <c r="G85" s="20" t="s">
        <v>301</v>
      </c>
      <c r="H85" s="20" t="s">
        <v>341</v>
      </c>
      <c r="I85" s="20"/>
      <c r="J85" s="20" t="s">
        <v>414</v>
      </c>
      <c r="K85" s="47" t="s">
        <v>367</v>
      </c>
      <c r="L85" s="20">
        <v>1</v>
      </c>
      <c r="M85" s="20">
        <f t="shared" ref="M85" si="76">L85*5</f>
        <v>5</v>
      </c>
      <c r="N85" s="20">
        <v>6</v>
      </c>
      <c r="O85" s="49" t="s">
        <v>479</v>
      </c>
      <c r="P85" s="21">
        <v>0.33610000000000001</v>
      </c>
      <c r="Q85" s="21">
        <f t="shared" ref="Q85" si="77">P85*N85</f>
        <v>2.0165999999999999</v>
      </c>
      <c r="R85" s="20"/>
    </row>
    <row r="86" spans="1:18" x14ac:dyDescent="0.25">
      <c r="A86" s="1"/>
      <c r="B86" s="16">
        <f>ROW(B86) - ROW($B$7)</f>
        <v>79</v>
      </c>
      <c r="C86" s="22" t="s">
        <v>25</v>
      </c>
      <c r="D86" s="14" t="s">
        <v>107</v>
      </c>
      <c r="E86" s="14" t="s">
        <v>190</v>
      </c>
      <c r="F86" s="14" t="s">
        <v>231</v>
      </c>
      <c r="G86" s="14" t="s">
        <v>302</v>
      </c>
      <c r="H86" s="14" t="s">
        <v>340</v>
      </c>
      <c r="I86" s="14"/>
      <c r="J86" s="14" t="s">
        <v>415</v>
      </c>
      <c r="K86" s="47" t="s">
        <v>367</v>
      </c>
      <c r="L86" s="14">
        <v>1</v>
      </c>
      <c r="M86" s="14">
        <f>L86*5</f>
        <v>5</v>
      </c>
      <c r="N86" s="20">
        <v>6</v>
      </c>
      <c r="O86" s="49" t="s">
        <v>479</v>
      </c>
      <c r="P86" s="21">
        <v>3.4409999999999998</v>
      </c>
      <c r="Q86" s="15">
        <f>P86*N86</f>
        <v>20.646000000000001</v>
      </c>
      <c r="R86" s="14"/>
    </row>
    <row r="87" spans="1:18" x14ac:dyDescent="0.25">
      <c r="A87" s="1"/>
      <c r="B87" s="17">
        <f t="shared" si="0"/>
        <v>80</v>
      </c>
      <c r="C87" s="23" t="s">
        <v>25</v>
      </c>
      <c r="D87" s="20" t="s">
        <v>108</v>
      </c>
      <c r="E87" s="20" t="s">
        <v>191</v>
      </c>
      <c r="F87" s="20" t="s">
        <v>232</v>
      </c>
      <c r="G87" s="20" t="s">
        <v>303</v>
      </c>
      <c r="H87" s="20" t="s">
        <v>342</v>
      </c>
      <c r="I87" s="20"/>
      <c r="J87" s="20" t="s">
        <v>416</v>
      </c>
      <c r="K87" s="47" t="s">
        <v>367</v>
      </c>
      <c r="L87" s="20">
        <v>2</v>
      </c>
      <c r="M87" s="20">
        <f t="shared" ref="M87" si="78">L87*5</f>
        <v>10</v>
      </c>
      <c r="N87" s="14">
        <v>11</v>
      </c>
      <c r="O87" s="49" t="s">
        <v>479</v>
      </c>
      <c r="P87" s="15">
        <v>1.2928999999999999</v>
      </c>
      <c r="Q87" s="21">
        <f t="shared" ref="Q87" si="79">P87*N87</f>
        <v>14.2219</v>
      </c>
      <c r="R87" s="20"/>
    </row>
    <row r="88" spans="1:18" x14ac:dyDescent="0.25">
      <c r="A88" s="1"/>
      <c r="B88" s="16">
        <f>ROW(B88) - ROW($B$7)</f>
        <v>81</v>
      </c>
      <c r="C88" s="22" t="s">
        <v>25</v>
      </c>
      <c r="D88" s="14" t="s">
        <v>109</v>
      </c>
      <c r="E88" s="14" t="s">
        <v>192</v>
      </c>
      <c r="F88" s="14" t="s">
        <v>233</v>
      </c>
      <c r="G88" s="14" t="s">
        <v>304</v>
      </c>
      <c r="H88" s="14" t="s">
        <v>340</v>
      </c>
      <c r="I88" s="14"/>
      <c r="J88" s="14" t="s">
        <v>417</v>
      </c>
      <c r="K88" s="47" t="s">
        <v>367</v>
      </c>
      <c r="L88" s="14">
        <v>4</v>
      </c>
      <c r="M88" s="14">
        <f>L88*5</f>
        <v>20</v>
      </c>
      <c r="N88" s="14">
        <v>21</v>
      </c>
      <c r="O88" s="49" t="s">
        <v>479</v>
      </c>
      <c r="P88" s="15">
        <v>2.0632999999999999</v>
      </c>
      <c r="Q88" s="15">
        <f>P88*N88</f>
        <v>43.329299999999996</v>
      </c>
      <c r="R88" s="14"/>
    </row>
    <row r="89" spans="1:18" x14ac:dyDescent="0.25">
      <c r="A89" s="1"/>
      <c r="B89" s="17">
        <f t="shared" si="0"/>
        <v>82</v>
      </c>
      <c r="C89" s="23" t="s">
        <v>25</v>
      </c>
      <c r="D89" s="20" t="s">
        <v>110</v>
      </c>
      <c r="E89" s="20" t="s">
        <v>193</v>
      </c>
      <c r="F89" s="20" t="s">
        <v>234</v>
      </c>
      <c r="G89" s="20" t="s">
        <v>305</v>
      </c>
      <c r="H89" s="20" t="s">
        <v>342</v>
      </c>
      <c r="I89" s="20"/>
      <c r="J89" s="14" t="s">
        <v>493</v>
      </c>
      <c r="K89" s="47" t="s">
        <v>367</v>
      </c>
      <c r="L89" s="20">
        <v>1</v>
      </c>
      <c r="M89" s="20">
        <f t="shared" ref="M89" si="80">L89*5</f>
        <v>5</v>
      </c>
      <c r="N89" s="14">
        <v>6</v>
      </c>
      <c r="O89" s="49" t="s">
        <v>479</v>
      </c>
      <c r="P89" s="15">
        <v>8.6266999999999996</v>
      </c>
      <c r="Q89" s="21">
        <f t="shared" ref="Q89" si="81">P89*N89</f>
        <v>51.760199999999998</v>
      </c>
      <c r="R89" s="20"/>
    </row>
    <row r="90" spans="1:18" ht="48" x14ac:dyDescent="0.25">
      <c r="A90" s="1"/>
      <c r="B90" s="16">
        <f>ROW(B90) - ROW($B$7)</f>
        <v>83</v>
      </c>
      <c r="C90" s="22" t="s">
        <v>26</v>
      </c>
      <c r="D90" s="14" t="s">
        <v>111</v>
      </c>
      <c r="E90" s="14" t="s">
        <v>194</v>
      </c>
      <c r="F90" s="14" t="s">
        <v>235</v>
      </c>
      <c r="G90" s="14" t="s">
        <v>306</v>
      </c>
      <c r="H90" s="14" t="s">
        <v>343</v>
      </c>
      <c r="I90" s="14"/>
      <c r="J90" s="14" t="s">
        <v>418</v>
      </c>
      <c r="K90" s="47" t="s">
        <v>367</v>
      </c>
      <c r="L90" s="14">
        <v>24</v>
      </c>
      <c r="M90" s="14">
        <f>L90*5</f>
        <v>120</v>
      </c>
      <c r="N90" s="14">
        <v>125</v>
      </c>
      <c r="O90" s="49" t="s">
        <v>479</v>
      </c>
      <c r="P90" s="15">
        <v>8.8300000000000003E-2</v>
      </c>
      <c r="Q90" s="15">
        <f>P90*N90</f>
        <v>11.0375</v>
      </c>
      <c r="R90" s="14"/>
    </row>
    <row r="91" spans="1:18" x14ac:dyDescent="0.25">
      <c r="A91" s="1"/>
      <c r="B91" s="17">
        <f t="shared" si="0"/>
        <v>84</v>
      </c>
      <c r="C91" s="23" t="s">
        <v>27</v>
      </c>
      <c r="D91" s="48" t="s">
        <v>112</v>
      </c>
      <c r="E91" s="50" t="s">
        <v>195</v>
      </c>
      <c r="F91" s="45" t="s">
        <v>236</v>
      </c>
      <c r="G91" s="48" t="s">
        <v>307</v>
      </c>
      <c r="H91" s="48" t="s">
        <v>344</v>
      </c>
      <c r="I91" s="51"/>
      <c r="J91" s="48" t="s">
        <v>419</v>
      </c>
      <c r="K91" s="48" t="s">
        <v>424</v>
      </c>
      <c r="L91" s="48">
        <v>1</v>
      </c>
      <c r="M91" s="48">
        <f t="shared" ref="M91" si="82">L91*5</f>
        <v>5</v>
      </c>
      <c r="N91" s="52" t="s">
        <v>367</v>
      </c>
      <c r="O91" s="48" t="s">
        <v>479</v>
      </c>
      <c r="P91" s="52" t="s">
        <v>367</v>
      </c>
      <c r="Q91" s="52" t="s">
        <v>367</v>
      </c>
      <c r="R91" s="53" t="s">
        <v>480</v>
      </c>
    </row>
    <row r="92" spans="1:18" ht="24" x14ac:dyDescent="0.25">
      <c r="A92" s="1"/>
      <c r="B92" s="16">
        <f>ROW(B92) - ROW($B$7)</f>
        <v>85</v>
      </c>
      <c r="C92" s="22" t="s">
        <v>27</v>
      </c>
      <c r="D92" s="14" t="s">
        <v>113</v>
      </c>
      <c r="E92" s="14" t="s">
        <v>196</v>
      </c>
      <c r="F92" s="20" t="s">
        <v>477</v>
      </c>
      <c r="G92" s="14" t="s">
        <v>308</v>
      </c>
      <c r="H92" s="14" t="s">
        <v>345</v>
      </c>
      <c r="I92" s="14"/>
      <c r="J92" s="14" t="s">
        <v>420</v>
      </c>
      <c r="K92" s="46" t="s">
        <v>464</v>
      </c>
      <c r="L92" s="14">
        <v>1</v>
      </c>
      <c r="M92" s="14">
        <f>L92*5</f>
        <v>5</v>
      </c>
      <c r="N92" s="20">
        <v>10</v>
      </c>
      <c r="O92" s="49" t="s">
        <v>479</v>
      </c>
      <c r="P92" s="21">
        <v>0.30080000000000001</v>
      </c>
      <c r="Q92" s="15">
        <f>P92*N92</f>
        <v>3.008</v>
      </c>
      <c r="R92" s="14"/>
    </row>
    <row r="93" spans="1:18" ht="24.75" thickBot="1" x14ac:dyDescent="0.3">
      <c r="A93" s="1"/>
      <c r="B93" s="17">
        <f t="shared" si="0"/>
        <v>86</v>
      </c>
      <c r="C93" s="23" t="s">
        <v>27</v>
      </c>
      <c r="D93" s="20" t="s">
        <v>114</v>
      </c>
      <c r="E93" s="20" t="s">
        <v>197</v>
      </c>
      <c r="F93" s="20" t="s">
        <v>237</v>
      </c>
      <c r="G93" s="20" t="s">
        <v>309</v>
      </c>
      <c r="H93" s="20" t="s">
        <v>346</v>
      </c>
      <c r="I93" s="20"/>
      <c r="J93" s="20" t="s">
        <v>421</v>
      </c>
      <c r="K93" s="47" t="s">
        <v>465</v>
      </c>
      <c r="L93" s="20">
        <v>1</v>
      </c>
      <c r="M93" s="20">
        <f t="shared" ref="M93" si="83">L93*5</f>
        <v>5</v>
      </c>
      <c r="N93" s="14">
        <v>10</v>
      </c>
      <c r="O93" s="49" t="s">
        <v>479</v>
      </c>
      <c r="P93" s="15">
        <v>6.5600000000000006E-2</v>
      </c>
      <c r="Q93" s="21">
        <f t="shared" ref="Q93" si="84">P93*N93</f>
        <v>0.65600000000000003</v>
      </c>
      <c r="R93" s="20"/>
    </row>
    <row r="94" spans="1:18" ht="19.5" thickBo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43" t="s">
        <v>3</v>
      </c>
      <c r="O94" s="44"/>
      <c r="P94" s="44"/>
      <c r="Q94" s="18">
        <f>SUM(Q8:Q93)</f>
        <v>339.55759999999998</v>
      </c>
      <c r="R94" s="1"/>
    </row>
    <row r="95" spans="1:18" ht="19.5" thickBo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43" t="s">
        <v>4</v>
      </c>
      <c r="O95" s="44"/>
      <c r="P95" s="44"/>
      <c r="Q95" s="19">
        <f>Q94/5</f>
        <v>67.911519999999996</v>
      </c>
      <c r="R95" s="1"/>
    </row>
    <row r="107" spans="13:13" x14ac:dyDescent="0.25">
      <c r="M107" s="38"/>
    </row>
  </sheetData>
  <mergeCells count="3">
    <mergeCell ref="K1:R1"/>
    <mergeCell ref="N94:P94"/>
    <mergeCell ref="N95:P95"/>
  </mergeCells>
  <hyperlinks>
    <hyperlink ref="O8" r:id="rId1"/>
    <hyperlink ref="O9" r:id="rId2"/>
    <hyperlink ref="O11" r:id="rId3"/>
    <hyperlink ref="O12" r:id="rId4"/>
    <hyperlink ref="O13" r:id="rId5"/>
    <hyperlink ref="O16" r:id="rId6"/>
    <hyperlink ref="O17" r:id="rId7"/>
    <hyperlink ref="O19" r:id="rId8"/>
    <hyperlink ref="O22" r:id="rId9"/>
    <hyperlink ref="O24" r:id="rId10"/>
    <hyperlink ref="O27" r:id="rId11"/>
    <hyperlink ref="O28" r:id="rId12"/>
    <hyperlink ref="O29" r:id="rId13"/>
    <hyperlink ref="O30" r:id="rId14"/>
    <hyperlink ref="O31" r:id="rId15"/>
    <hyperlink ref="O32" r:id="rId16"/>
    <hyperlink ref="O33" r:id="rId17"/>
    <hyperlink ref="O34" r:id="rId18"/>
    <hyperlink ref="O35" r:id="rId19"/>
    <hyperlink ref="O36" r:id="rId20"/>
    <hyperlink ref="O37" r:id="rId21"/>
    <hyperlink ref="O38" r:id="rId22"/>
    <hyperlink ref="O39" r:id="rId23"/>
    <hyperlink ref="O40" r:id="rId24"/>
    <hyperlink ref="O43" r:id="rId25"/>
    <hyperlink ref="O44" r:id="rId26"/>
    <hyperlink ref="O45" r:id="rId27"/>
    <hyperlink ref="O46" r:id="rId28"/>
    <hyperlink ref="O47" r:id="rId29"/>
    <hyperlink ref="O49" r:id="rId30"/>
    <hyperlink ref="O51" r:id="rId31"/>
    <hyperlink ref="O53" r:id="rId32"/>
    <hyperlink ref="O54" r:id="rId33"/>
    <hyperlink ref="O55" r:id="rId34"/>
    <hyperlink ref="O57" r:id="rId35"/>
    <hyperlink ref="O60" r:id="rId36"/>
    <hyperlink ref="O61" r:id="rId37"/>
    <hyperlink ref="O64" r:id="rId38"/>
    <hyperlink ref="O63" r:id="rId39"/>
    <hyperlink ref="O65" r:id="rId40"/>
    <hyperlink ref="O66" r:id="rId41"/>
    <hyperlink ref="O67" r:id="rId42"/>
    <hyperlink ref="O68" r:id="rId43"/>
    <hyperlink ref="O69" r:id="rId44"/>
    <hyperlink ref="O70" r:id="rId45"/>
    <hyperlink ref="O75" r:id="rId46"/>
    <hyperlink ref="O76" r:id="rId47"/>
    <hyperlink ref="O78" r:id="rId48"/>
    <hyperlink ref="O79" r:id="rId49"/>
    <hyperlink ref="O80" r:id="rId50"/>
    <hyperlink ref="O84" r:id="rId51"/>
    <hyperlink ref="O85" r:id="rId52"/>
    <hyperlink ref="O86" r:id="rId53"/>
    <hyperlink ref="O87" r:id="rId54"/>
    <hyperlink ref="O89" r:id="rId55"/>
    <hyperlink ref="O14" r:id="rId56"/>
    <hyperlink ref="O15" r:id="rId57"/>
    <hyperlink ref="O18" r:id="rId58"/>
    <hyperlink ref="O20" r:id="rId59"/>
    <hyperlink ref="O21" r:id="rId60"/>
    <hyperlink ref="O23" r:id="rId61"/>
    <hyperlink ref="O25" r:id="rId62"/>
    <hyperlink ref="O41" r:id="rId63"/>
    <hyperlink ref="O42" r:id="rId64"/>
    <hyperlink ref="O48" r:id="rId65"/>
    <hyperlink ref="O50" r:id="rId66"/>
    <hyperlink ref="O52" r:id="rId67"/>
    <hyperlink ref="O58" r:id="rId68"/>
    <hyperlink ref="O59" r:id="rId69"/>
    <hyperlink ref="O62" r:id="rId70"/>
    <hyperlink ref="O71" r:id="rId71"/>
    <hyperlink ref="O72" r:id="rId72"/>
    <hyperlink ref="O73" r:id="rId73"/>
    <hyperlink ref="O74" r:id="rId74"/>
    <hyperlink ref="O81" r:id="rId75"/>
    <hyperlink ref="O82" r:id="rId76"/>
    <hyperlink ref="O83" r:id="rId77"/>
    <hyperlink ref="O90" r:id="rId78"/>
    <hyperlink ref="O92" r:id="rId79"/>
    <hyperlink ref="O93" r:id="rId80"/>
    <hyperlink ref="O88" r:id="rId81"/>
  </hyperlinks>
  <pageMargins left="0.7" right="0.7" top="0.75" bottom="0.75" header="0.3" footer="0.3"/>
  <pageSetup paperSize="9" orientation="portrait"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2024-08-29T08:44:16Z</dcterms:modified>
</cp:coreProperties>
</file>