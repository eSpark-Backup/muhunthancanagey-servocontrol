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ervo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130" i="1" l="1"/>
  <c r="B131" i="1"/>
  <c r="B132" i="1"/>
  <c r="B133" i="1"/>
  <c r="B129" i="1" l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<sst xmlns="http://schemas.openxmlformats.org/spreadsheetml/2006/main" count="924" uniqueCount="586">
  <si>
    <t>#</t>
  </si>
  <si>
    <t>Item Type</t>
  </si>
  <si>
    <t>Capacitor</t>
  </si>
  <si>
    <t>Tantalum Capacitors</t>
  </si>
  <si>
    <t>Capacitors</t>
  </si>
  <si>
    <t>(TVS/ESD)</t>
  </si>
  <si>
    <t>IC</t>
  </si>
  <si>
    <t>Diode</t>
  </si>
  <si>
    <t>TVS Diodes</t>
  </si>
  <si>
    <t>TVS</t>
  </si>
  <si>
    <t>Fuse</t>
  </si>
  <si>
    <t>Ferrite Bead</t>
  </si>
  <si>
    <t>Male Header</t>
  </si>
  <si>
    <t>USB Connector</t>
  </si>
  <si>
    <t>JST Connector</t>
  </si>
  <si>
    <t>Terminal Block</t>
  </si>
  <si>
    <t>Fuse Holder</t>
  </si>
  <si>
    <t>Connectors (RJ45 RJ11)</t>
  </si>
  <si>
    <t>D-Sub / VGA connector</t>
  </si>
  <si>
    <t>Power Connectors</t>
  </si>
  <si>
    <t>RJ45 Connector</t>
  </si>
  <si>
    <t>Inductor</t>
  </si>
  <si>
    <t>LED</t>
  </si>
  <si>
    <t>Potentiometer</t>
  </si>
  <si>
    <t>Mosfet</t>
  </si>
  <si>
    <t>Transistor</t>
  </si>
  <si>
    <t>Resistor</t>
  </si>
  <si>
    <t>Resistors</t>
  </si>
  <si>
    <t>Switch</t>
  </si>
  <si>
    <t>DIP Switches</t>
  </si>
  <si>
    <t>Microcontrollers</t>
  </si>
  <si>
    <t>PhotoTransistor</t>
  </si>
  <si>
    <t>Optoisolator</t>
  </si>
  <si>
    <t>Crystal</t>
  </si>
  <si>
    <t>Designator</t>
  </si>
  <si>
    <t>C1, C2, C70, C71, C81, C82, C92, C93, C103, C104, C213, C216</t>
  </si>
  <si>
    <t>C3, C4</t>
  </si>
  <si>
    <t>C5</t>
  </si>
  <si>
    <t>C6, C46, C66, C67, C68, C69, C72, C73, C75, C80, C83, C84, C86, C91, C94, C95, C97, C102, C105, C106, C108, C214, C215, C217, C218, C219, C220, C221, C223, C225, C226, C227, C228, C229, C230, C231, C242, C243, C244, C245, C246, C247, C248, C249, C250</t>
  </si>
  <si>
    <t>C7, C9, C53, C54, C55, C56, C74, C85, C96, C107</t>
  </si>
  <si>
    <t>C8, C79, C90, C101, C112</t>
  </si>
  <si>
    <t>C10, C11, C18, C20</t>
  </si>
  <si>
    <t>C12, C14, C16, C22, C24, C25, C26, C28, C30, C39, C42, C44</t>
  </si>
  <si>
    <t>C13, C15, C17, C19, C35, C38, C41</t>
  </si>
  <si>
    <t>C21, C118, C124, C132, C133, C134, C143, C149, C157, C158, C159, C168, C174, C182, C183, C184, C193, C199, C207, C208, C209</t>
  </si>
  <si>
    <t>C23, C40, C43, C116, C119, C141, C144, C166, C169, C191, C194</t>
  </si>
  <si>
    <t>C27, C29, C31, C32</t>
  </si>
  <si>
    <t>C33, C34, C36, C37, C45, C115, C140, C165, C190</t>
  </si>
  <si>
    <t>C47, C52, C117, C142, C167, C192</t>
  </si>
  <si>
    <t>C48</t>
  </si>
  <si>
    <t>C49</t>
  </si>
  <si>
    <t>C50, C51</t>
  </si>
  <si>
    <t>C57, C58</t>
  </si>
  <si>
    <t>C59, C60, C61, C62, C63, C64, C65</t>
  </si>
  <si>
    <t>C76, C87, C98, C109</t>
  </si>
  <si>
    <t>C77, C78, C88, C89, C99, C100, C110, C111</t>
  </si>
  <si>
    <t>C113, C114, C129, C130, C131, C138, C139, C154, C155, C156, C163, C164, C179, C180, C181, C188, C189, C204, C205, C206</t>
  </si>
  <si>
    <t>C120, C145, C170, C195</t>
  </si>
  <si>
    <t>C121, C122, C123, C146, C147, C148, C171, C172, C173, C196, C197, C198</t>
  </si>
  <si>
    <t>C125, C150, C175, C200</t>
  </si>
  <si>
    <t>C126, C127, C128, C151, C152, C153, C176, C177, C178, C201, C202, C203</t>
  </si>
  <si>
    <t>C135, C136, C137, C160, C161, C162, C185, C186, C187, C210, C211, C212</t>
  </si>
  <si>
    <t>C222</t>
  </si>
  <si>
    <t>C224</t>
  </si>
  <si>
    <t>C232, C233, C234, C235, C236, C237, C238, C239</t>
  </si>
  <si>
    <t>C240, C241</t>
  </si>
  <si>
    <t>D1, D2</t>
  </si>
  <si>
    <t>D3, D4, D15, D16, D17, D18, D19, D20, D21, D22</t>
  </si>
  <si>
    <t>D5</t>
  </si>
  <si>
    <t>D6, D7</t>
  </si>
  <si>
    <t>D8, D9</t>
  </si>
  <si>
    <t>D10, D11, D14, D43, D44, D45</t>
  </si>
  <si>
    <t>D12, D13</t>
  </si>
  <si>
    <t>D23, D28, D33, D38</t>
  </si>
  <si>
    <t>D24, D25, D26, D27, D29, D30, D31, D32, D34, D35, D36, D37, D39, D40, D41, D42</t>
  </si>
  <si>
    <t>D46, D47, D48, D49, D50, D51, D52, D53</t>
  </si>
  <si>
    <t>F1, F2, F3, F4, F5, F6, F7, F8, F9, F10, F11, F12, F13, F14</t>
  </si>
  <si>
    <t>FB1, FB2, FB3, FB4, FB5, FB6, FB7, FB8, FB9, FB10, FB11, FB12, FB13</t>
  </si>
  <si>
    <t>J1</t>
  </si>
  <si>
    <t>J2</t>
  </si>
  <si>
    <t>J3, J29, J32, J35, J39</t>
  </si>
  <si>
    <t>J4</t>
  </si>
  <si>
    <t>J5</t>
  </si>
  <si>
    <t>J6, J7, J8, J9, J10</t>
  </si>
  <si>
    <t>J11</t>
  </si>
  <si>
    <t>J12, J13, J14, J15, J19, J20, J24, J27, J30, J33, J37, J46, J48, J50</t>
  </si>
  <si>
    <t>J16, J21, J22, J23</t>
  </si>
  <si>
    <t>J17, J18</t>
  </si>
  <si>
    <t>J25, J36, J52, J53, J54, J55, J56, J57</t>
  </si>
  <si>
    <t>J26, J47, J49, J51</t>
  </si>
  <si>
    <t>J28, J31, J34, J38</t>
  </si>
  <si>
    <t>J40, J41, J42, J43</t>
  </si>
  <si>
    <t>J44, J45</t>
  </si>
  <si>
    <t>L1</t>
  </si>
  <si>
    <t>L2</t>
  </si>
  <si>
    <t>L3, L4, L5, L6</t>
  </si>
  <si>
    <t>LED1, LED2, LED3, LED4, LED6, LED8, LED10, LED13</t>
  </si>
  <si>
    <t>LED5, LED7, LED9, LED11, LED12</t>
  </si>
  <si>
    <t>PT1, PT2, PT3, PT4, PT5, PT6, PT7, PT8, PT9, PT10, PT11, PT12, PT13, PT14, PT15, PT16</t>
  </si>
  <si>
    <t>Q1</t>
  </si>
  <si>
    <t>Q2, Q15, Q16, Q17</t>
  </si>
  <si>
    <t>Q3, Q4, Q5, Q6, Q7, Q8, Q9, Q10, Q11, Q12, Q13, Q14</t>
  </si>
  <si>
    <t>Q18, Q19, Q20, Q21, Q22, Q23, Q24, Q25</t>
  </si>
  <si>
    <t>R1, R11, R13, R14, R15, R18, R19, R76, R82, R83, R88, R93, R102, R107, R116, R121, R130, R135, R280, R281, R295, R297, R298, R299, R309, R315, R316, R327, R333, R334, R345, R351, R352, R414, R415, R416, R417, R478, R479, R480, R481, R542, R543, R544, R545, R606, R607, R608, R609</t>
  </si>
  <si>
    <t>R2, R3</t>
  </si>
  <si>
    <t>R4, R5, R86, R87, R100, R101, R114, R115, R128, R129, R255, R463, R527, R591</t>
  </si>
  <si>
    <t>R6, R96, R110, R124, R138</t>
  </si>
  <si>
    <t>R7, R8, R46, R47, R48, R49, R50, R51, R52, R53, R54, R55, R56, R57, R70, R73, R77, R78, R144, R145, R177, R178, R210, R211, R243, R244, R275, R276, R278, R303, R306, R310, R311, R321, R324, R328, R329, R339, R342, R346, R347, R363, R364, R375, R376, R377, R378, R379, R380, R426, R427, R438, R439, R440, R441, R442, R443, R490, R491, R502, R503, R504, R505, R506, R507, R554, R555, R566, R567, R568, R569, R570, R571</t>
  </si>
  <si>
    <t>R9, R10, R97, R98, R111, R112, R125, R126, R139, R140</t>
  </si>
  <si>
    <t>R12, R99, R113, R127, R141, R388, R390, R401, R402, R406, R408, R410, R411, R412, R451, R453, R465, R466, R470, R472, R474, R475, R476, R511, R513, R529, R530, R534, R536, R538, R539, R540, R575, R577, R593, R594, R598, R600, R602, R603, R604</t>
  </si>
  <si>
    <t>R16, R17, R30, R31, R32, R33, R38, R39, R40, R41, R42, R43, R44, R45, R66, R67, R68, R69, R71, R72, R74, R75, R85, R94, R95, R108, R109, R122, R123, R136, R137, R149, R150, R151, R152, R153, R154, R182, R183, R184, R185, R186, R187, R215, R216, R217, R218, R219, R220, R248, R249, R250, R251, R252, R253, R301, R302, R304, R305, R307, R308, R318, R319, R320, R322, R323, R325, R326, R336, R337, R338, R340, R341, R343, R344, R354, R365, R366, R367, R368, R373, R374, R381, R382, R387, R389, R393, R394, R395, R396, R397, R398, R399, R403, R404, R405, R407, R409, R413, R428, R429, R430, R431, R436, R437, R444, R445, R450, R452, R456, R457, R458, R459, R460, R461, R462, R467, R468, R469, R471, R473, R477, R492, R493, R494, R495, R500, R501, R508, R509, R510, R512, R520, R521, R522, R523, R524, R525, R526, R531, R532, R533, R535, R537, R541, R556, R557, R558, R559, R564, R565, R572, R573, R574, R576, R584, R585, R586, R587, R588, R589, R590, R595, R596, R597, R599, R601, R605</t>
  </si>
  <si>
    <t>R20, R146, R179, R212, R245</t>
  </si>
  <si>
    <t>R21</t>
  </si>
  <si>
    <t>R22</t>
  </si>
  <si>
    <t>R23</t>
  </si>
  <si>
    <t>R24</t>
  </si>
  <si>
    <t>R25</t>
  </si>
  <si>
    <t>R26, R27</t>
  </si>
  <si>
    <t>R28, R29</t>
  </si>
  <si>
    <t>R34, R35, R36, R37</t>
  </si>
  <si>
    <t>R58, R59, R79, R312, R330, R348</t>
  </si>
  <si>
    <t>R60, R61, R62, R63, R64, R65, R80, R81, R313, R314, R331, R332, R349, R350</t>
  </si>
  <si>
    <t>R84, R317, R335, R353</t>
  </si>
  <si>
    <t>R89, R90, R103, R104, R117, R118, R131, R132</t>
  </si>
  <si>
    <t>R91, R92, R105, R106, R119, R120, R133, R134</t>
  </si>
  <si>
    <t>R142, R166, R168, R170, R175, R199, R201, R203, R208, R232, R234, R236, R241, R266, R268, R270</t>
  </si>
  <si>
    <t>R143, R167, R169, R171, R176, R200, R202, R204, R209, R233, R235, R237, R242, R267, R269, R271</t>
  </si>
  <si>
    <t>R147, R180, R213, R246</t>
  </si>
  <si>
    <t>R148, R181, R214, R247, R355, R356, R357, R358, R359, R360, R361, R362, R418, R419, R420, R421, R422, R423, R424, R425, R482, R483, R484, R485, R486, R487, R488, R489, R546, R547, R548, R549, R550, R551, R552, R553</t>
  </si>
  <si>
    <t>R155, R156, R157, R158, R159, R160, R188, R189, R190, R191, R192, R193, R221, R222, R223, R224, R225, R226, R254, R256, R257, R258, R259, R260</t>
  </si>
  <si>
    <t>R161, R194, R227, R261</t>
  </si>
  <si>
    <t>R162, R195, R228, R262</t>
  </si>
  <si>
    <t>R163, R164, R165, R196, R197, R198, R229, R230, R231, R263, R264, R265</t>
  </si>
  <si>
    <t>R172, R173, R174, R205, R206, R207, R238, R239, R240, R272, R273, R274</t>
  </si>
  <si>
    <t>R277</t>
  </si>
  <si>
    <t>R279</t>
  </si>
  <si>
    <t>R282, R283, R284, R285, R287, R288, R289, R290</t>
  </si>
  <si>
    <t>R286</t>
  </si>
  <si>
    <t>R291, R292</t>
  </si>
  <si>
    <t>R293, R294, R296, R300</t>
  </si>
  <si>
    <t>R369, R370, R371, R372, R432, R433, R434, R435, R496, R497, R498, R499, R560, R561, R562, R563</t>
  </si>
  <si>
    <t>R383, R384, R385, R386, R391, R392, R400, R446, R447, R448, R449, R454, R455, R464, R514, R515, R516, R517, R518, R519, R528, R578, R579, R580, R581, R582, R583, R592</t>
  </si>
  <si>
    <t>SW1, SW3, SW4, SW5, SW6, SW7</t>
  </si>
  <si>
    <t>SW2</t>
  </si>
  <si>
    <t>U1</t>
  </si>
  <si>
    <t>U2</t>
  </si>
  <si>
    <t>U3</t>
  </si>
  <si>
    <t>U4</t>
  </si>
  <si>
    <t>U5</t>
  </si>
  <si>
    <t>U6, U7</t>
  </si>
  <si>
    <t>U8, U9, U11, U23, U25, U27</t>
  </si>
  <si>
    <t>U10</t>
  </si>
  <si>
    <t>U12, U24, U26, U28</t>
  </si>
  <si>
    <t>U13, U14, U15, U16</t>
  </si>
  <si>
    <t>U17, U18, U19, U20</t>
  </si>
  <si>
    <t>U21</t>
  </si>
  <si>
    <t>U22</t>
  </si>
  <si>
    <t>U29, U30, U32, U33, U34, U35, U36, U37, U39, U40, U41, U42, U44, U45, U46, U47</t>
  </si>
  <si>
    <t>U31, U38, U43, U48</t>
  </si>
  <si>
    <t>X1</t>
  </si>
  <si>
    <t>X2, X3, X4, X5, X6</t>
  </si>
  <si>
    <t>X7</t>
  </si>
  <si>
    <t>Description</t>
  </si>
  <si>
    <t>CAP CER 30PF 50V C0G/NPO 0402</t>
  </si>
  <si>
    <t>CAP CER 6.8PF 50V C0G/NPO 0402</t>
  </si>
  <si>
    <t>CAP CER 4.7UF 10V X5R 0402</t>
  </si>
  <si>
    <t>CAP CER 0.1UF 50V X7R 0402</t>
  </si>
  <si>
    <t>CAP CER 0.1UF 16V X7R 0402</t>
  </si>
  <si>
    <t>CAP CER 4700PF 50V C0G/NPO 0603</t>
  </si>
  <si>
    <t>CAP TANT 1UF 10% 35V 1206</t>
  </si>
  <si>
    <t>CAP ALUM 220UF 20% 50V SMD</t>
  </si>
  <si>
    <t>47uF 50V 66mA@120Hz ±20% SMD,D6.3xL7.7mm Aluminum Electrolytic Capacitors - SMD ROHS</t>
  </si>
  <si>
    <t>CAP CER 0.1UF 50V X5R 0603</t>
  </si>
  <si>
    <t>CAP CER 1UF 50V X5R 0603</t>
  </si>
  <si>
    <t>330uF 63V 1.58A@100kHz ±20% SMD,D10xL16.5mm Aluminum Electrolytic Capacitors - SMD ROHS</t>
  </si>
  <si>
    <t>CAP CER 10UF 50V X5R 1206</t>
  </si>
  <si>
    <t>CAP CER 4.7UF 50V X5R 0805</t>
  </si>
  <si>
    <t>CAP CER 0.1UF 50V X5R 0402</t>
  </si>
  <si>
    <t>CAP CER 47PF 50V C0G/NP0 0402</t>
  </si>
  <si>
    <t>CAP CER 22UF 25V X5R 0805</t>
  </si>
  <si>
    <t>CAP CER 4700PF 50V X7R 0402</t>
  </si>
  <si>
    <t>CAP CER 0.1UF 100V X5R 0402</t>
  </si>
  <si>
    <t>CAP CER 0.015UF 16V X7R 0402</t>
  </si>
  <si>
    <t>CAP CER 2.2UF 6.3V X5R 0402</t>
  </si>
  <si>
    <t>CAP CER 0.1UF 10V X5R 0402</t>
  </si>
  <si>
    <t>CAP CER 0.047UF 50V X7R 0402</t>
  </si>
  <si>
    <t>CAP CER 1000PF 25V X7R 0402</t>
  </si>
  <si>
    <t>CAP CER 22UF 10V X5R 0603</t>
  </si>
  <si>
    <t>CAP CER 2200PF 16V X7R 0603</t>
  </si>
  <si>
    <t>CAP CER 10000PF 50V X7R 0402</t>
  </si>
  <si>
    <t>CAP CER 1UF 16V X5R 0402</t>
  </si>
  <si>
    <t>50V 470pF ±10% 0402 Multilayer Ceramic Capacitors MLCC - SMD/SMT ROHS</t>
  </si>
  <si>
    <t>CAP CER 10PF 50V C0G/NP0 0402</t>
  </si>
  <si>
    <t>CAP CER 0.022UF 16V X7R 0402</t>
  </si>
  <si>
    <t>20A 350W 16V 4V 3.3V SOD-323 ESD and Surge Protection (TVS/ESD) ROHS</t>
  </si>
  <si>
    <t>TVS DIODE 5V 9.8V SOD923</t>
  </si>
  <si>
    <t>TVS DEVICE MIXED 42.5V 8SON</t>
  </si>
  <si>
    <t>TVS DIODE 5VWM 6.3VC DSN0603-2</t>
  </si>
  <si>
    <t>TVS DIODE 24VWM 40VC SOT23-3</t>
  </si>
  <si>
    <t>SOT-23 TVS ROHS</t>
  </si>
  <si>
    <t>TVS DIODE 8VWM 13.6VC DO214AA</t>
  </si>
  <si>
    <t>40V 500mV@2A 2A SMA(DO-214AC) Schottky Barrier Diodes (SBD) ROHS</t>
  </si>
  <si>
    <t>TVS DIODE 5.5VWM 15VC SC70-6</t>
  </si>
  <si>
    <t>DIODE ZENER 3.3V 200MW SOD323F</t>
  </si>
  <si>
    <t>60V 100mA 40A 300mA 1812 Resettable Fuses ROHS</t>
  </si>
  <si>
    <t>FERRITE BEAD 220 OHM 0603 1LN</t>
  </si>
  <si>
    <t>CONN HEADER VERT 3POS 2.54MM</t>
  </si>
  <si>
    <t>Gold 250V 3A Straight Square Pins 2.5mm 4P 260℃ 6mm -40℃~+105℃ 3mm 2.54mm Plugin Black Brass 1x4P Plugin,P=2.54mm Pin Headers ROHS</t>
  </si>
  <si>
    <t>5A 1 16P Female Type-C SMD USB Connectors ROHS</t>
  </si>
  <si>
    <t>CONN HEADER VERT 3POS 2.5MM</t>
  </si>
  <si>
    <t>1x2P Barrier Block 2 1 16mm -40℃~+105℃ 76A 1kV Black 6~14 Straight pin 16 Plugin,P=16mm Barrier Terminal Blocks ROHS</t>
  </si>
  <si>
    <t>FUSE HOLDER BLADE 80V PCB</t>
  </si>
  <si>
    <t>M4 Plugin PCB Welding Terminal ROHS</t>
  </si>
  <si>
    <t>Gold 250V 3A Straight Square Pins 2.5mm 2P 260℃ 6mm -40℃~+105℃ 3mm 2.54mm Plugin Black Brass 1x2P Plugin,P=2.54mm Pin Headers ROHS</t>
  </si>
  <si>
    <t>1x3P 18A -40℃~+105℃ 250V Black 12~30 Straight pin 5.08mm 2.5 1 3 Plugin,P=5.08mm Screw terminal ROHS</t>
  </si>
  <si>
    <t>RJ45Receptacle Unshielded 1 Bend insert 260℃ Gold Phosphor Bronze Without LED -40℃~+85℃ Plugin Ethernet Connectors / Modular Connectors (RJ45 RJ11) ROHS</t>
  </si>
  <si>
    <t>44P Female D-Sub Right-Angle 3 1.5A -40℃~+105℃ Push-Pull D-Sub / VGA connector ROHS</t>
  </si>
  <si>
    <t>CONN HEADER VERT 9POS 4.14MM</t>
  </si>
  <si>
    <t>Gold 250V 3A Straight Square Pins 2.5mm 7P 260℃ 6mm -40℃~+105℃ 3mm 2.54mm Plugin Black Brass 1x7P Plugin,P=2.54mm Pin Headers ROHS</t>
  </si>
  <si>
    <t>CONN HEADER VERT 4POS 4.14MM</t>
  </si>
  <si>
    <t>RJ45 RJReceptacle 1 WithLED Plugin Ethernet Connectors/Modular Connectors (RJ45 RJ11) ROHS</t>
  </si>
  <si>
    <t>FERRITE BEAD 600 OHM 0402 1LN</t>
  </si>
  <si>
    <t>FIXED IND 6.8UH 5A 48 MOHM SMD</t>
  </si>
  <si>
    <t>3.9A 15uH Molding Choke ±20% 3.7A SMD,5.5x5.3mm Power Inductors ROHS</t>
  </si>
  <si>
    <t>RED LED 0603 Light Emitting Diodes</t>
  </si>
  <si>
    <t>Emerald 0603 Light Emitting Diodes (LED) ROHS</t>
  </si>
  <si>
    <t>TRIMMER 10KOHM 0.125W J LEAD TOP</t>
  </si>
  <si>
    <t>MOSFET N-CH 60V 200A DDPAK</t>
  </si>
  <si>
    <t>N-CHANNEL 20-V (D-S) MOSFET</t>
  </si>
  <si>
    <t>MOSFET 2N-CH 40V 22VSON-CLIP</t>
  </si>
  <si>
    <t>TRANS NPN 40V 2A SOT23-3</t>
  </si>
  <si>
    <t>RES 10K OHM 1% 1/16W 0402</t>
  </si>
  <si>
    <t>RES 0 OHM JUMPER 1/10W 0603</t>
  </si>
  <si>
    <t>RES SMD 1M OHM 5% 1/16W 0402</t>
  </si>
  <si>
    <t>RES 4.7K OHM 1% 1/16W 0402</t>
  </si>
  <si>
    <t>RES 5.1K OHM 1% 1/16W 0402</t>
  </si>
  <si>
    <t>RES 0 OHM JUMPER 1/16W 0402</t>
  </si>
  <si>
    <t>RES 100K OHM 1% 1/8W 0805</t>
  </si>
  <si>
    <t>RES 3.9K OHM 1% 1/16W 0402</t>
  </si>
  <si>
    <t>RES 470 OHM 1% 1/16W 0402</t>
  </si>
  <si>
    <t>RES 200 OHM 1% 1/16W 0402</t>
  </si>
  <si>
    <t>RES 158K OHM 0.1% 1/16W 0402</t>
  </si>
  <si>
    <t>RES SMD 30.1KOHM 0.1% 1/16W 0402</t>
  </si>
  <si>
    <t>RES 100K OHM 1% 1/16W 0402</t>
  </si>
  <si>
    <t>RES 33K OHM 1% 1/16W 0402</t>
  </si>
  <si>
    <t>100mW Thick Film Resistors ±100ppm/℃ ±1% 60.4Ω 0603 Chip Resistor - Surface Mount ROHS</t>
  </si>
  <si>
    <t>RES 120 OHM 5% 1/10W 0603</t>
  </si>
  <si>
    <t>RES 22 OHM 1% 1/20W 0201</t>
  </si>
  <si>
    <t>RES SMD 1K OHM 1% 1/10W 0603</t>
  </si>
  <si>
    <t>RES 120 OHM 1% 1/16W 0402</t>
  </si>
  <si>
    <t>RES 33 OHM 1% 1/16W 0402</t>
  </si>
  <si>
    <t>82kΩ 0603 Chip Resistor - Surface Mount ROHS</t>
  </si>
  <si>
    <t>100mW Thick Film Resistors ±100ppm/℃ ±1% 1MΩ 0603 Chip Resistor - Surface Mount ROHS</t>
  </si>
  <si>
    <t>RES SMD 220 OHM 1% 1/10W 0603</t>
  </si>
  <si>
    <t>RES 240 OHM 1% 1/16W 0402</t>
  </si>
  <si>
    <t>RES SMD 10 OHM 1% 1/10W 0603</t>
  </si>
  <si>
    <t>RES SMD 28K OHM 0.1% 1/16W 0402</t>
  </si>
  <si>
    <t>62.5mW Thick Film Resistors 50V ±100ppm/℃ ±1% 8.45kΩ 0402 Chip Resistor - Surface Mount ROHS</t>
  </si>
  <si>
    <t>RES 56.2 OHM 1% 1/10W 0603</t>
  </si>
  <si>
    <t>RES 0.01 OHM 1% 3W 2512</t>
  </si>
  <si>
    <t>RES SMD 12.1KOHM 0.1% 1/16W 0402</t>
  </si>
  <si>
    <t>RES 49.9 OHM 1% 1/10W 0603</t>
  </si>
  <si>
    <t>RES SMD 10K OHM 1% 1/20W 0201</t>
  </si>
  <si>
    <t>RESISTOR 0402 JUMPER ZERO OHM</t>
  </si>
  <si>
    <t>RES  SMD 330R 100 mW 0603</t>
  </si>
  <si>
    <t>RES 2K OHM 1% 1/16W 0402</t>
  </si>
  <si>
    <t>RES 499 OHM 1% 1/16W 0402</t>
  </si>
  <si>
    <t>SWITCH TACTILE SPST-NO 0.05A 12V</t>
  </si>
  <si>
    <t>3 positions SPST Black Flat Toggle, Raised Style SMD-6P,6x7.6mm DIP Switches ROHS</t>
  </si>
  <si>
    <t>IC MCU 32BIT 512KB FLASH 64LQFP</t>
  </si>
  <si>
    <t>IC REG CHARGE PUMP INV 16QSOP</t>
  </si>
  <si>
    <t>OR Controller N+1 ORing Controller N-Channel 1:1 SOT-23-6</t>
  </si>
  <si>
    <t>IC REG BUCK ADJ 3A TSOT26</t>
  </si>
  <si>
    <t>70dB@(100Hz) 1.5A Fixed 3.3V~3.3V Positive 6V SOT-223 Linear Voltage Regulators (LDO) ROHS</t>
  </si>
  <si>
    <t>IC TRANSCEIVER HALF 1/1 14VSON</t>
  </si>
  <si>
    <t>IC TRANSCEIVER HALF 1/1 8SON</t>
  </si>
  <si>
    <t>250Kbps transceiver 2/2 SOP-16 RS232 ICs ROHS</t>
  </si>
  <si>
    <t>IC TRNSLTR BIDIRECTIONAL US8</t>
  </si>
  <si>
    <t>IC MCU 32BIT 512KB FLASH 100LQFP</t>
  </si>
  <si>
    <t>IC MTR DRV MULTIPHAS 6-60V 48QFN</t>
  </si>
  <si>
    <t>2/3-PORT ETHERCAT SLAVE CTLR</t>
  </si>
  <si>
    <t>IC EEPROM 256KBIT I2C 1MHZ 8SOIC</t>
  </si>
  <si>
    <t>OPTOISO 3.75KV 4CH TRANS 16SO</t>
  </si>
  <si>
    <t>15Mbit/s 80ns 2.7V~5.5V 20kV/us DC SO-5 Logic Output Optoisolators ROHS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</si>
  <si>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</si>
  <si>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</si>
  <si>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</si>
  <si>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</si>
  <si>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</si>
  <si>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cap-0402</t>
  </si>
  <si>
    <t>Cap-0603</t>
  </si>
  <si>
    <t>Tant-1206</t>
  </si>
  <si>
    <t>UCD-220uF-10mmDia</t>
  </si>
  <si>
    <t>RVT1H470M0607</t>
  </si>
  <si>
    <t>VKME1651J331MV</t>
  </si>
  <si>
    <t>Cap-1206</t>
  </si>
  <si>
    <t>Cap-0805</t>
  </si>
  <si>
    <t>SOD-323</t>
  </si>
  <si>
    <t>SOD-923.</t>
  </si>
  <si>
    <t>8-SON (3x3)</t>
  </si>
  <si>
    <t>DSN0603-2</t>
  </si>
  <si>
    <t>SOT-23</t>
  </si>
  <si>
    <t>SMB Bi Directional</t>
  </si>
  <si>
    <t>SMA</t>
  </si>
  <si>
    <t>SOT-363</t>
  </si>
  <si>
    <t>SOD323F</t>
  </si>
  <si>
    <t>Fuse-1812_</t>
  </si>
  <si>
    <t>IND-0603 (1608 Metric)</t>
  </si>
  <si>
    <t>HDR1X3_</t>
  </si>
  <si>
    <t>HDR1X4_</t>
  </si>
  <si>
    <t>KF88SA-16.0-2P</t>
  </si>
  <si>
    <t>178.6165.0002</t>
  </si>
  <si>
    <t>T44001</t>
  </si>
  <si>
    <t>HDR1X2_</t>
  </si>
  <si>
    <t>DB128L-5.08-3P-BK-S</t>
  </si>
  <si>
    <t>X12ADIWA3DY1027</t>
  </si>
  <si>
    <t>DS1038-44FBNSIA74-0CC</t>
  </si>
  <si>
    <t>1-770182-0</t>
  </si>
  <si>
    <t>HDR1X7</t>
  </si>
  <si>
    <t>1-770174-0</t>
  </si>
  <si>
    <t>HR911105A</t>
  </si>
  <si>
    <t>IND-0402</t>
  </si>
  <si>
    <t>FEXL0550A-150M</t>
  </si>
  <si>
    <t>LED-0603</t>
  </si>
  <si>
    <t>3313J-1-103E</t>
  </si>
  <si>
    <t>TO-263</t>
  </si>
  <si>
    <t>Sot-23</t>
  </si>
  <si>
    <t>22-VSON-CLIP (5x6)</t>
  </si>
  <si>
    <t>Res-0402</t>
  </si>
  <si>
    <t>Res-0603</t>
  </si>
  <si>
    <t>RES-0805</t>
  </si>
  <si>
    <t>Res-0201</t>
  </si>
  <si>
    <t>RES-2512</t>
  </si>
  <si>
    <t>B3U-1000P</t>
  </si>
  <si>
    <t>DSIC03LSGET</t>
  </si>
  <si>
    <t>LQFP-64(10x10)</t>
  </si>
  <si>
    <t>16-QSOP</t>
  </si>
  <si>
    <t>SOT-23-6</t>
  </si>
  <si>
    <t>SOT- 223</t>
  </si>
  <si>
    <t>VSON-14(3x4.5)</t>
  </si>
  <si>
    <t>SON-8-EP(3x3)</t>
  </si>
  <si>
    <t>SO-Narrow-16</t>
  </si>
  <si>
    <t>TXB0102DCUT</t>
  </si>
  <si>
    <t>LQFP-100</t>
  </si>
  <si>
    <t>48-VQFN (7x7)</t>
  </si>
  <si>
    <t>QFN-64-EP(9x9)</t>
  </si>
  <si>
    <t>CAT24C256WI-GT3</t>
  </si>
  <si>
    <t>16-SO</t>
  </si>
  <si>
    <t>SO-5</t>
  </si>
  <si>
    <t>MC-306</t>
  </si>
  <si>
    <t>SMD3225-4P</t>
  </si>
  <si>
    <t>Manufacturer Part Number</t>
  </si>
  <si>
    <t>CC0402GRNPO9BN300</t>
  </si>
  <si>
    <t>CC0402CRNPO9BN6R8</t>
  </si>
  <si>
    <t>CC0402KRX5R6BB475</t>
  </si>
  <si>
    <t>C1005X7R1H104KT000F</t>
  </si>
  <si>
    <t>CC0402JRX7R7BB104</t>
  </si>
  <si>
    <t>CC0603JRNPO9BN472</t>
  </si>
  <si>
    <t>TR3A105K035C3000</t>
  </si>
  <si>
    <t>UCD1H221MNL1GS</t>
  </si>
  <si>
    <t>CC0603KRX5R9BB104</t>
  </si>
  <si>
    <t>CL10A105KB8NNNC</t>
  </si>
  <si>
    <t>CC1206KKX5R9BB106</t>
  </si>
  <si>
    <t>GRM21BR61H475KE51L</t>
  </si>
  <si>
    <t>C1005X5R1H104K050BB</t>
  </si>
  <si>
    <t>GCM1555C1H470FA16D</t>
  </si>
  <si>
    <t>CC0805MKX5R8BB226</t>
  </si>
  <si>
    <t>CC0402KRX7R9BB472</t>
  </si>
  <si>
    <t>GRM155R62A104KE14D</t>
  </si>
  <si>
    <t>CC0402JRX7R7BB153</t>
  </si>
  <si>
    <t>C1005X5R0J225KTJA0E</t>
  </si>
  <si>
    <t>CC0402KRX5R6BB104</t>
  </si>
  <si>
    <t>CC0402KRX7R9BB473</t>
  </si>
  <si>
    <t>CC0402KRX7R8BB102</t>
  </si>
  <si>
    <t>CC0603MRX5R6BB226</t>
  </si>
  <si>
    <t>AC0603KRX7R7BB222</t>
  </si>
  <si>
    <t>CC0402KRX7R9BB103</t>
  </si>
  <si>
    <t>CC0402KRX5R7BB105</t>
  </si>
  <si>
    <t>GRM155R11H471KA01D</t>
  </si>
  <si>
    <t>GRM1555C1H100JA01D</t>
  </si>
  <si>
    <t>CC0402JRX7R7BB223</t>
  </si>
  <si>
    <t>SD03</t>
  </si>
  <si>
    <t>ESD9L5.0ST5G</t>
  </si>
  <si>
    <t>TVS3301DRBR</t>
  </si>
  <si>
    <t>PESD5V0H1BSFYL</t>
  </si>
  <si>
    <t>CDSOT23-T24CAN-Q</t>
  </si>
  <si>
    <t>SM712</t>
  </si>
  <si>
    <t>SMBJ8.0CA</t>
  </si>
  <si>
    <t>SS24A</t>
  </si>
  <si>
    <t>TPD4E1U06DCKR</t>
  </si>
  <si>
    <t>MM3Z3V3B</t>
  </si>
  <si>
    <t>MF-MSMF010-2</t>
  </si>
  <si>
    <t>BLM18PG221SN1D</t>
  </si>
  <si>
    <t>X6511WV-04H-C60D30</t>
  </si>
  <si>
    <t>TYPE-C-31-M-12</t>
  </si>
  <si>
    <t>B3B-XH-A(LF)(SN)</t>
  </si>
  <si>
    <t>X6511WV-02H-C60D30</t>
  </si>
  <si>
    <t>X6511WV-07H-C60D30</t>
  </si>
  <si>
    <t>BLM15AG601SN1D</t>
  </si>
  <si>
    <t>0630CDMCCDS-6R8MC</t>
  </si>
  <si>
    <t>NCD0603R3</t>
  </si>
  <si>
    <t>NCD0603G2</t>
  </si>
  <si>
    <t>CSD18542KTT</t>
  </si>
  <si>
    <t>SI2302CDS</t>
  </si>
  <si>
    <t>CSD88584Q5DC</t>
  </si>
  <si>
    <t>NSS40201LT1G</t>
  </si>
  <si>
    <t>RC0402FR-0710KL</t>
  </si>
  <si>
    <t>RC0603JR-070RL</t>
  </si>
  <si>
    <t>AF0402JR-071ML</t>
  </si>
  <si>
    <t>RC0402FR-074K7L</t>
  </si>
  <si>
    <t>RC0402FR-075K1L</t>
  </si>
  <si>
    <t>RC0402FR-070RL</t>
  </si>
  <si>
    <t>RC0805FR-07100KL</t>
  </si>
  <si>
    <t>RC0402FR-073K9L</t>
  </si>
  <si>
    <t>RC0402FR-07470RL</t>
  </si>
  <si>
    <t>RC0402FR-07200RL</t>
  </si>
  <si>
    <t>RT0402BRE07158KL</t>
  </si>
  <si>
    <t>RT0402BRD0730K1L</t>
  </si>
  <si>
    <t>RC0402FR-07100KL</t>
  </si>
  <si>
    <t>RC0402FR-0733KL</t>
  </si>
  <si>
    <t>RTT0360R4FTP</t>
  </si>
  <si>
    <t>RC0603JR-07120RL</t>
  </si>
  <si>
    <t>RC0201FR-0722RL</t>
  </si>
  <si>
    <t>RC0603FR-071KL</t>
  </si>
  <si>
    <t>RC0402FR-07120RL</t>
  </si>
  <si>
    <t>RC0402FR-0733RL</t>
  </si>
  <si>
    <t>0603WAD8202T5E</t>
  </si>
  <si>
    <t>RC0603FR-07220RL</t>
  </si>
  <si>
    <t>RC0402FR-07240RL</t>
  </si>
  <si>
    <t>RC0603FR-0710RL</t>
  </si>
  <si>
    <t>RT0402BRD0728KL</t>
  </si>
  <si>
    <t>0402WGF8451TCE</t>
  </si>
  <si>
    <t>RC0603FR-0756R2L</t>
  </si>
  <si>
    <t>PA2512FKE7T0R01E</t>
  </si>
  <si>
    <t>RT0402BRD0712K1L</t>
  </si>
  <si>
    <t>RC0603FR-0749R9L</t>
  </si>
  <si>
    <t>RC0201FR-0710KL</t>
  </si>
  <si>
    <t>AC0402FR-070RL</t>
  </si>
  <si>
    <t>RC0603JR-07330RL</t>
  </si>
  <si>
    <t>RC0402FR-072KL</t>
  </si>
  <si>
    <t>RC0402FR-07499RL</t>
  </si>
  <si>
    <t>STM32G0B1RET6</t>
  </si>
  <si>
    <t>MAX864EEE+</t>
  </si>
  <si>
    <t>LM74700QDBVRQ1</t>
  </si>
  <si>
    <t>AP63300WU-7</t>
  </si>
  <si>
    <t>BL8071CLATR33</t>
  </si>
  <si>
    <t>TCAN1463DMTRQ1</t>
  </si>
  <si>
    <t>THVD2450DRBR</t>
  </si>
  <si>
    <t>MAX3232ESE</t>
  </si>
  <si>
    <t>STM32F446VET6</t>
  </si>
  <si>
    <t>DRV8323RSRGZR</t>
  </si>
  <si>
    <t>LAN9253-I/R4X</t>
  </si>
  <si>
    <t>LTV-247</t>
  </si>
  <si>
    <t>TLP2361(TPL,E(T</t>
  </si>
  <si>
    <t>MC-306 32.7680K-A0:ROHS</t>
  </si>
  <si>
    <t>5TJ480000XYLBC</t>
  </si>
  <si>
    <t>X322525MRB4SI</t>
  </si>
  <si>
    <t>Manufacturer</t>
  </si>
  <si>
    <t>Yageo</t>
  </si>
  <si>
    <t>TDK</t>
  </si>
  <si>
    <t>Vishay Sprague</t>
  </si>
  <si>
    <t>Nichicon</t>
  </si>
  <si>
    <t>ROQANG</t>
  </si>
  <si>
    <t>Samsung</t>
  </si>
  <si>
    <t>Ymin</t>
  </si>
  <si>
    <t>Murata</t>
  </si>
  <si>
    <t>Murata Electronics</t>
  </si>
  <si>
    <t>MDD</t>
  </si>
  <si>
    <t>ON Semiconductor</t>
  </si>
  <si>
    <t>Texas Instruments</t>
  </si>
  <si>
    <t>Nexperia</t>
  </si>
  <si>
    <t>Bourns</t>
  </si>
  <si>
    <t>TECH PUBLIC</t>
  </si>
  <si>
    <t>Littelfuse</t>
  </si>
  <si>
    <t>Guangdong Hottech</t>
  </si>
  <si>
    <t>ON Semiconductor / Fairchild</t>
  </si>
  <si>
    <t>XKB</t>
  </si>
  <si>
    <t>Korean Hroparts Elec</t>
  </si>
  <si>
    <t>JST</t>
  </si>
  <si>
    <t>CiXi KaiFeng Electronics</t>
  </si>
  <si>
    <t>Littelfuse Wickmann</t>
  </si>
  <si>
    <t>XFCN</t>
  </si>
  <si>
    <t>DIBO</t>
  </si>
  <si>
    <t>XKB Connection</t>
  </si>
  <si>
    <t>CONNFLY Elec</t>
  </si>
  <si>
    <t>TE Connectivity</t>
  </si>
  <si>
    <t>HANRUN</t>
  </si>
  <si>
    <t>Sumida</t>
  </si>
  <si>
    <t>cjiang</t>
  </si>
  <si>
    <t>Foshan NationStar Optoelectronics</t>
  </si>
  <si>
    <t>YAGEO</t>
  </si>
  <si>
    <t>UNI-ROYAL</t>
  </si>
  <si>
    <t>UNI-ROYAL(Uniroyal Elec)</t>
  </si>
  <si>
    <t>Royal Electronic Factory</t>
  </si>
  <si>
    <t>Omron</t>
  </si>
  <si>
    <t>DongGuan KINGTEK Industrial Co.,LTD</t>
  </si>
  <si>
    <t>STMicroelectronics</t>
  </si>
  <si>
    <t>Maxim</t>
  </si>
  <si>
    <t>Diodes</t>
  </si>
  <si>
    <t>BL(Shanghai Belling)</t>
  </si>
  <si>
    <t>UMW</t>
  </si>
  <si>
    <t>Microchip</t>
  </si>
  <si>
    <t>Vishay Lite-On</t>
  </si>
  <si>
    <t>Toshiba</t>
  </si>
  <si>
    <t>Seiko Epson</t>
  </si>
  <si>
    <t>JYJE</t>
  </si>
  <si>
    <t>YXC</t>
  </si>
  <si>
    <t>30pF</t>
  </si>
  <si>
    <t>DNP</t>
  </si>
  <si>
    <t>4.7uF</t>
  </si>
  <si>
    <t>100nF</t>
  </si>
  <si>
    <t>0.1uF</t>
  </si>
  <si>
    <t>4.7nF</t>
  </si>
  <si>
    <t>1uF</t>
  </si>
  <si>
    <t>220uF</t>
  </si>
  <si>
    <t>47uF</t>
  </si>
  <si>
    <t>330uF</t>
  </si>
  <si>
    <t>10uF</t>
  </si>
  <si>
    <t>4.7uf</t>
  </si>
  <si>
    <t>47pF</t>
  </si>
  <si>
    <t>22uF</t>
  </si>
  <si>
    <t>0.1uf</t>
  </si>
  <si>
    <t>15nF</t>
  </si>
  <si>
    <t>2.2uF</t>
  </si>
  <si>
    <t>47nF</t>
  </si>
  <si>
    <t>1nF</t>
  </si>
  <si>
    <t>2.2nF</t>
  </si>
  <si>
    <t>10nF</t>
  </si>
  <si>
    <t>470pF</t>
  </si>
  <si>
    <t>10pF</t>
  </si>
  <si>
    <t>22nF</t>
  </si>
  <si>
    <t>6.8uH</t>
  </si>
  <si>
    <t>15uH</t>
  </si>
  <si>
    <t>10K</t>
  </si>
  <si>
    <t>0R</t>
  </si>
  <si>
    <t>1M</t>
  </si>
  <si>
    <t>4.7K</t>
  </si>
  <si>
    <t>5.1K</t>
  </si>
  <si>
    <t>100K</t>
  </si>
  <si>
    <t>3.9K</t>
  </si>
  <si>
    <t>470R</t>
  </si>
  <si>
    <t>200R</t>
  </si>
  <si>
    <t>158K</t>
  </si>
  <si>
    <t>30.1K</t>
  </si>
  <si>
    <t>33K</t>
  </si>
  <si>
    <t>60.4R</t>
  </si>
  <si>
    <t>120R</t>
  </si>
  <si>
    <t>22R</t>
  </si>
  <si>
    <t>1K</t>
  </si>
  <si>
    <t>33R</t>
  </si>
  <si>
    <t>82K</t>
  </si>
  <si>
    <t>4.99K</t>
  </si>
  <si>
    <t>220R</t>
  </si>
  <si>
    <t>240R</t>
  </si>
  <si>
    <t>10R</t>
  </si>
  <si>
    <t>28K</t>
  </si>
  <si>
    <t>8.45K</t>
  </si>
  <si>
    <t>56.2R</t>
  </si>
  <si>
    <t>10mR</t>
  </si>
  <si>
    <t>12.1k</t>
  </si>
  <si>
    <t>49.9R</t>
  </si>
  <si>
    <t>330R</t>
  </si>
  <si>
    <t>2K</t>
  </si>
  <si>
    <t>499R</t>
  </si>
  <si>
    <t>8MHz</t>
  </si>
  <si>
    <t>25MHz</t>
  </si>
  <si>
    <t>Quantity</t>
  </si>
  <si>
    <t>Value</t>
  </si>
  <si>
    <t>Remarks</t>
  </si>
  <si>
    <t>Custom</t>
  </si>
  <si>
    <t>-</t>
  </si>
  <si>
    <t>Do NOT MOUNT</t>
  </si>
  <si>
    <t>Peripheral</t>
  </si>
  <si>
    <t>Jumper</t>
  </si>
  <si>
    <t>P=2.54mm Shunts, Jumpers ROHS</t>
  </si>
  <si>
    <t>X2541-A1NIB</t>
  </si>
  <si>
    <t>Ethernet Cable</t>
  </si>
  <si>
    <t>Cat6 Gigabit Ethernet Cable 1m Cable/ModularCable</t>
  </si>
  <si>
    <t xml:space="preserve">UGREEN </t>
  </si>
  <si>
    <t>32V 1kA Blade fuse 2A Automotive Fuses ROHS</t>
  </si>
  <si>
    <t>0287002.PXCN</t>
  </si>
  <si>
    <t xml:space="preserve">Littelfuse </t>
  </si>
  <si>
    <t>32V 1kA Blade fuse 20A Automotive Fuses ROHS</t>
  </si>
  <si>
    <t>0287020.PXCN</t>
  </si>
  <si>
    <t>PZ254V-11-03P</t>
  </si>
  <si>
    <t xml:space="preserve">XFCN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</si>
</sst>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33"/>
  <sheetViews>
    <sheetView tabSelected="1" workbookViewId="0">
      <selection activeCell="M54" sqref="M54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18.42578125" bestFit="1" customWidth="1"/>
    <col min="7" max="7" width="33.42578125" bestFit="1" customWidth="1"/>
    <col min="8" max="8" width="21.42578125" bestFit="1" customWidth="1"/>
    <col min="9" max="9" width="17.57031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6"/>
      <c r="J1" s="16"/>
      <c r="K1" s="16"/>
    </row>
    <row r="2" spans="1:11" ht="15.75" thickBot="1" x14ac:dyDescent="0.3">
      <c r="A2" s="1"/>
      <c r="B2" s="5" t="s">
        <v>0</v>
      </c>
      <c r="C2" s="5" t="s">
        <v>1</v>
      </c>
      <c r="D2" s="5" t="s">
        <v>34</v>
      </c>
      <c r="E2" s="5" t="s">
        <v>162</v>
      </c>
      <c r="F2" s="5" t="s">
        <v>287</v>
      </c>
      <c r="G2" s="5" t="s">
        <v>351</v>
      </c>
      <c r="H2" s="5" t="s">
        <v>457</v>
      </c>
      <c r="I2" s="5" t="s">
        <v>567</v>
      </c>
      <c r="J2" s="5" t="s">
        <v>566</v>
      </c>
      <c r="K2" s="5" t="s">
        <v>568</v>
      </c>
    </row>
    <row r="3" spans="1:11" ht="24.75" thickBot="1" x14ac:dyDescent="0.3">
      <c r="A3" s="1"/>
      <c r="B3" s="10">
        <f>ROW(B3) - ROW($B$2)</f>
        <v>1</v>
      </c>
      <c r="C3" s="11" t="s">
        <v>2</v>
      </c>
      <c r="D3" s="6" t="s">
        <v>35</v>
      </c>
      <c r="E3" s="7" t="s">
        <v>163</v>
      </c>
      <c r="F3" s="6" t="s">
        <v>288</v>
      </c>
      <c r="G3" s="7" t="s">
        <v>352</v>
      </c>
      <c r="H3" s="6" t="s">
        <v>458</v>
      </c>
      <c r="I3" s="7" t="s">
        <v>507</v>
      </c>
      <c r="J3" s="6">
        <v>12</v>
      </c>
      <c r="K3" s="6"/>
    </row>
    <row r="4" spans="1:11" ht="26.25" thickBot="1" x14ac:dyDescent="0.3">
      <c r="A4" s="1"/>
      <c r="B4" s="10">
        <f t="shared" ref="B4:B128" si="0">ROW(B4) - ROW($B$2)</f>
        <v>2</v>
      </c>
      <c r="C4" s="12" t="s">
        <v>2</v>
      </c>
      <c r="D4" s="13" t="s">
        <v>36</v>
      </c>
      <c r="E4" s="14" t="s">
        <v>164</v>
      </c>
      <c r="F4" s="13" t="s">
        <v>288</v>
      </c>
      <c r="G4" s="14" t="s">
        <v>353</v>
      </c>
      <c r="H4" s="13" t="s">
        <v>458</v>
      </c>
      <c r="I4" s="14" t="s">
        <v>508</v>
      </c>
      <c r="J4" s="13">
        <v>2</v>
      </c>
      <c r="K4" s="15" t="s">
        <v>571</v>
      </c>
    </row>
    <row r="5" spans="1:11" ht="15.75" thickBot="1" x14ac:dyDescent="0.3">
      <c r="A5" s="1"/>
      <c r="B5" s="10">
        <f>ROW(B5) - ROW($B$2)</f>
        <v>3</v>
      </c>
      <c r="C5" s="12" t="s">
        <v>2</v>
      </c>
      <c r="D5" s="6" t="s">
        <v>37</v>
      </c>
      <c r="E5" s="7" t="s">
        <v>165</v>
      </c>
      <c r="F5" s="6" t="s">
        <v>288</v>
      </c>
      <c r="G5" s="7" t="s">
        <v>354</v>
      </c>
      <c r="H5" s="6" t="s">
        <v>458</v>
      </c>
      <c r="I5" s="7" t="s">
        <v>509</v>
      </c>
      <c r="J5" s="6">
        <v>1</v>
      </c>
      <c r="K5" s="6"/>
    </row>
    <row r="6" spans="1:11" ht="72.75" thickBot="1" x14ac:dyDescent="0.3">
      <c r="A6" s="1"/>
      <c r="B6" s="10">
        <f t="shared" si="0"/>
        <v>4</v>
      </c>
      <c r="C6" s="12" t="s">
        <v>2</v>
      </c>
      <c r="D6" s="8" t="s">
        <v>38</v>
      </c>
      <c r="E6" s="9" t="s">
        <v>166</v>
      </c>
      <c r="F6" s="8" t="s">
        <v>289</v>
      </c>
      <c r="G6" s="9" t="s">
        <v>355</v>
      </c>
      <c r="H6" s="8" t="s">
        <v>459</v>
      </c>
      <c r="I6" s="9" t="s">
        <v>510</v>
      </c>
      <c r="J6" s="8">
        <v>45</v>
      </c>
      <c r="K6" s="8"/>
    </row>
    <row r="7" spans="1:11" ht="15.75" thickBot="1" x14ac:dyDescent="0.3">
      <c r="A7" s="1"/>
      <c r="B7" s="10">
        <f>ROW(B7) - ROW($B$2)</f>
        <v>5</v>
      </c>
      <c r="C7" s="11" t="s">
        <v>2</v>
      </c>
      <c r="D7" s="6" t="s">
        <v>39</v>
      </c>
      <c r="E7" s="7" t="s">
        <v>167</v>
      </c>
      <c r="F7" s="6" t="s">
        <v>288</v>
      </c>
      <c r="G7" s="7" t="s">
        <v>356</v>
      </c>
      <c r="H7" s="6" t="s">
        <v>458</v>
      </c>
      <c r="I7" s="7" t="s">
        <v>511</v>
      </c>
      <c r="J7" s="6">
        <v>10</v>
      </c>
      <c r="K7" s="6"/>
    </row>
    <row r="8" spans="1:11" ht="15.75" thickBot="1" x14ac:dyDescent="0.3">
      <c r="A8" s="1"/>
      <c r="B8" s="10">
        <f t="shared" si="0"/>
        <v>6</v>
      </c>
      <c r="C8" s="12" t="s">
        <v>2</v>
      </c>
      <c r="D8" s="8" t="s">
        <v>40</v>
      </c>
      <c r="E8" s="9" t="s">
        <v>168</v>
      </c>
      <c r="F8" s="8" t="s">
        <v>290</v>
      </c>
      <c r="G8" s="9" t="s">
        <v>357</v>
      </c>
      <c r="H8" s="8" t="s">
        <v>458</v>
      </c>
      <c r="I8" s="9" t="s">
        <v>512</v>
      </c>
      <c r="J8" s="8">
        <v>5</v>
      </c>
      <c r="K8" s="8"/>
    </row>
    <row r="9" spans="1:11" ht="15.75" thickBot="1" x14ac:dyDescent="0.3">
      <c r="A9" s="1"/>
      <c r="B9" s="10">
        <f>ROW(B9) - ROW($B$2)</f>
        <v>7</v>
      </c>
      <c r="C9" s="11" t="s">
        <v>3</v>
      </c>
      <c r="D9" s="6" t="s">
        <v>41</v>
      </c>
      <c r="E9" s="7" t="s">
        <v>169</v>
      </c>
      <c r="F9" s="6" t="s">
        <v>291</v>
      </c>
      <c r="G9" s="7" t="s">
        <v>358</v>
      </c>
      <c r="H9" s="6" t="s">
        <v>460</v>
      </c>
      <c r="I9" s="7" t="s">
        <v>513</v>
      </c>
      <c r="J9" s="6">
        <v>4</v>
      </c>
      <c r="K9" s="6"/>
    </row>
    <row r="10" spans="1:11" ht="24.75" thickBot="1" x14ac:dyDescent="0.3">
      <c r="A10" s="1"/>
      <c r="B10" s="10">
        <f t="shared" si="0"/>
        <v>8</v>
      </c>
      <c r="C10" s="12" t="s">
        <v>2</v>
      </c>
      <c r="D10" s="8" t="s">
        <v>42</v>
      </c>
      <c r="E10" s="9" t="s">
        <v>170</v>
      </c>
      <c r="F10" s="8" t="s">
        <v>292</v>
      </c>
      <c r="G10" s="9" t="s">
        <v>359</v>
      </c>
      <c r="H10" s="8" t="s">
        <v>461</v>
      </c>
      <c r="I10" s="9" t="s">
        <v>514</v>
      </c>
      <c r="J10" s="8">
        <v>12</v>
      </c>
      <c r="K10" s="8"/>
    </row>
    <row r="11" spans="1:11" ht="36.75" thickBot="1" x14ac:dyDescent="0.3">
      <c r="A11" s="1"/>
      <c r="B11" s="10">
        <f>ROW(B11) - ROW($B$2)</f>
        <v>9</v>
      </c>
      <c r="C11" s="11" t="s">
        <v>2</v>
      </c>
      <c r="D11" s="6" t="s">
        <v>43</v>
      </c>
      <c r="E11" s="7" t="s">
        <v>171</v>
      </c>
      <c r="F11" s="6" t="s">
        <v>569</v>
      </c>
      <c r="G11" s="7" t="s">
        <v>293</v>
      </c>
      <c r="H11" s="6" t="s">
        <v>462</v>
      </c>
      <c r="I11" s="7" t="s">
        <v>515</v>
      </c>
      <c r="J11" s="6">
        <v>7</v>
      </c>
      <c r="K11" s="6"/>
    </row>
    <row r="12" spans="1:11" ht="36.75" thickBot="1" x14ac:dyDescent="0.3">
      <c r="A12" s="1"/>
      <c r="B12" s="10">
        <f t="shared" si="0"/>
        <v>10</v>
      </c>
      <c r="C12" s="12" t="s">
        <v>2</v>
      </c>
      <c r="D12" s="8" t="s">
        <v>44</v>
      </c>
      <c r="E12" s="9" t="s">
        <v>172</v>
      </c>
      <c r="F12" s="8" t="s">
        <v>290</v>
      </c>
      <c r="G12" s="9" t="s">
        <v>360</v>
      </c>
      <c r="H12" s="8" t="s">
        <v>458</v>
      </c>
      <c r="I12" s="9" t="s">
        <v>510</v>
      </c>
      <c r="J12" s="8">
        <v>21</v>
      </c>
      <c r="K12" s="8"/>
    </row>
    <row r="13" spans="1:11" ht="24.75" thickBot="1" x14ac:dyDescent="0.3">
      <c r="A13" s="1"/>
      <c r="B13" s="10">
        <f>ROW(B13) - ROW($B$2)</f>
        <v>11</v>
      </c>
      <c r="C13" s="11" t="s">
        <v>2</v>
      </c>
      <c r="D13" s="6" t="s">
        <v>45</v>
      </c>
      <c r="E13" s="7" t="s">
        <v>173</v>
      </c>
      <c r="F13" s="6" t="s">
        <v>290</v>
      </c>
      <c r="G13" s="7" t="s">
        <v>361</v>
      </c>
      <c r="H13" s="6" t="s">
        <v>463</v>
      </c>
      <c r="I13" s="7" t="s">
        <v>513</v>
      </c>
      <c r="J13" s="6">
        <v>11</v>
      </c>
      <c r="K13" s="6"/>
    </row>
    <row r="14" spans="1:11" ht="36.75" thickBot="1" x14ac:dyDescent="0.3">
      <c r="A14" s="1"/>
      <c r="B14" s="10">
        <f t="shared" si="0"/>
        <v>12</v>
      </c>
      <c r="C14" s="12" t="s">
        <v>2</v>
      </c>
      <c r="D14" s="8" t="s">
        <v>46</v>
      </c>
      <c r="E14" s="9" t="s">
        <v>174</v>
      </c>
      <c r="F14" s="6" t="s">
        <v>569</v>
      </c>
      <c r="G14" s="9" t="s">
        <v>294</v>
      </c>
      <c r="H14" s="8" t="s">
        <v>464</v>
      </c>
      <c r="I14" s="9" t="s">
        <v>516</v>
      </c>
      <c r="J14" s="8">
        <v>4</v>
      </c>
      <c r="K14" s="8"/>
    </row>
    <row r="15" spans="1:11" ht="15.75" thickBot="1" x14ac:dyDescent="0.3">
      <c r="A15" s="1"/>
      <c r="B15" s="10">
        <f>ROW(B15) - ROW($B$2)</f>
        <v>13</v>
      </c>
      <c r="C15" s="11" t="s">
        <v>4</v>
      </c>
      <c r="D15" s="6" t="s">
        <v>47</v>
      </c>
      <c r="E15" s="7" t="s">
        <v>175</v>
      </c>
      <c r="F15" s="6" t="s">
        <v>295</v>
      </c>
      <c r="G15" s="7" t="s">
        <v>362</v>
      </c>
      <c r="H15" s="6" t="s">
        <v>458</v>
      </c>
      <c r="I15" s="7" t="s">
        <v>517</v>
      </c>
      <c r="J15" s="6">
        <v>9</v>
      </c>
      <c r="K15" s="6"/>
    </row>
    <row r="16" spans="1:11" ht="15.75" thickBot="1" x14ac:dyDescent="0.3">
      <c r="A16" s="1"/>
      <c r="B16" s="10">
        <f t="shared" si="0"/>
        <v>14</v>
      </c>
      <c r="C16" s="12" t="s">
        <v>2</v>
      </c>
      <c r="D16" s="8" t="s">
        <v>48</v>
      </c>
      <c r="E16" s="9" t="s">
        <v>176</v>
      </c>
      <c r="F16" s="8" t="s">
        <v>296</v>
      </c>
      <c r="G16" s="9" t="s">
        <v>363</v>
      </c>
      <c r="H16" s="8" t="s">
        <v>465</v>
      </c>
      <c r="I16" s="9" t="s">
        <v>518</v>
      </c>
      <c r="J16" s="8">
        <v>6</v>
      </c>
      <c r="K16" s="8"/>
    </row>
    <row r="17" spans="1:11" ht="15.75" thickBot="1" x14ac:dyDescent="0.3">
      <c r="A17" s="1"/>
      <c r="B17" s="10">
        <f>ROW(B17) - ROW($B$2)</f>
        <v>15</v>
      </c>
      <c r="C17" s="11" t="s">
        <v>2</v>
      </c>
      <c r="D17" s="6" t="s">
        <v>49</v>
      </c>
      <c r="E17" s="7" t="s">
        <v>177</v>
      </c>
      <c r="F17" s="6" t="s">
        <v>288</v>
      </c>
      <c r="G17" s="7" t="s">
        <v>364</v>
      </c>
      <c r="H17" s="6" t="s">
        <v>459</v>
      </c>
      <c r="I17" s="7" t="s">
        <v>511</v>
      </c>
      <c r="J17" s="6">
        <v>1</v>
      </c>
      <c r="K17" s="6"/>
    </row>
    <row r="18" spans="1:11" ht="15.75" thickBot="1" x14ac:dyDescent="0.3">
      <c r="A18" s="1"/>
      <c r="B18" s="10">
        <f t="shared" si="0"/>
        <v>16</v>
      </c>
      <c r="C18" s="11" t="s">
        <v>2</v>
      </c>
      <c r="D18" s="8" t="s">
        <v>50</v>
      </c>
      <c r="E18" s="9" t="s">
        <v>178</v>
      </c>
      <c r="F18" s="8" t="s">
        <v>288</v>
      </c>
      <c r="G18" s="9" t="s">
        <v>365</v>
      </c>
      <c r="H18" s="8" t="s">
        <v>465</v>
      </c>
      <c r="I18" s="9" t="s">
        <v>519</v>
      </c>
      <c r="J18" s="8">
        <v>1</v>
      </c>
      <c r="K18" s="8"/>
    </row>
    <row r="19" spans="1:11" ht="15.75" thickBot="1" x14ac:dyDescent="0.3">
      <c r="A19" s="1"/>
      <c r="B19" s="10">
        <f>ROW(B19) - ROW($B$2)</f>
        <v>17</v>
      </c>
      <c r="C19" s="11" t="s">
        <v>2</v>
      </c>
      <c r="D19" s="6" t="s">
        <v>51</v>
      </c>
      <c r="E19" s="7" t="s">
        <v>179</v>
      </c>
      <c r="F19" s="6" t="s">
        <v>296</v>
      </c>
      <c r="G19" s="7" t="s">
        <v>366</v>
      </c>
      <c r="H19" s="6" t="s">
        <v>458</v>
      </c>
      <c r="I19" s="7" t="s">
        <v>520</v>
      </c>
      <c r="J19" s="6">
        <v>2</v>
      </c>
      <c r="K19" s="6"/>
    </row>
    <row r="20" spans="1:11" ht="15.75" thickBot="1" x14ac:dyDescent="0.3">
      <c r="A20" s="1"/>
      <c r="B20" s="10">
        <f t="shared" si="0"/>
        <v>18</v>
      </c>
      <c r="C20" s="12" t="s">
        <v>2</v>
      </c>
      <c r="D20" s="8" t="s">
        <v>52</v>
      </c>
      <c r="E20" s="9" t="s">
        <v>180</v>
      </c>
      <c r="F20" s="8" t="s">
        <v>288</v>
      </c>
      <c r="G20" s="9" t="s">
        <v>367</v>
      </c>
      <c r="H20" s="8" t="s">
        <v>458</v>
      </c>
      <c r="I20" s="9" t="s">
        <v>512</v>
      </c>
      <c r="J20" s="8">
        <v>2</v>
      </c>
      <c r="K20" s="8"/>
    </row>
    <row r="21" spans="1:11" ht="15.75" thickBot="1" x14ac:dyDescent="0.3">
      <c r="A21" s="1"/>
      <c r="B21" s="10">
        <f>ROW(B21) - ROW($B$2)</f>
        <v>19</v>
      </c>
      <c r="C21" s="11" t="s">
        <v>2</v>
      </c>
      <c r="D21" s="6" t="s">
        <v>53</v>
      </c>
      <c r="E21" s="7" t="s">
        <v>181</v>
      </c>
      <c r="F21" s="6" t="s">
        <v>288</v>
      </c>
      <c r="G21" s="7" t="s">
        <v>368</v>
      </c>
      <c r="H21" s="6" t="s">
        <v>465</v>
      </c>
      <c r="I21" s="7" t="s">
        <v>521</v>
      </c>
      <c r="J21" s="6">
        <v>7</v>
      </c>
      <c r="K21" s="6"/>
    </row>
    <row r="22" spans="1:11" ht="15.75" thickBot="1" x14ac:dyDescent="0.3">
      <c r="A22" s="1"/>
      <c r="B22" s="10">
        <f t="shared" si="0"/>
        <v>20</v>
      </c>
      <c r="C22" s="12" t="s">
        <v>2</v>
      </c>
      <c r="D22" s="8" t="s">
        <v>54</v>
      </c>
      <c r="E22" s="9" t="s">
        <v>182</v>
      </c>
      <c r="F22" s="8" t="s">
        <v>288</v>
      </c>
      <c r="G22" s="9" t="s">
        <v>369</v>
      </c>
      <c r="H22" s="8" t="s">
        <v>458</v>
      </c>
      <c r="I22" s="9" t="s">
        <v>522</v>
      </c>
      <c r="J22" s="8">
        <v>4</v>
      </c>
      <c r="K22" s="8"/>
    </row>
    <row r="23" spans="1:11" ht="15.75" thickBot="1" x14ac:dyDescent="0.3">
      <c r="A23" s="1"/>
      <c r="B23" s="10">
        <f>ROW(B23) - ROW($B$2)</f>
        <v>21</v>
      </c>
      <c r="C23" s="11" t="s">
        <v>2</v>
      </c>
      <c r="D23" s="6" t="s">
        <v>55</v>
      </c>
      <c r="E23" s="7" t="s">
        <v>183</v>
      </c>
      <c r="F23" s="6" t="s">
        <v>288</v>
      </c>
      <c r="G23" s="7" t="s">
        <v>370</v>
      </c>
      <c r="H23" s="6" t="s">
        <v>459</v>
      </c>
      <c r="I23" s="7" t="s">
        <v>523</v>
      </c>
      <c r="J23" s="6">
        <v>8</v>
      </c>
      <c r="K23" s="6"/>
    </row>
    <row r="24" spans="1:11" ht="36.75" thickBot="1" x14ac:dyDescent="0.3">
      <c r="A24" s="1"/>
      <c r="B24" s="10">
        <f t="shared" si="0"/>
        <v>22</v>
      </c>
      <c r="C24" s="12" t="s">
        <v>2</v>
      </c>
      <c r="D24" s="8" t="s">
        <v>56</v>
      </c>
      <c r="E24" s="9" t="s">
        <v>184</v>
      </c>
      <c r="F24" s="8" t="s">
        <v>288</v>
      </c>
      <c r="G24" s="9" t="s">
        <v>371</v>
      </c>
      <c r="H24" s="8" t="s">
        <v>458</v>
      </c>
      <c r="I24" s="9" t="s">
        <v>511</v>
      </c>
      <c r="J24" s="8">
        <v>20</v>
      </c>
      <c r="K24" s="8"/>
    </row>
    <row r="25" spans="1:11" ht="15.75" thickBot="1" x14ac:dyDescent="0.3">
      <c r="A25" s="1"/>
      <c r="B25" s="10">
        <f>ROW(B25) - ROW($B$2)</f>
        <v>23</v>
      </c>
      <c r="C25" s="11" t="s">
        <v>2</v>
      </c>
      <c r="D25" s="6" t="s">
        <v>57</v>
      </c>
      <c r="E25" s="7" t="s">
        <v>185</v>
      </c>
      <c r="F25" s="6" t="s">
        <v>288</v>
      </c>
      <c r="G25" s="7" t="s">
        <v>372</v>
      </c>
      <c r="H25" s="6" t="s">
        <v>458</v>
      </c>
      <c r="I25" s="7" t="s">
        <v>524</v>
      </c>
      <c r="J25" s="6">
        <v>4</v>
      </c>
      <c r="K25" s="6"/>
    </row>
    <row r="26" spans="1:11" ht="24.75" thickBot="1" x14ac:dyDescent="0.3">
      <c r="A26" s="1"/>
      <c r="B26" s="10">
        <f t="shared" si="0"/>
        <v>24</v>
      </c>
      <c r="C26" s="12" t="s">
        <v>2</v>
      </c>
      <c r="D26" s="8" t="s">
        <v>58</v>
      </c>
      <c r="E26" s="9" t="s">
        <v>186</v>
      </c>
      <c r="F26" s="8" t="s">
        <v>288</v>
      </c>
      <c r="G26" s="9" t="s">
        <v>373</v>
      </c>
      <c r="H26" s="8" t="s">
        <v>458</v>
      </c>
      <c r="I26" s="9" t="s">
        <v>525</v>
      </c>
      <c r="J26" s="8">
        <v>12</v>
      </c>
      <c r="K26" s="8"/>
    </row>
    <row r="27" spans="1:11" ht="15.75" thickBot="1" x14ac:dyDescent="0.3">
      <c r="A27" s="1"/>
      <c r="B27" s="10">
        <f>ROW(B27) - ROW($B$2)</f>
        <v>25</v>
      </c>
      <c r="C27" s="11" t="s">
        <v>2</v>
      </c>
      <c r="D27" s="6" t="s">
        <v>59</v>
      </c>
      <c r="E27" s="7" t="s">
        <v>187</v>
      </c>
      <c r="F27" s="6" t="s">
        <v>290</v>
      </c>
      <c r="G27" s="7" t="s">
        <v>374</v>
      </c>
      <c r="H27" s="6" t="s">
        <v>458</v>
      </c>
      <c r="I27" s="7" t="s">
        <v>520</v>
      </c>
      <c r="J27" s="6">
        <v>4</v>
      </c>
      <c r="K27" s="6"/>
    </row>
    <row r="28" spans="1:11" ht="24.75" thickBot="1" x14ac:dyDescent="0.3">
      <c r="A28" s="1"/>
      <c r="B28" s="10">
        <f t="shared" si="0"/>
        <v>26</v>
      </c>
      <c r="C28" s="12" t="s">
        <v>2</v>
      </c>
      <c r="D28" s="8" t="s">
        <v>60</v>
      </c>
      <c r="E28" s="9" t="s">
        <v>188</v>
      </c>
      <c r="F28" s="8" t="s">
        <v>290</v>
      </c>
      <c r="G28" s="9" t="s">
        <v>375</v>
      </c>
      <c r="H28" s="8" t="s">
        <v>458</v>
      </c>
      <c r="I28" s="9" t="s">
        <v>526</v>
      </c>
      <c r="J28" s="8">
        <v>12</v>
      </c>
      <c r="K28" s="8"/>
    </row>
    <row r="29" spans="1:11" ht="24.75" thickBot="1" x14ac:dyDescent="0.3">
      <c r="A29" s="1"/>
      <c r="B29" s="10">
        <f>ROW(B29) - ROW($B$2)</f>
        <v>27</v>
      </c>
      <c r="C29" s="11" t="s">
        <v>2</v>
      </c>
      <c r="D29" s="6" t="s">
        <v>61</v>
      </c>
      <c r="E29" s="7" t="s">
        <v>189</v>
      </c>
      <c r="F29" s="6" t="s">
        <v>288</v>
      </c>
      <c r="G29" s="7" t="s">
        <v>376</v>
      </c>
      <c r="H29" s="6" t="s">
        <v>458</v>
      </c>
      <c r="I29" s="7" t="s">
        <v>527</v>
      </c>
      <c r="J29" s="6">
        <v>12</v>
      </c>
      <c r="K29" s="6"/>
    </row>
    <row r="30" spans="1:11" ht="15.75" thickBot="1" x14ac:dyDescent="0.3">
      <c r="A30" s="1"/>
      <c r="B30" s="10">
        <f t="shared" si="0"/>
        <v>28</v>
      </c>
      <c r="C30" s="12" t="s">
        <v>2</v>
      </c>
      <c r="D30" s="8" t="s">
        <v>62</v>
      </c>
      <c r="E30" s="9" t="s">
        <v>190</v>
      </c>
      <c r="F30" s="8" t="s">
        <v>288</v>
      </c>
      <c r="G30" s="9" t="s">
        <v>377</v>
      </c>
      <c r="H30" s="8" t="s">
        <v>458</v>
      </c>
      <c r="I30" s="9" t="s">
        <v>513</v>
      </c>
      <c r="J30" s="8">
        <v>1</v>
      </c>
      <c r="K30" s="8"/>
    </row>
    <row r="31" spans="1:11" ht="36.75" thickBot="1" x14ac:dyDescent="0.3">
      <c r="A31" s="1"/>
      <c r="B31" s="10">
        <f>ROW(B31) - ROW($B$2)</f>
        <v>29</v>
      </c>
      <c r="C31" s="11" t="s">
        <v>2</v>
      </c>
      <c r="D31" s="6" t="s">
        <v>63</v>
      </c>
      <c r="E31" s="7" t="s">
        <v>191</v>
      </c>
      <c r="F31" s="6" t="s">
        <v>288</v>
      </c>
      <c r="G31" s="7" t="s">
        <v>378</v>
      </c>
      <c r="H31" s="6" t="s">
        <v>466</v>
      </c>
      <c r="I31" s="7" t="s">
        <v>528</v>
      </c>
      <c r="J31" s="6">
        <v>1</v>
      </c>
      <c r="K31" s="6"/>
    </row>
    <row r="32" spans="1:11" ht="15.75" thickBot="1" x14ac:dyDescent="0.3">
      <c r="A32" s="1"/>
      <c r="B32" s="10">
        <f t="shared" si="0"/>
        <v>30</v>
      </c>
      <c r="C32" s="12" t="s">
        <v>2</v>
      </c>
      <c r="D32" s="8" t="s">
        <v>64</v>
      </c>
      <c r="E32" s="9" t="s">
        <v>192</v>
      </c>
      <c r="F32" s="8" t="s">
        <v>288</v>
      </c>
      <c r="G32" s="9" t="s">
        <v>379</v>
      </c>
      <c r="H32" s="8" t="s">
        <v>465</v>
      </c>
      <c r="I32" s="9" t="s">
        <v>529</v>
      </c>
      <c r="J32" s="8">
        <v>8</v>
      </c>
      <c r="K32" s="8"/>
    </row>
    <row r="33" spans="1:11" ht="15.75" thickBot="1" x14ac:dyDescent="0.3">
      <c r="A33" s="1"/>
      <c r="B33" s="10">
        <f>ROW(B33) - ROW($B$2)</f>
        <v>31</v>
      </c>
      <c r="C33" s="11" t="s">
        <v>2</v>
      </c>
      <c r="D33" s="6" t="s">
        <v>65</v>
      </c>
      <c r="E33" s="7" t="s">
        <v>193</v>
      </c>
      <c r="F33" s="6" t="s">
        <v>288</v>
      </c>
      <c r="G33" s="7" t="s">
        <v>380</v>
      </c>
      <c r="H33" s="6" t="s">
        <v>458</v>
      </c>
      <c r="I33" s="7" t="s">
        <v>530</v>
      </c>
      <c r="J33" s="6">
        <v>2</v>
      </c>
      <c r="K33" s="6"/>
    </row>
    <row r="34" spans="1:11" ht="36.75" thickBot="1" x14ac:dyDescent="0.3">
      <c r="A34" s="1"/>
      <c r="B34" s="10">
        <f t="shared" si="0"/>
        <v>32</v>
      </c>
      <c r="C34" s="12" t="s">
        <v>5</v>
      </c>
      <c r="D34" s="8" t="s">
        <v>66</v>
      </c>
      <c r="E34" s="9" t="s">
        <v>194</v>
      </c>
      <c r="F34" s="8" t="s">
        <v>297</v>
      </c>
      <c r="G34" s="9" t="s">
        <v>381</v>
      </c>
      <c r="H34" s="8" t="s">
        <v>467</v>
      </c>
      <c r="I34" s="9" t="s">
        <v>570</v>
      </c>
      <c r="J34" s="8">
        <v>2</v>
      </c>
      <c r="K34" s="8"/>
    </row>
    <row r="35" spans="1:11" ht="24.75" thickBot="1" x14ac:dyDescent="0.3">
      <c r="A35" s="1"/>
      <c r="B35" s="10">
        <f>ROW(B35) - ROW($B$2)</f>
        <v>33</v>
      </c>
      <c r="C35" s="11" t="s">
        <v>7</v>
      </c>
      <c r="D35" s="6" t="s">
        <v>67</v>
      </c>
      <c r="E35" s="7" t="s">
        <v>195</v>
      </c>
      <c r="F35" s="6" t="s">
        <v>298</v>
      </c>
      <c r="G35" s="7" t="s">
        <v>382</v>
      </c>
      <c r="H35" s="6" t="s">
        <v>468</v>
      </c>
      <c r="I35" s="9" t="s">
        <v>570</v>
      </c>
      <c r="J35" s="6">
        <v>10</v>
      </c>
      <c r="K35" s="6"/>
    </row>
    <row r="36" spans="1:11" ht="15.75" thickBot="1" x14ac:dyDescent="0.3">
      <c r="A36" s="1"/>
      <c r="B36" s="10">
        <f t="shared" si="0"/>
        <v>34</v>
      </c>
      <c r="C36" s="12" t="s">
        <v>6</v>
      </c>
      <c r="D36" s="8" t="s">
        <v>68</v>
      </c>
      <c r="E36" s="9" t="s">
        <v>196</v>
      </c>
      <c r="F36" s="8" t="s">
        <v>299</v>
      </c>
      <c r="G36" s="9" t="s">
        <v>383</v>
      </c>
      <c r="H36" s="8" t="s">
        <v>469</v>
      </c>
      <c r="I36" s="9" t="s">
        <v>570</v>
      </c>
      <c r="J36" s="8">
        <v>1</v>
      </c>
      <c r="K36" s="8"/>
    </row>
    <row r="37" spans="1:11" ht="15.75" thickBot="1" x14ac:dyDescent="0.3">
      <c r="A37" s="1"/>
      <c r="B37" s="10">
        <f>ROW(B37) - ROW($B$2)</f>
        <v>35</v>
      </c>
      <c r="C37" s="11" t="s">
        <v>7</v>
      </c>
      <c r="D37" s="6" t="s">
        <v>69</v>
      </c>
      <c r="E37" s="7" t="s">
        <v>197</v>
      </c>
      <c r="F37" s="6" t="s">
        <v>300</v>
      </c>
      <c r="G37" s="7" t="s">
        <v>384</v>
      </c>
      <c r="H37" s="6" t="s">
        <v>470</v>
      </c>
      <c r="I37" s="9" t="s">
        <v>570</v>
      </c>
      <c r="J37" s="6">
        <v>2</v>
      </c>
      <c r="K37" s="6"/>
    </row>
    <row r="38" spans="1:11" ht="15.75" thickBot="1" x14ac:dyDescent="0.3">
      <c r="A38" s="1"/>
      <c r="B38" s="10">
        <f t="shared" si="0"/>
        <v>36</v>
      </c>
      <c r="C38" s="12" t="s">
        <v>8</v>
      </c>
      <c r="D38" s="8" t="s">
        <v>70</v>
      </c>
      <c r="E38" s="9" t="s">
        <v>198</v>
      </c>
      <c r="F38" s="8" t="s">
        <v>301</v>
      </c>
      <c r="G38" s="9" t="s">
        <v>385</v>
      </c>
      <c r="H38" s="8" t="s">
        <v>471</v>
      </c>
      <c r="I38" s="9" t="s">
        <v>570</v>
      </c>
      <c r="J38" s="8">
        <v>2</v>
      </c>
      <c r="K38" s="8"/>
    </row>
    <row r="39" spans="1:11" ht="15.75" thickBot="1" x14ac:dyDescent="0.3">
      <c r="A39" s="1"/>
      <c r="B39" s="10">
        <f>ROW(B39) - ROW($B$2)</f>
        <v>37</v>
      </c>
      <c r="C39" s="11" t="s">
        <v>7</v>
      </c>
      <c r="D39" s="6" t="s">
        <v>71</v>
      </c>
      <c r="E39" s="7" t="s">
        <v>199</v>
      </c>
      <c r="F39" s="6" t="s">
        <v>301</v>
      </c>
      <c r="G39" s="7" t="s">
        <v>386</v>
      </c>
      <c r="H39" s="6" t="s">
        <v>472</v>
      </c>
      <c r="I39" s="9" t="s">
        <v>570</v>
      </c>
      <c r="J39" s="6">
        <v>6</v>
      </c>
      <c r="K39" s="6"/>
    </row>
    <row r="40" spans="1:11" ht="15.75" thickBot="1" x14ac:dyDescent="0.3">
      <c r="A40" s="1"/>
      <c r="B40" s="10">
        <f t="shared" si="0"/>
        <v>38</v>
      </c>
      <c r="C40" s="12" t="s">
        <v>8</v>
      </c>
      <c r="D40" s="8" t="s">
        <v>72</v>
      </c>
      <c r="E40" s="9" t="s">
        <v>200</v>
      </c>
      <c r="F40" s="8" t="s">
        <v>302</v>
      </c>
      <c r="G40" s="9" t="s">
        <v>387</v>
      </c>
      <c r="H40" s="8" t="s">
        <v>473</v>
      </c>
      <c r="I40" s="9" t="s">
        <v>570</v>
      </c>
      <c r="J40" s="8">
        <v>2</v>
      </c>
      <c r="K40" s="8"/>
    </row>
    <row r="41" spans="1:11" ht="24.75" thickBot="1" x14ac:dyDescent="0.3">
      <c r="A41" s="1"/>
      <c r="B41" s="10">
        <f>ROW(B41) - ROW($B$2)</f>
        <v>39</v>
      </c>
      <c r="C41" s="11" t="s">
        <v>7</v>
      </c>
      <c r="D41" s="6" t="s">
        <v>73</v>
      </c>
      <c r="E41" s="7" t="s">
        <v>201</v>
      </c>
      <c r="F41" s="6" t="s">
        <v>303</v>
      </c>
      <c r="G41" s="7" t="s">
        <v>388</v>
      </c>
      <c r="H41" s="6" t="s">
        <v>474</v>
      </c>
      <c r="I41" s="9" t="s">
        <v>570</v>
      </c>
      <c r="J41" s="6">
        <v>4</v>
      </c>
      <c r="K41" s="6"/>
    </row>
    <row r="42" spans="1:11" ht="24.75" thickBot="1" x14ac:dyDescent="0.3">
      <c r="A42" s="1"/>
      <c r="B42" s="10">
        <f t="shared" si="0"/>
        <v>40</v>
      </c>
      <c r="C42" s="12" t="s">
        <v>9</v>
      </c>
      <c r="D42" s="8" t="s">
        <v>74</v>
      </c>
      <c r="E42" s="9" t="s">
        <v>202</v>
      </c>
      <c r="F42" s="8" t="s">
        <v>304</v>
      </c>
      <c r="G42" s="9" t="s">
        <v>389</v>
      </c>
      <c r="H42" s="8" t="s">
        <v>469</v>
      </c>
      <c r="I42" s="9" t="s">
        <v>570</v>
      </c>
      <c r="J42" s="8">
        <v>16</v>
      </c>
      <c r="K42" s="8"/>
    </row>
    <row r="43" spans="1:11" ht="24.75" thickBot="1" x14ac:dyDescent="0.3">
      <c r="A43" s="1"/>
      <c r="B43" s="10">
        <f>ROW(B43) - ROW($B$2)</f>
        <v>41</v>
      </c>
      <c r="C43" s="11" t="s">
        <v>7</v>
      </c>
      <c r="D43" s="6" t="s">
        <v>75</v>
      </c>
      <c r="E43" s="7" t="s">
        <v>203</v>
      </c>
      <c r="F43" s="6" t="s">
        <v>305</v>
      </c>
      <c r="G43" s="7" t="s">
        <v>390</v>
      </c>
      <c r="H43" s="6" t="s">
        <v>475</v>
      </c>
      <c r="I43" s="9" t="s">
        <v>570</v>
      </c>
      <c r="J43" s="6">
        <v>8</v>
      </c>
      <c r="K43" s="6"/>
    </row>
    <row r="44" spans="1:11" ht="24.75" thickBot="1" x14ac:dyDescent="0.3">
      <c r="A44" s="1"/>
      <c r="B44" s="10">
        <f t="shared" si="0"/>
        <v>42</v>
      </c>
      <c r="C44" s="12" t="s">
        <v>10</v>
      </c>
      <c r="D44" s="8" t="s">
        <v>76</v>
      </c>
      <c r="E44" s="9" t="s">
        <v>204</v>
      </c>
      <c r="F44" s="8" t="s">
        <v>306</v>
      </c>
      <c r="G44" s="9" t="s">
        <v>391</v>
      </c>
      <c r="H44" s="8" t="s">
        <v>471</v>
      </c>
      <c r="I44" s="9" t="s">
        <v>570</v>
      </c>
      <c r="J44" s="8">
        <v>14</v>
      </c>
      <c r="K44" s="8"/>
    </row>
    <row r="45" spans="1:11" ht="24.75" thickBot="1" x14ac:dyDescent="0.3">
      <c r="A45" s="1"/>
      <c r="B45" s="10">
        <f>ROW(B45) - ROW($B$2)</f>
        <v>43</v>
      </c>
      <c r="C45" s="11" t="s">
        <v>11</v>
      </c>
      <c r="D45" s="6" t="s">
        <v>77</v>
      </c>
      <c r="E45" s="7" t="s">
        <v>205</v>
      </c>
      <c r="F45" s="6" t="s">
        <v>307</v>
      </c>
      <c r="G45" s="7" t="s">
        <v>392</v>
      </c>
      <c r="H45" s="6" t="s">
        <v>465</v>
      </c>
      <c r="I45" s="9" t="s">
        <v>570</v>
      </c>
      <c r="J45" s="6">
        <v>13</v>
      </c>
      <c r="K45" s="6"/>
    </row>
    <row r="46" spans="1:11" ht="15.75" thickBot="1" x14ac:dyDescent="0.3">
      <c r="A46" s="1"/>
      <c r="B46" s="10">
        <f t="shared" si="0"/>
        <v>44</v>
      </c>
      <c r="C46" s="12" t="s">
        <v>12</v>
      </c>
      <c r="D46" s="8" t="s">
        <v>78</v>
      </c>
      <c r="E46" s="9" t="s">
        <v>206</v>
      </c>
      <c r="F46" s="8" t="s">
        <v>308</v>
      </c>
      <c r="G46" s="8" t="s">
        <v>584</v>
      </c>
      <c r="H46" s="8" t="s">
        <v>585</v>
      </c>
      <c r="I46" s="9" t="s">
        <v>570</v>
      </c>
      <c r="J46" s="8">
        <v>1</v>
      </c>
      <c r="K46" s="8"/>
    </row>
    <row r="47" spans="1:11" ht="48.75" thickBot="1" x14ac:dyDescent="0.3">
      <c r="A47" s="1"/>
      <c r="B47" s="10">
        <f>ROW(B47) - ROW($B$2)</f>
        <v>45</v>
      </c>
      <c r="C47" s="11" t="s">
        <v>12</v>
      </c>
      <c r="D47" s="6" t="s">
        <v>79</v>
      </c>
      <c r="E47" s="7" t="s">
        <v>207</v>
      </c>
      <c r="F47" s="6" t="s">
        <v>309</v>
      </c>
      <c r="G47" s="7" t="s">
        <v>393</v>
      </c>
      <c r="H47" s="6" t="s">
        <v>476</v>
      </c>
      <c r="I47" s="9" t="s">
        <v>570</v>
      </c>
      <c r="J47" s="6">
        <v>1</v>
      </c>
      <c r="K47" s="6"/>
    </row>
    <row r="48" spans="1:11" ht="24.75" thickBot="1" x14ac:dyDescent="0.3">
      <c r="A48" s="1"/>
      <c r="B48" s="10">
        <f t="shared" si="0"/>
        <v>46</v>
      </c>
      <c r="C48" s="12" t="s">
        <v>13</v>
      </c>
      <c r="D48" s="8" t="s">
        <v>80</v>
      </c>
      <c r="E48" s="9" t="s">
        <v>208</v>
      </c>
      <c r="F48" s="6" t="s">
        <v>569</v>
      </c>
      <c r="G48" s="9" t="s">
        <v>394</v>
      </c>
      <c r="H48" s="8" t="s">
        <v>477</v>
      </c>
      <c r="I48" s="9" t="s">
        <v>570</v>
      </c>
      <c r="J48" s="8">
        <v>5</v>
      </c>
      <c r="K48" s="8"/>
    </row>
    <row r="49" spans="1:11" ht="15.75" thickBot="1" x14ac:dyDescent="0.3">
      <c r="A49" s="1"/>
      <c r="B49" s="10">
        <f>ROW(B49) - ROW($B$2)</f>
        <v>47</v>
      </c>
      <c r="C49" s="11" t="s">
        <v>14</v>
      </c>
      <c r="D49" s="6" t="s">
        <v>81</v>
      </c>
      <c r="E49" s="7" t="s">
        <v>209</v>
      </c>
      <c r="F49" s="6" t="s">
        <v>569</v>
      </c>
      <c r="G49" s="7" t="s">
        <v>395</v>
      </c>
      <c r="H49" s="6" t="s">
        <v>478</v>
      </c>
      <c r="I49" s="9" t="s">
        <v>570</v>
      </c>
      <c r="J49" s="6">
        <v>1</v>
      </c>
      <c r="K49" s="6"/>
    </row>
    <row r="50" spans="1:11" ht="48.75" thickBot="1" x14ac:dyDescent="0.3">
      <c r="A50" s="1"/>
      <c r="B50" s="10">
        <f t="shared" si="0"/>
        <v>48</v>
      </c>
      <c r="C50" s="12" t="s">
        <v>15</v>
      </c>
      <c r="D50" s="8" t="s">
        <v>82</v>
      </c>
      <c r="E50" s="9" t="s">
        <v>210</v>
      </c>
      <c r="F50" s="6" t="s">
        <v>569</v>
      </c>
      <c r="G50" s="9" t="s">
        <v>310</v>
      </c>
      <c r="H50" s="8" t="s">
        <v>479</v>
      </c>
      <c r="I50" s="9" t="s">
        <v>570</v>
      </c>
      <c r="J50" s="8">
        <v>1</v>
      </c>
      <c r="K50" s="8"/>
    </row>
    <row r="51" spans="1:11" ht="15.75" thickBot="1" x14ac:dyDescent="0.3">
      <c r="A51" s="1"/>
      <c r="B51" s="10">
        <f>ROW(B51) - ROW($B$2)</f>
        <v>49</v>
      </c>
      <c r="C51" s="11" t="s">
        <v>16</v>
      </c>
      <c r="D51" s="6" t="s">
        <v>83</v>
      </c>
      <c r="E51" s="7" t="s">
        <v>211</v>
      </c>
      <c r="F51" s="6" t="s">
        <v>569</v>
      </c>
      <c r="G51" s="7" t="s">
        <v>311</v>
      </c>
      <c r="H51" s="6" t="s">
        <v>480</v>
      </c>
      <c r="I51" s="9" t="s">
        <v>570</v>
      </c>
      <c r="J51" s="6">
        <v>5</v>
      </c>
      <c r="K51" s="6"/>
    </row>
    <row r="52" spans="1:11" ht="24.75" thickBot="1" x14ac:dyDescent="0.3">
      <c r="A52" s="1"/>
      <c r="B52" s="10">
        <f t="shared" si="0"/>
        <v>50</v>
      </c>
      <c r="C52" s="12" t="s">
        <v>15</v>
      </c>
      <c r="D52" s="8" t="s">
        <v>84</v>
      </c>
      <c r="E52" s="9" t="s">
        <v>212</v>
      </c>
      <c r="F52" s="6" t="s">
        <v>569</v>
      </c>
      <c r="G52" s="9" t="s">
        <v>312</v>
      </c>
      <c r="H52" s="8" t="s">
        <v>481</v>
      </c>
      <c r="I52" s="9" t="s">
        <v>570</v>
      </c>
      <c r="J52" s="8">
        <v>1</v>
      </c>
      <c r="K52" s="8"/>
    </row>
    <row r="53" spans="1:11" ht="48.75" thickBot="1" x14ac:dyDescent="0.3">
      <c r="A53" s="1"/>
      <c r="B53" s="10">
        <f>ROW(B53) - ROW($B$2)</f>
        <v>51</v>
      </c>
      <c r="C53" s="11" t="s">
        <v>12</v>
      </c>
      <c r="D53" s="6" t="s">
        <v>85</v>
      </c>
      <c r="E53" s="7" t="s">
        <v>213</v>
      </c>
      <c r="F53" s="6" t="s">
        <v>313</v>
      </c>
      <c r="G53" s="7" t="s">
        <v>396</v>
      </c>
      <c r="H53" s="6" t="s">
        <v>476</v>
      </c>
      <c r="I53" s="9" t="s">
        <v>570</v>
      </c>
      <c r="J53" s="6">
        <v>14</v>
      </c>
      <c r="K53" s="6"/>
    </row>
    <row r="54" spans="1:11" ht="48.75" thickBot="1" x14ac:dyDescent="0.3">
      <c r="A54" s="1"/>
      <c r="B54" s="10">
        <f t="shared" si="0"/>
        <v>52</v>
      </c>
      <c r="C54" s="12" t="s">
        <v>15</v>
      </c>
      <c r="D54" s="8" t="s">
        <v>86</v>
      </c>
      <c r="E54" s="9" t="s">
        <v>214</v>
      </c>
      <c r="F54" s="6" t="s">
        <v>569</v>
      </c>
      <c r="G54" s="9" t="s">
        <v>314</v>
      </c>
      <c r="H54" s="8" t="s">
        <v>482</v>
      </c>
      <c r="I54" s="9" t="s">
        <v>570</v>
      </c>
      <c r="J54" s="8">
        <v>4</v>
      </c>
      <c r="K54" s="8"/>
    </row>
    <row r="55" spans="1:11" ht="60.75" thickBot="1" x14ac:dyDescent="0.3">
      <c r="A55" s="1"/>
      <c r="B55" s="10">
        <f>ROW(B55) - ROW($B$2)</f>
        <v>53</v>
      </c>
      <c r="C55" s="11" t="s">
        <v>17</v>
      </c>
      <c r="D55" s="6" t="s">
        <v>87</v>
      </c>
      <c r="E55" s="7" t="s">
        <v>215</v>
      </c>
      <c r="F55" s="6" t="s">
        <v>569</v>
      </c>
      <c r="G55" s="7" t="s">
        <v>315</v>
      </c>
      <c r="H55" s="6" t="s">
        <v>483</v>
      </c>
      <c r="I55" s="9" t="s">
        <v>570</v>
      </c>
      <c r="J55" s="6">
        <v>2</v>
      </c>
      <c r="K55" s="6"/>
    </row>
    <row r="56" spans="1:11" ht="36.75" thickBot="1" x14ac:dyDescent="0.3">
      <c r="A56" s="1"/>
      <c r="B56" s="10">
        <f t="shared" si="0"/>
        <v>54</v>
      </c>
      <c r="C56" s="12" t="s">
        <v>18</v>
      </c>
      <c r="D56" s="8" t="s">
        <v>88</v>
      </c>
      <c r="E56" s="9" t="s">
        <v>216</v>
      </c>
      <c r="F56" s="6" t="s">
        <v>569</v>
      </c>
      <c r="G56" s="9" t="s">
        <v>316</v>
      </c>
      <c r="H56" s="8" t="s">
        <v>484</v>
      </c>
      <c r="I56" s="9" t="s">
        <v>570</v>
      </c>
      <c r="J56" s="8">
        <v>8</v>
      </c>
      <c r="K56" s="8"/>
    </row>
    <row r="57" spans="1:11" ht="15.75" thickBot="1" x14ac:dyDescent="0.3">
      <c r="A57" s="1"/>
      <c r="B57" s="10">
        <f>ROW(B57) - ROW($B$2)</f>
        <v>55</v>
      </c>
      <c r="C57" s="11" t="s">
        <v>19</v>
      </c>
      <c r="D57" s="6" t="s">
        <v>89</v>
      </c>
      <c r="E57" s="7" t="s">
        <v>217</v>
      </c>
      <c r="F57" s="6" t="s">
        <v>569</v>
      </c>
      <c r="G57" s="7" t="s">
        <v>317</v>
      </c>
      <c r="H57" s="6" t="s">
        <v>485</v>
      </c>
      <c r="I57" s="9" t="s">
        <v>570</v>
      </c>
      <c r="J57" s="6">
        <v>4</v>
      </c>
      <c r="K57" s="6"/>
    </row>
    <row r="58" spans="1:11" ht="48.75" thickBot="1" x14ac:dyDescent="0.3">
      <c r="A58" s="1"/>
      <c r="B58" s="10">
        <f t="shared" si="0"/>
        <v>56</v>
      </c>
      <c r="C58" s="12" t="s">
        <v>12</v>
      </c>
      <c r="D58" s="8" t="s">
        <v>90</v>
      </c>
      <c r="E58" s="9" t="s">
        <v>218</v>
      </c>
      <c r="F58" s="8" t="s">
        <v>318</v>
      </c>
      <c r="G58" s="9" t="s">
        <v>397</v>
      </c>
      <c r="H58" s="8" t="s">
        <v>476</v>
      </c>
      <c r="I58" s="9" t="s">
        <v>570</v>
      </c>
      <c r="J58" s="8">
        <v>4</v>
      </c>
      <c r="K58" s="8"/>
    </row>
    <row r="59" spans="1:11" ht="15.75" thickBot="1" x14ac:dyDescent="0.3">
      <c r="A59" s="1"/>
      <c r="B59" s="10">
        <f>ROW(B59) - ROW($B$2)</f>
        <v>57</v>
      </c>
      <c r="C59" s="11" t="s">
        <v>19</v>
      </c>
      <c r="D59" s="6" t="s">
        <v>91</v>
      </c>
      <c r="E59" s="7" t="s">
        <v>219</v>
      </c>
      <c r="F59" s="6" t="s">
        <v>569</v>
      </c>
      <c r="G59" s="7" t="s">
        <v>319</v>
      </c>
      <c r="H59" s="6" t="s">
        <v>485</v>
      </c>
      <c r="I59" s="9" t="s">
        <v>570</v>
      </c>
      <c r="J59" s="6">
        <v>4</v>
      </c>
      <c r="K59" s="6"/>
    </row>
    <row r="60" spans="1:11" ht="36.75" thickBot="1" x14ac:dyDescent="0.3">
      <c r="A60" s="1"/>
      <c r="B60" s="10">
        <f t="shared" si="0"/>
        <v>58</v>
      </c>
      <c r="C60" s="12" t="s">
        <v>20</v>
      </c>
      <c r="D60" s="8" t="s">
        <v>92</v>
      </c>
      <c r="E60" s="9" t="s">
        <v>220</v>
      </c>
      <c r="F60" s="6" t="s">
        <v>569</v>
      </c>
      <c r="G60" s="9" t="s">
        <v>320</v>
      </c>
      <c r="H60" s="8" t="s">
        <v>486</v>
      </c>
      <c r="I60" s="9" t="s">
        <v>570</v>
      </c>
      <c r="J60" s="8">
        <v>2</v>
      </c>
      <c r="K60" s="8"/>
    </row>
    <row r="61" spans="1:11" ht="15.75" thickBot="1" x14ac:dyDescent="0.3">
      <c r="A61" s="1"/>
      <c r="B61" s="10">
        <f>ROW(B61) - ROW($B$2)</f>
        <v>59</v>
      </c>
      <c r="C61" s="11" t="s">
        <v>11</v>
      </c>
      <c r="D61" s="6" t="s">
        <v>93</v>
      </c>
      <c r="E61" s="7" t="s">
        <v>221</v>
      </c>
      <c r="F61" s="6" t="s">
        <v>321</v>
      </c>
      <c r="G61" s="7" t="s">
        <v>398</v>
      </c>
      <c r="H61" s="6" t="s">
        <v>465</v>
      </c>
      <c r="I61" s="9" t="s">
        <v>570</v>
      </c>
      <c r="J61" s="6">
        <v>1</v>
      </c>
      <c r="K61" s="6"/>
    </row>
    <row r="62" spans="1:11" ht="15.75" thickBot="1" x14ac:dyDescent="0.3">
      <c r="A62" s="1"/>
      <c r="B62" s="10">
        <f t="shared" si="0"/>
        <v>60</v>
      </c>
      <c r="C62" s="12" t="s">
        <v>21</v>
      </c>
      <c r="D62" s="8" t="s">
        <v>94</v>
      </c>
      <c r="E62" s="9" t="s">
        <v>222</v>
      </c>
      <c r="F62" s="6" t="s">
        <v>569</v>
      </c>
      <c r="G62" s="9" t="s">
        <v>399</v>
      </c>
      <c r="H62" s="8" t="s">
        <v>487</v>
      </c>
      <c r="I62" s="9" t="s">
        <v>531</v>
      </c>
      <c r="J62" s="8">
        <v>1</v>
      </c>
      <c r="K62" s="8"/>
    </row>
    <row r="63" spans="1:11" ht="36.75" thickBot="1" x14ac:dyDescent="0.3">
      <c r="A63" s="1"/>
      <c r="B63" s="10">
        <f>ROW(B63) - ROW($B$2)</f>
        <v>61</v>
      </c>
      <c r="C63" s="11" t="s">
        <v>21</v>
      </c>
      <c r="D63" s="6" t="s">
        <v>95</v>
      </c>
      <c r="E63" s="7" t="s">
        <v>223</v>
      </c>
      <c r="F63" s="6" t="s">
        <v>569</v>
      </c>
      <c r="G63" s="7" t="s">
        <v>322</v>
      </c>
      <c r="H63" s="6" t="s">
        <v>488</v>
      </c>
      <c r="I63" s="7" t="s">
        <v>532</v>
      </c>
      <c r="J63" s="6">
        <v>4</v>
      </c>
      <c r="K63" s="6"/>
    </row>
    <row r="64" spans="1:11" ht="24.75" thickBot="1" x14ac:dyDescent="0.3">
      <c r="A64" s="1"/>
      <c r="B64" s="10">
        <f t="shared" si="0"/>
        <v>62</v>
      </c>
      <c r="C64" s="12" t="s">
        <v>22</v>
      </c>
      <c r="D64" s="8" t="s">
        <v>96</v>
      </c>
      <c r="E64" s="9" t="s">
        <v>224</v>
      </c>
      <c r="F64" s="8" t="s">
        <v>323</v>
      </c>
      <c r="G64" s="9" t="s">
        <v>400</v>
      </c>
      <c r="H64" s="8" t="s">
        <v>489</v>
      </c>
      <c r="I64" s="9" t="s">
        <v>570</v>
      </c>
      <c r="J64" s="8">
        <v>8</v>
      </c>
      <c r="K64" s="8"/>
    </row>
    <row r="65" spans="1:11" ht="24.75" thickBot="1" x14ac:dyDescent="0.3">
      <c r="A65" s="1"/>
      <c r="B65" s="10">
        <f>ROW(B65) - ROW($B$2)</f>
        <v>63</v>
      </c>
      <c r="C65" s="11" t="s">
        <v>22</v>
      </c>
      <c r="D65" s="6" t="s">
        <v>97</v>
      </c>
      <c r="E65" s="7" t="s">
        <v>225</v>
      </c>
      <c r="F65" s="6" t="s">
        <v>323</v>
      </c>
      <c r="G65" s="7" t="s">
        <v>401</v>
      </c>
      <c r="H65" s="6" t="s">
        <v>489</v>
      </c>
      <c r="I65" s="7"/>
      <c r="J65" s="6">
        <v>5</v>
      </c>
      <c r="K65" s="6"/>
    </row>
    <row r="66" spans="1:11" ht="24.75" thickBot="1" x14ac:dyDescent="0.3">
      <c r="A66" s="1"/>
      <c r="B66" s="10">
        <f t="shared" si="0"/>
        <v>64</v>
      </c>
      <c r="C66" s="12" t="s">
        <v>23</v>
      </c>
      <c r="D66" s="8" t="s">
        <v>98</v>
      </c>
      <c r="E66" s="9" t="s">
        <v>226</v>
      </c>
      <c r="F66" s="6" t="s">
        <v>569</v>
      </c>
      <c r="G66" s="9" t="s">
        <v>324</v>
      </c>
      <c r="H66" s="8" t="s">
        <v>471</v>
      </c>
      <c r="I66" s="9" t="s">
        <v>533</v>
      </c>
      <c r="J66" s="8">
        <v>16</v>
      </c>
      <c r="K66" s="8"/>
    </row>
    <row r="67" spans="1:11" ht="15.75" thickBot="1" x14ac:dyDescent="0.3">
      <c r="A67" s="1"/>
      <c r="B67" s="10">
        <f>ROW(B67) - ROW($B$2)</f>
        <v>65</v>
      </c>
      <c r="C67" s="11" t="s">
        <v>6</v>
      </c>
      <c r="D67" s="6" t="s">
        <v>99</v>
      </c>
      <c r="E67" s="7" t="s">
        <v>227</v>
      </c>
      <c r="F67" s="6" t="s">
        <v>325</v>
      </c>
      <c r="G67" s="7" t="s">
        <v>402</v>
      </c>
      <c r="H67" s="6" t="s">
        <v>469</v>
      </c>
      <c r="I67" s="7"/>
      <c r="J67" s="6">
        <v>1</v>
      </c>
      <c r="K67" s="6"/>
    </row>
    <row r="68" spans="1:11" ht="15.75" thickBot="1" x14ac:dyDescent="0.3">
      <c r="A68" s="1"/>
      <c r="B68" s="10">
        <f t="shared" si="0"/>
        <v>66</v>
      </c>
      <c r="C68" s="12" t="s">
        <v>24</v>
      </c>
      <c r="D68" s="8" t="s">
        <v>100</v>
      </c>
      <c r="E68" s="9" t="s">
        <v>228</v>
      </c>
      <c r="F68" s="8" t="s">
        <v>326</v>
      </c>
      <c r="G68" s="9" t="s">
        <v>403</v>
      </c>
      <c r="H68" s="8" t="s">
        <v>472</v>
      </c>
      <c r="I68" s="9"/>
      <c r="J68" s="8">
        <v>4</v>
      </c>
      <c r="K68" s="8"/>
    </row>
    <row r="69" spans="1:11" ht="24.75" thickBot="1" x14ac:dyDescent="0.3">
      <c r="A69" s="1"/>
      <c r="B69" s="10">
        <f>ROW(B69) - ROW($B$2)</f>
        <v>67</v>
      </c>
      <c r="C69" s="11" t="s">
        <v>24</v>
      </c>
      <c r="D69" s="6" t="s">
        <v>101</v>
      </c>
      <c r="E69" s="7" t="s">
        <v>229</v>
      </c>
      <c r="F69" s="6" t="s">
        <v>327</v>
      </c>
      <c r="G69" s="7" t="s">
        <v>404</v>
      </c>
      <c r="H69" s="6" t="s">
        <v>469</v>
      </c>
      <c r="I69" s="7"/>
      <c r="J69" s="6">
        <v>12</v>
      </c>
      <c r="K69" s="6"/>
    </row>
    <row r="70" spans="1:11" ht="15.75" thickBot="1" x14ac:dyDescent="0.3">
      <c r="A70" s="1"/>
      <c r="B70" s="10">
        <f t="shared" si="0"/>
        <v>68</v>
      </c>
      <c r="C70" s="12" t="s">
        <v>25</v>
      </c>
      <c r="D70" s="8" t="s">
        <v>102</v>
      </c>
      <c r="E70" s="9" t="s">
        <v>230</v>
      </c>
      <c r="F70" s="8" t="s">
        <v>301</v>
      </c>
      <c r="G70" s="9" t="s">
        <v>405</v>
      </c>
      <c r="H70" s="8" t="s">
        <v>468</v>
      </c>
      <c r="I70" s="9"/>
      <c r="J70" s="8">
        <v>8</v>
      </c>
      <c r="K70" s="8"/>
    </row>
    <row r="71" spans="1:11" ht="84.75" thickBot="1" x14ac:dyDescent="0.3">
      <c r="A71" s="1"/>
      <c r="B71" s="10">
        <f>ROW(B71) - ROW($B$2)</f>
        <v>69</v>
      </c>
      <c r="C71" s="11" t="s">
        <v>26</v>
      </c>
      <c r="D71" s="6" t="s">
        <v>103</v>
      </c>
      <c r="E71" s="7" t="s">
        <v>231</v>
      </c>
      <c r="F71" s="6" t="s">
        <v>328</v>
      </c>
      <c r="G71" s="7" t="s">
        <v>406</v>
      </c>
      <c r="H71" s="6" t="s">
        <v>458</v>
      </c>
      <c r="I71" s="7" t="s">
        <v>533</v>
      </c>
      <c r="J71" s="6">
        <v>49</v>
      </c>
      <c r="K71" s="6"/>
    </row>
    <row r="72" spans="1:11" ht="26.25" thickBot="1" x14ac:dyDescent="0.3">
      <c r="A72" s="1"/>
      <c r="B72" s="10">
        <f t="shared" si="0"/>
        <v>70</v>
      </c>
      <c r="C72" s="12" t="s">
        <v>26</v>
      </c>
      <c r="D72" s="13" t="s">
        <v>104</v>
      </c>
      <c r="E72" s="14" t="s">
        <v>232</v>
      </c>
      <c r="F72" s="13" t="s">
        <v>329</v>
      </c>
      <c r="G72" s="14" t="s">
        <v>407</v>
      </c>
      <c r="H72" s="13" t="s">
        <v>458</v>
      </c>
      <c r="I72" s="14" t="s">
        <v>508</v>
      </c>
      <c r="J72" s="13">
        <v>2</v>
      </c>
      <c r="K72" s="15" t="s">
        <v>571</v>
      </c>
    </row>
    <row r="73" spans="1:11" ht="24.75" thickBot="1" x14ac:dyDescent="0.3">
      <c r="A73" s="1"/>
      <c r="B73" s="10">
        <f>ROW(B73) - ROW($B$2)</f>
        <v>71</v>
      </c>
      <c r="C73" s="11" t="s">
        <v>26</v>
      </c>
      <c r="D73" s="6" t="s">
        <v>105</v>
      </c>
      <c r="E73" s="7" t="s">
        <v>232</v>
      </c>
      <c r="F73" s="6" t="s">
        <v>329</v>
      </c>
      <c r="G73" s="7" t="s">
        <v>407</v>
      </c>
      <c r="H73" s="6" t="s">
        <v>458</v>
      </c>
      <c r="I73" s="7" t="s">
        <v>534</v>
      </c>
      <c r="J73" s="6">
        <v>14</v>
      </c>
      <c r="K73" s="6"/>
    </row>
    <row r="74" spans="1:11" ht="15.75" thickBot="1" x14ac:dyDescent="0.3">
      <c r="A74" s="1"/>
      <c r="B74" s="10">
        <f t="shared" si="0"/>
        <v>72</v>
      </c>
      <c r="C74" s="12" t="s">
        <v>26</v>
      </c>
      <c r="D74" s="8" t="s">
        <v>106</v>
      </c>
      <c r="E74" s="9" t="s">
        <v>233</v>
      </c>
      <c r="F74" s="8" t="s">
        <v>328</v>
      </c>
      <c r="G74" s="9" t="s">
        <v>408</v>
      </c>
      <c r="H74" s="8" t="s">
        <v>458</v>
      </c>
      <c r="I74" s="9" t="s">
        <v>535</v>
      </c>
      <c r="J74" s="8">
        <v>5</v>
      </c>
      <c r="K74" s="8"/>
    </row>
    <row r="75" spans="1:11" ht="120.75" thickBot="1" x14ac:dyDescent="0.3">
      <c r="A75" s="1"/>
      <c r="B75" s="10">
        <f>ROW(B75) - ROW($B$2)</f>
        <v>73</v>
      </c>
      <c r="C75" s="11" t="s">
        <v>26</v>
      </c>
      <c r="D75" s="6" t="s">
        <v>107</v>
      </c>
      <c r="E75" s="7" t="s">
        <v>234</v>
      </c>
      <c r="F75" s="6" t="s">
        <v>328</v>
      </c>
      <c r="G75" s="7" t="s">
        <v>409</v>
      </c>
      <c r="H75" s="6" t="s">
        <v>458</v>
      </c>
      <c r="I75" s="7" t="s">
        <v>536</v>
      </c>
      <c r="J75" s="6">
        <v>73</v>
      </c>
      <c r="K75" s="6"/>
    </row>
    <row r="76" spans="1:11" ht="24.75" thickBot="1" x14ac:dyDescent="0.3">
      <c r="A76" s="1"/>
      <c r="B76" s="10">
        <f t="shared" si="0"/>
        <v>74</v>
      </c>
      <c r="C76" s="12" t="s">
        <v>26</v>
      </c>
      <c r="D76" s="8" t="s">
        <v>108</v>
      </c>
      <c r="E76" s="9" t="s">
        <v>235</v>
      </c>
      <c r="F76" s="8" t="s">
        <v>328</v>
      </c>
      <c r="G76" s="9" t="s">
        <v>410</v>
      </c>
      <c r="H76" s="8" t="s">
        <v>458</v>
      </c>
      <c r="I76" s="9" t="s">
        <v>537</v>
      </c>
      <c r="J76" s="8">
        <v>10</v>
      </c>
      <c r="K76" s="8"/>
    </row>
    <row r="77" spans="1:11" ht="72.75" thickBot="1" x14ac:dyDescent="0.3">
      <c r="A77" s="1"/>
      <c r="B77" s="10">
        <f>ROW(B77) - ROW($B$2)</f>
        <v>75</v>
      </c>
      <c r="C77" s="11" t="s">
        <v>27</v>
      </c>
      <c r="D77" s="13" t="s">
        <v>109</v>
      </c>
      <c r="E77" s="14" t="s">
        <v>236</v>
      </c>
      <c r="F77" s="13" t="s">
        <v>328</v>
      </c>
      <c r="G77" s="14" t="s">
        <v>411</v>
      </c>
      <c r="H77" s="13" t="s">
        <v>458</v>
      </c>
      <c r="I77" s="14" t="s">
        <v>508</v>
      </c>
      <c r="J77" s="13">
        <v>41</v>
      </c>
      <c r="K77" s="15" t="s">
        <v>571</v>
      </c>
    </row>
    <row r="78" spans="1:11" ht="288.75" thickBot="1" x14ac:dyDescent="0.3">
      <c r="A78" s="1"/>
      <c r="B78" s="10">
        <f t="shared" si="0"/>
        <v>76</v>
      </c>
      <c r="C78" s="12" t="s">
        <v>27</v>
      </c>
      <c r="D78" s="8" t="s">
        <v>110</v>
      </c>
      <c r="E78" s="9" t="s">
        <v>236</v>
      </c>
      <c r="F78" s="8" t="s">
        <v>328</v>
      </c>
      <c r="G78" s="9" t="s">
        <v>411</v>
      </c>
      <c r="H78" s="8" t="s">
        <v>458</v>
      </c>
      <c r="I78" s="9" t="s">
        <v>534</v>
      </c>
      <c r="J78" s="8">
        <v>168</v>
      </c>
      <c r="K78" s="8"/>
    </row>
    <row r="79" spans="1:11" ht="15.75" thickBot="1" x14ac:dyDescent="0.3">
      <c r="A79" s="1"/>
      <c r="B79" s="10">
        <f>ROW(B79) - ROW($B$2)</f>
        <v>77</v>
      </c>
      <c r="C79" s="11" t="s">
        <v>26</v>
      </c>
      <c r="D79" s="6" t="s">
        <v>111</v>
      </c>
      <c r="E79" s="7" t="s">
        <v>237</v>
      </c>
      <c r="F79" s="6" t="s">
        <v>330</v>
      </c>
      <c r="G79" s="7" t="s">
        <v>412</v>
      </c>
      <c r="H79" s="6" t="s">
        <v>458</v>
      </c>
      <c r="I79" s="7" t="s">
        <v>538</v>
      </c>
      <c r="J79" s="6">
        <v>5</v>
      </c>
      <c r="K79" s="6"/>
    </row>
    <row r="80" spans="1:11" ht="15.75" thickBot="1" x14ac:dyDescent="0.3">
      <c r="A80" s="1"/>
      <c r="B80" s="10">
        <f t="shared" si="0"/>
        <v>78</v>
      </c>
      <c r="C80" s="12" t="s">
        <v>26</v>
      </c>
      <c r="D80" s="8" t="s">
        <v>112</v>
      </c>
      <c r="E80" s="9" t="s">
        <v>238</v>
      </c>
      <c r="F80" s="8" t="s">
        <v>328</v>
      </c>
      <c r="G80" s="9" t="s">
        <v>413</v>
      </c>
      <c r="H80" s="8" t="s">
        <v>458</v>
      </c>
      <c r="I80" s="9" t="s">
        <v>539</v>
      </c>
      <c r="J80" s="8">
        <v>1</v>
      </c>
      <c r="K80" s="8"/>
    </row>
    <row r="81" spans="1:11" ht="15.75" thickBot="1" x14ac:dyDescent="0.3">
      <c r="A81" s="1"/>
      <c r="B81" s="10">
        <f>ROW(B81) - ROW($B$2)</f>
        <v>79</v>
      </c>
      <c r="C81" s="11" t="s">
        <v>26</v>
      </c>
      <c r="D81" s="6" t="s">
        <v>113</v>
      </c>
      <c r="E81" s="7" t="s">
        <v>239</v>
      </c>
      <c r="F81" s="6" t="s">
        <v>328</v>
      </c>
      <c r="G81" s="7" t="s">
        <v>414</v>
      </c>
      <c r="H81" s="6" t="s">
        <v>458</v>
      </c>
      <c r="I81" s="7" t="s">
        <v>540</v>
      </c>
      <c r="J81" s="6">
        <v>1</v>
      </c>
      <c r="K81" s="6"/>
    </row>
    <row r="82" spans="1:11" ht="15.75" thickBot="1" x14ac:dyDescent="0.3">
      <c r="A82" s="1"/>
      <c r="B82" s="10">
        <f t="shared" si="0"/>
        <v>80</v>
      </c>
      <c r="C82" s="11" t="s">
        <v>26</v>
      </c>
      <c r="D82" s="8" t="s">
        <v>114</v>
      </c>
      <c r="E82" s="9" t="s">
        <v>240</v>
      </c>
      <c r="F82" s="8" t="s">
        <v>328</v>
      </c>
      <c r="G82" s="9" t="s">
        <v>415</v>
      </c>
      <c r="H82" s="8" t="s">
        <v>458</v>
      </c>
      <c r="I82" s="9" t="s">
        <v>541</v>
      </c>
      <c r="J82" s="8">
        <v>1</v>
      </c>
      <c r="K82" s="8"/>
    </row>
    <row r="83" spans="1:11" ht="15.75" thickBot="1" x14ac:dyDescent="0.3">
      <c r="A83" s="1"/>
      <c r="B83" s="10">
        <f>ROW(B83) - ROW($B$2)</f>
        <v>81</v>
      </c>
      <c r="C83" s="11" t="s">
        <v>26</v>
      </c>
      <c r="D83" s="6" t="s">
        <v>115</v>
      </c>
      <c r="E83" s="7" t="s">
        <v>241</v>
      </c>
      <c r="F83" s="6" t="s">
        <v>328</v>
      </c>
      <c r="G83" s="7" t="s">
        <v>416</v>
      </c>
      <c r="H83" s="6" t="s">
        <v>458</v>
      </c>
      <c r="I83" s="7" t="s">
        <v>542</v>
      </c>
      <c r="J83" s="6">
        <v>1</v>
      </c>
      <c r="K83" s="6"/>
    </row>
    <row r="84" spans="1:11" ht="15.75" thickBot="1" x14ac:dyDescent="0.3">
      <c r="A84" s="1"/>
      <c r="B84" s="10">
        <f t="shared" si="0"/>
        <v>82</v>
      </c>
      <c r="C84" s="12" t="s">
        <v>26</v>
      </c>
      <c r="D84" s="8" t="s">
        <v>116</v>
      </c>
      <c r="E84" s="9" t="s">
        <v>242</v>
      </c>
      <c r="F84" s="8" t="s">
        <v>328</v>
      </c>
      <c r="G84" s="9" t="s">
        <v>417</v>
      </c>
      <c r="H84" s="8" t="s">
        <v>458</v>
      </c>
      <c r="I84" s="9" t="s">
        <v>543</v>
      </c>
      <c r="J84" s="8">
        <v>1</v>
      </c>
      <c r="K84" s="8"/>
    </row>
    <row r="85" spans="1:11" ht="15.75" thickBot="1" x14ac:dyDescent="0.3">
      <c r="A85" s="1"/>
      <c r="B85" s="10">
        <f>ROW(B85) - ROW($B$2)</f>
        <v>83</v>
      </c>
      <c r="C85" s="11" t="s">
        <v>26</v>
      </c>
      <c r="D85" s="6" t="s">
        <v>117</v>
      </c>
      <c r="E85" s="7" t="s">
        <v>243</v>
      </c>
      <c r="F85" s="6" t="s">
        <v>328</v>
      </c>
      <c r="G85" s="7" t="s">
        <v>418</v>
      </c>
      <c r="H85" s="6" t="s">
        <v>458</v>
      </c>
      <c r="I85" s="7" t="s">
        <v>538</v>
      </c>
      <c r="J85" s="6">
        <v>2</v>
      </c>
      <c r="K85" s="6"/>
    </row>
    <row r="86" spans="1:11" ht="15.75" thickBot="1" x14ac:dyDescent="0.3">
      <c r="A86" s="1"/>
      <c r="B86" s="10">
        <f t="shared" si="0"/>
        <v>84</v>
      </c>
      <c r="C86" s="12" t="s">
        <v>26</v>
      </c>
      <c r="D86" s="8" t="s">
        <v>118</v>
      </c>
      <c r="E86" s="9" t="s">
        <v>244</v>
      </c>
      <c r="F86" s="8" t="s">
        <v>328</v>
      </c>
      <c r="G86" s="9" t="s">
        <v>419</v>
      </c>
      <c r="H86" s="8" t="s">
        <v>490</v>
      </c>
      <c r="I86" s="9" t="s">
        <v>544</v>
      </c>
      <c r="J86" s="8">
        <v>2</v>
      </c>
      <c r="K86" s="8"/>
    </row>
    <row r="87" spans="1:11" ht="36.75" thickBot="1" x14ac:dyDescent="0.3">
      <c r="A87" s="1"/>
      <c r="B87" s="10">
        <f>ROW(B87) - ROW($B$2)</f>
        <v>85</v>
      </c>
      <c r="C87" s="12" t="s">
        <v>26</v>
      </c>
      <c r="D87" s="6" t="s">
        <v>119</v>
      </c>
      <c r="E87" s="7" t="s">
        <v>245</v>
      </c>
      <c r="F87" s="6" t="s">
        <v>329</v>
      </c>
      <c r="G87" s="7" t="s">
        <v>420</v>
      </c>
      <c r="H87" s="6"/>
      <c r="I87" s="7" t="s">
        <v>545</v>
      </c>
      <c r="J87" s="6">
        <v>4</v>
      </c>
      <c r="K87" s="6"/>
    </row>
    <row r="88" spans="1:11" ht="15.75" thickBot="1" x14ac:dyDescent="0.3">
      <c r="A88" s="1"/>
      <c r="B88" s="10">
        <f t="shared" si="0"/>
        <v>86</v>
      </c>
      <c r="C88" s="12" t="s">
        <v>26</v>
      </c>
      <c r="D88" s="8" t="s">
        <v>120</v>
      </c>
      <c r="E88" s="9" t="s">
        <v>246</v>
      </c>
      <c r="F88" s="8" t="s">
        <v>329</v>
      </c>
      <c r="G88" s="9" t="s">
        <v>421</v>
      </c>
      <c r="H88" s="8" t="s">
        <v>458</v>
      </c>
      <c r="I88" s="9" t="s">
        <v>546</v>
      </c>
      <c r="J88" s="8">
        <v>6</v>
      </c>
      <c r="K88" s="8"/>
    </row>
    <row r="89" spans="1:11" ht="24.75" thickBot="1" x14ac:dyDescent="0.3">
      <c r="A89" s="1"/>
      <c r="B89" s="10">
        <f>ROW(B89) - ROW($B$2)</f>
        <v>87</v>
      </c>
      <c r="C89" s="11" t="s">
        <v>26</v>
      </c>
      <c r="D89" s="6" t="s">
        <v>121</v>
      </c>
      <c r="E89" s="7" t="s">
        <v>247</v>
      </c>
      <c r="F89" s="6" t="s">
        <v>331</v>
      </c>
      <c r="G89" s="7" t="s">
        <v>422</v>
      </c>
      <c r="H89" s="6" t="s">
        <v>458</v>
      </c>
      <c r="I89" s="7" t="s">
        <v>547</v>
      </c>
      <c r="J89" s="6">
        <v>14</v>
      </c>
      <c r="K89" s="6"/>
    </row>
    <row r="90" spans="1:11" ht="15.75" thickBot="1" x14ac:dyDescent="0.3">
      <c r="A90" s="1"/>
      <c r="B90" s="10">
        <f t="shared" si="0"/>
        <v>88</v>
      </c>
      <c r="C90" s="12" t="s">
        <v>26</v>
      </c>
      <c r="D90" s="8" t="s">
        <v>122</v>
      </c>
      <c r="E90" s="9" t="s">
        <v>248</v>
      </c>
      <c r="F90" s="8" t="s">
        <v>329</v>
      </c>
      <c r="G90" s="9" t="s">
        <v>423</v>
      </c>
      <c r="H90" s="8" t="s">
        <v>458</v>
      </c>
      <c r="I90" s="9" t="s">
        <v>548</v>
      </c>
      <c r="J90" s="8">
        <v>4</v>
      </c>
      <c r="K90" s="8"/>
    </row>
    <row r="91" spans="1:11" ht="15.75" thickBot="1" x14ac:dyDescent="0.3">
      <c r="A91" s="1"/>
      <c r="B91" s="10">
        <f>ROW(B91) - ROW($B$2)</f>
        <v>89</v>
      </c>
      <c r="C91" s="11" t="s">
        <v>27</v>
      </c>
      <c r="D91" s="6" t="s">
        <v>123</v>
      </c>
      <c r="E91" s="7" t="s">
        <v>249</v>
      </c>
      <c r="F91" s="6" t="s">
        <v>328</v>
      </c>
      <c r="G91" s="7" t="s">
        <v>424</v>
      </c>
      <c r="H91" s="6" t="s">
        <v>458</v>
      </c>
      <c r="I91" s="7" t="s">
        <v>546</v>
      </c>
      <c r="J91" s="6">
        <v>8</v>
      </c>
      <c r="K91" s="6"/>
    </row>
    <row r="92" spans="1:11" ht="15.75" thickBot="1" x14ac:dyDescent="0.3">
      <c r="A92" s="1"/>
      <c r="B92" s="10">
        <f t="shared" si="0"/>
        <v>90</v>
      </c>
      <c r="C92" s="11" t="s">
        <v>27</v>
      </c>
      <c r="D92" s="8" t="s">
        <v>124</v>
      </c>
      <c r="E92" s="9" t="s">
        <v>250</v>
      </c>
      <c r="F92" s="8" t="s">
        <v>328</v>
      </c>
      <c r="G92" s="9" t="s">
        <v>425</v>
      </c>
      <c r="H92" s="8" t="s">
        <v>458</v>
      </c>
      <c r="I92" s="9" t="s">
        <v>549</v>
      </c>
      <c r="J92" s="8">
        <v>8</v>
      </c>
      <c r="K92" s="8"/>
    </row>
    <row r="93" spans="1:11" ht="36.75" thickBot="1" x14ac:dyDescent="0.3">
      <c r="A93" s="1"/>
      <c r="B93" s="10">
        <f>ROW(B93) - ROW($B$2)</f>
        <v>91</v>
      </c>
      <c r="C93" s="11" t="s">
        <v>26</v>
      </c>
      <c r="D93" s="6" t="s">
        <v>125</v>
      </c>
      <c r="E93" s="7" t="s">
        <v>251</v>
      </c>
      <c r="F93" s="6" t="s">
        <v>329</v>
      </c>
      <c r="G93" s="7" t="s">
        <v>426</v>
      </c>
      <c r="H93" s="6" t="s">
        <v>491</v>
      </c>
      <c r="I93" s="7" t="s">
        <v>550</v>
      </c>
      <c r="J93" s="6">
        <v>16</v>
      </c>
      <c r="K93" s="6"/>
    </row>
    <row r="94" spans="1:11" ht="36.75" thickBot="1" x14ac:dyDescent="0.3">
      <c r="A94" s="1"/>
      <c r="B94" s="10">
        <f t="shared" si="0"/>
        <v>92</v>
      </c>
      <c r="C94" s="12" t="s">
        <v>26</v>
      </c>
      <c r="D94" s="8" t="s">
        <v>126</v>
      </c>
      <c r="E94" s="9" t="s">
        <v>252</v>
      </c>
      <c r="F94" s="8" t="s">
        <v>329</v>
      </c>
      <c r="G94" s="9"/>
      <c r="H94" s="8" t="s">
        <v>492</v>
      </c>
      <c r="I94" s="9" t="s">
        <v>551</v>
      </c>
      <c r="J94" s="8">
        <v>16</v>
      </c>
      <c r="K94" s="8"/>
    </row>
    <row r="95" spans="1:11" ht="15.75" thickBot="1" x14ac:dyDescent="0.3">
      <c r="A95" s="1"/>
      <c r="B95" s="10">
        <f>ROW(B95) - ROW($B$2)</f>
        <v>93</v>
      </c>
      <c r="C95" s="11" t="s">
        <v>26</v>
      </c>
      <c r="D95" s="6" t="s">
        <v>127</v>
      </c>
      <c r="E95" s="7" t="s">
        <v>253</v>
      </c>
      <c r="F95" s="6" t="s">
        <v>329</v>
      </c>
      <c r="G95" s="7" t="s">
        <v>427</v>
      </c>
      <c r="H95" s="6" t="s">
        <v>458</v>
      </c>
      <c r="I95" s="7" t="s">
        <v>552</v>
      </c>
      <c r="J95" s="6">
        <v>4</v>
      </c>
      <c r="K95" s="6"/>
    </row>
    <row r="96" spans="1:11" ht="72.75" thickBot="1" x14ac:dyDescent="0.3">
      <c r="A96" s="1"/>
      <c r="B96" s="10">
        <f t="shared" si="0"/>
        <v>94</v>
      </c>
      <c r="C96" s="12" t="s">
        <v>27</v>
      </c>
      <c r="D96" s="8" t="s">
        <v>128</v>
      </c>
      <c r="E96" s="9" t="s">
        <v>254</v>
      </c>
      <c r="F96" s="8" t="s">
        <v>328</v>
      </c>
      <c r="G96" s="9" t="s">
        <v>428</v>
      </c>
      <c r="H96" s="8" t="s">
        <v>458</v>
      </c>
      <c r="I96" s="9" t="s">
        <v>553</v>
      </c>
      <c r="J96" s="8">
        <v>36</v>
      </c>
      <c r="K96" s="8"/>
    </row>
    <row r="97" spans="1:11" ht="48.75" thickBot="1" x14ac:dyDescent="0.3">
      <c r="A97" s="1"/>
      <c r="B97" s="10">
        <f>ROW(B97) - ROW($B$2)</f>
        <v>95</v>
      </c>
      <c r="C97" s="11" t="s">
        <v>26</v>
      </c>
      <c r="D97" s="6" t="s">
        <v>129</v>
      </c>
      <c r="E97" s="7" t="s">
        <v>255</v>
      </c>
      <c r="F97" s="6" t="s">
        <v>329</v>
      </c>
      <c r="G97" s="7" t="s">
        <v>429</v>
      </c>
      <c r="H97" s="6" t="s">
        <v>458</v>
      </c>
      <c r="I97" s="7" t="s">
        <v>554</v>
      </c>
      <c r="J97" s="6">
        <v>24</v>
      </c>
      <c r="K97" s="6"/>
    </row>
    <row r="98" spans="1:11" ht="15.75" thickBot="1" x14ac:dyDescent="0.3">
      <c r="A98" s="1"/>
      <c r="B98" s="10">
        <f t="shared" si="0"/>
        <v>96</v>
      </c>
      <c r="C98" s="12" t="s">
        <v>26</v>
      </c>
      <c r="D98" s="8" t="s">
        <v>130</v>
      </c>
      <c r="E98" s="9" t="s">
        <v>256</v>
      </c>
      <c r="F98" s="8" t="s">
        <v>328</v>
      </c>
      <c r="G98" s="9" t="s">
        <v>430</v>
      </c>
      <c r="H98" s="8" t="s">
        <v>458</v>
      </c>
      <c r="I98" s="9" t="s">
        <v>555</v>
      </c>
      <c r="J98" s="8">
        <v>4</v>
      </c>
      <c r="K98" s="8"/>
    </row>
    <row r="99" spans="1:11" ht="36.75" thickBot="1" x14ac:dyDescent="0.3">
      <c r="A99" s="1"/>
      <c r="B99" s="10">
        <f>ROW(B99) - ROW($B$2)</f>
        <v>97</v>
      </c>
      <c r="C99" s="11" t="s">
        <v>26</v>
      </c>
      <c r="D99" s="6" t="s">
        <v>131</v>
      </c>
      <c r="E99" s="7" t="s">
        <v>257</v>
      </c>
      <c r="F99" s="6" t="s">
        <v>328</v>
      </c>
      <c r="G99" s="7" t="s">
        <v>431</v>
      </c>
      <c r="H99" s="6" t="s">
        <v>493</v>
      </c>
      <c r="I99" s="7" t="s">
        <v>556</v>
      </c>
      <c r="J99" s="6">
        <v>4</v>
      </c>
      <c r="K99" s="6"/>
    </row>
    <row r="100" spans="1:11" ht="24.75" thickBot="1" x14ac:dyDescent="0.3">
      <c r="A100" s="1"/>
      <c r="B100" s="10">
        <f t="shared" si="0"/>
        <v>98</v>
      </c>
      <c r="C100" s="12" t="s">
        <v>26</v>
      </c>
      <c r="D100" s="8" t="s">
        <v>132</v>
      </c>
      <c r="E100" s="9" t="s">
        <v>258</v>
      </c>
      <c r="F100" s="8" t="s">
        <v>329</v>
      </c>
      <c r="G100" s="9" t="s">
        <v>432</v>
      </c>
      <c r="H100" s="8" t="s">
        <v>458</v>
      </c>
      <c r="I100" s="9" t="s">
        <v>557</v>
      </c>
      <c r="J100" s="8">
        <v>12</v>
      </c>
      <c r="K100" s="8"/>
    </row>
    <row r="101" spans="1:11" ht="24.75" thickBot="1" x14ac:dyDescent="0.3">
      <c r="A101" s="1"/>
      <c r="B101" s="10">
        <f>ROW(B101) - ROW($B$2)</f>
        <v>99</v>
      </c>
      <c r="C101" s="11" t="s">
        <v>26</v>
      </c>
      <c r="D101" s="6" t="s">
        <v>133</v>
      </c>
      <c r="E101" s="7" t="s">
        <v>259</v>
      </c>
      <c r="F101" s="6" t="s">
        <v>332</v>
      </c>
      <c r="G101" s="7" t="s">
        <v>433</v>
      </c>
      <c r="H101" s="6" t="s">
        <v>458</v>
      </c>
      <c r="I101" s="7" t="s">
        <v>558</v>
      </c>
      <c r="J101" s="6">
        <v>12</v>
      </c>
      <c r="K101" s="6"/>
    </row>
    <row r="102" spans="1:11" ht="26.25" thickBot="1" x14ac:dyDescent="0.3">
      <c r="A102" s="1"/>
      <c r="B102" s="10">
        <f t="shared" si="0"/>
        <v>100</v>
      </c>
      <c r="C102" s="12" t="s">
        <v>26</v>
      </c>
      <c r="D102" s="13" t="s">
        <v>134</v>
      </c>
      <c r="E102" s="14" t="s">
        <v>234</v>
      </c>
      <c r="F102" s="13" t="s">
        <v>328</v>
      </c>
      <c r="G102" s="14" t="s">
        <v>409</v>
      </c>
      <c r="H102" s="13" t="s">
        <v>458</v>
      </c>
      <c r="I102" s="14" t="s">
        <v>508</v>
      </c>
      <c r="J102" s="13">
        <v>1</v>
      </c>
      <c r="K102" s="15" t="s">
        <v>571</v>
      </c>
    </row>
    <row r="103" spans="1:11" ht="15.75" thickBot="1" x14ac:dyDescent="0.3">
      <c r="A103" s="1"/>
      <c r="B103" s="10">
        <f>ROW(B103) - ROW($B$2)</f>
        <v>101</v>
      </c>
      <c r="C103" s="11" t="s">
        <v>26</v>
      </c>
      <c r="D103" s="6" t="s">
        <v>135</v>
      </c>
      <c r="E103" s="7" t="s">
        <v>260</v>
      </c>
      <c r="F103" s="6" t="s">
        <v>328</v>
      </c>
      <c r="G103" s="7" t="s">
        <v>434</v>
      </c>
      <c r="H103" s="6" t="s">
        <v>458</v>
      </c>
      <c r="I103" s="7" t="s">
        <v>559</v>
      </c>
      <c r="J103" s="6">
        <v>1</v>
      </c>
      <c r="K103" s="6"/>
    </row>
    <row r="104" spans="1:11" ht="24.75" thickBot="1" x14ac:dyDescent="0.3">
      <c r="A104" s="1"/>
      <c r="B104" s="10">
        <f t="shared" si="0"/>
        <v>102</v>
      </c>
      <c r="C104" s="12" t="s">
        <v>26</v>
      </c>
      <c r="D104" s="8" t="s">
        <v>136</v>
      </c>
      <c r="E104" s="9" t="s">
        <v>261</v>
      </c>
      <c r="F104" s="8" t="s">
        <v>329</v>
      </c>
      <c r="G104" s="9" t="s">
        <v>435</v>
      </c>
      <c r="H104" s="8" t="s">
        <v>458</v>
      </c>
      <c r="I104" s="9" t="s">
        <v>560</v>
      </c>
      <c r="J104" s="8">
        <v>8</v>
      </c>
      <c r="K104" s="8"/>
    </row>
    <row r="105" spans="1:11" ht="15.75" thickBot="1" x14ac:dyDescent="0.3">
      <c r="A105" s="1"/>
      <c r="B105" s="10">
        <f>ROW(B105) - ROW($B$2)</f>
        <v>103</v>
      </c>
      <c r="C105" s="11" t="s">
        <v>26</v>
      </c>
      <c r="D105" s="6" t="s">
        <v>137</v>
      </c>
      <c r="E105" s="7" t="s">
        <v>262</v>
      </c>
      <c r="F105" s="6" t="s">
        <v>331</v>
      </c>
      <c r="G105" s="7" t="s">
        <v>436</v>
      </c>
      <c r="H105" s="6" t="s">
        <v>458</v>
      </c>
      <c r="I105" s="7" t="s">
        <v>533</v>
      </c>
      <c r="J105" s="6">
        <v>1</v>
      </c>
      <c r="K105" s="6"/>
    </row>
    <row r="106" spans="1:11" ht="15.75" thickBot="1" x14ac:dyDescent="0.3">
      <c r="A106" s="1"/>
      <c r="B106" s="10">
        <f t="shared" si="0"/>
        <v>104</v>
      </c>
      <c r="C106" s="12" t="s">
        <v>26</v>
      </c>
      <c r="D106" s="8" t="s">
        <v>138</v>
      </c>
      <c r="E106" s="9" t="s">
        <v>263</v>
      </c>
      <c r="F106" s="8" t="s">
        <v>328</v>
      </c>
      <c r="G106" s="9" t="s">
        <v>437</v>
      </c>
      <c r="H106" s="8" t="s">
        <v>458</v>
      </c>
      <c r="I106" s="9" t="s">
        <v>534</v>
      </c>
      <c r="J106" s="8">
        <v>2</v>
      </c>
      <c r="K106" s="8"/>
    </row>
    <row r="107" spans="1:11" ht="15.75" thickBot="1" x14ac:dyDescent="0.3">
      <c r="A107" s="1"/>
      <c r="B107" s="10">
        <f>ROW(B107) - ROW($B$2)</f>
        <v>105</v>
      </c>
      <c r="C107" s="11" t="s">
        <v>26</v>
      </c>
      <c r="D107" s="6" t="s">
        <v>139</v>
      </c>
      <c r="E107" s="7" t="s">
        <v>264</v>
      </c>
      <c r="F107" s="6" t="s">
        <v>329</v>
      </c>
      <c r="G107" s="7" t="s">
        <v>438</v>
      </c>
      <c r="H107" s="6" t="s">
        <v>458</v>
      </c>
      <c r="I107" s="7" t="s">
        <v>561</v>
      </c>
      <c r="J107" s="6">
        <v>4</v>
      </c>
      <c r="K107" s="6"/>
    </row>
    <row r="108" spans="1:11" ht="36.75" thickBot="1" x14ac:dyDescent="0.3">
      <c r="A108" s="1"/>
      <c r="B108" s="10">
        <f t="shared" si="0"/>
        <v>106</v>
      </c>
      <c r="C108" s="12" t="s">
        <v>26</v>
      </c>
      <c r="D108" s="8" t="s">
        <v>140</v>
      </c>
      <c r="E108" s="9" t="s">
        <v>265</v>
      </c>
      <c r="F108" s="8" t="s">
        <v>328</v>
      </c>
      <c r="G108" s="9" t="s">
        <v>439</v>
      </c>
      <c r="H108" s="8" t="s">
        <v>458</v>
      </c>
      <c r="I108" s="9" t="s">
        <v>562</v>
      </c>
      <c r="J108" s="8">
        <v>16</v>
      </c>
      <c r="K108" s="8"/>
    </row>
    <row r="109" spans="1:11" ht="48.75" thickBot="1" x14ac:dyDescent="0.3">
      <c r="A109" s="1"/>
      <c r="B109" s="10">
        <f>ROW(B109) - ROW($B$2)</f>
        <v>107</v>
      </c>
      <c r="C109" s="12" t="s">
        <v>26</v>
      </c>
      <c r="D109" s="6" t="s">
        <v>141</v>
      </c>
      <c r="E109" s="7" t="s">
        <v>266</v>
      </c>
      <c r="F109" s="6" t="s">
        <v>328</v>
      </c>
      <c r="G109" s="7" t="s">
        <v>440</v>
      </c>
      <c r="H109" s="6" t="s">
        <v>458</v>
      </c>
      <c r="I109" s="7" t="s">
        <v>563</v>
      </c>
      <c r="J109" s="6">
        <v>28</v>
      </c>
      <c r="K109" s="6"/>
    </row>
    <row r="110" spans="1:11" ht="15.75" thickBot="1" x14ac:dyDescent="0.3">
      <c r="A110" s="1"/>
      <c r="B110" s="10">
        <f t="shared" si="0"/>
        <v>108</v>
      </c>
      <c r="C110" s="12" t="s">
        <v>28</v>
      </c>
      <c r="D110" s="8" t="s">
        <v>142</v>
      </c>
      <c r="E110" s="9" t="s">
        <v>267</v>
      </c>
      <c r="F110" s="6" t="s">
        <v>569</v>
      </c>
      <c r="G110" s="9" t="s">
        <v>333</v>
      </c>
      <c r="H110" s="8" t="s">
        <v>494</v>
      </c>
      <c r="I110" s="9" t="s">
        <v>570</v>
      </c>
      <c r="J110" s="8">
        <v>6</v>
      </c>
      <c r="K110" s="8"/>
    </row>
    <row r="111" spans="1:11" ht="36.75" thickBot="1" x14ac:dyDescent="0.3">
      <c r="A111" s="1"/>
      <c r="B111" s="10">
        <f>ROW(B111) - ROW($B$2)</f>
        <v>109</v>
      </c>
      <c r="C111" s="11" t="s">
        <v>29</v>
      </c>
      <c r="D111" s="6" t="s">
        <v>143</v>
      </c>
      <c r="E111" s="7" t="s">
        <v>268</v>
      </c>
      <c r="F111" s="6" t="s">
        <v>569</v>
      </c>
      <c r="G111" s="7" t="s">
        <v>334</v>
      </c>
      <c r="H111" s="6" t="s">
        <v>495</v>
      </c>
      <c r="I111" s="9" t="s">
        <v>570</v>
      </c>
      <c r="J111" s="6">
        <v>1</v>
      </c>
      <c r="K111" s="6"/>
    </row>
    <row r="112" spans="1:11" ht="15.75" thickBot="1" x14ac:dyDescent="0.3">
      <c r="A112" s="1"/>
      <c r="B112" s="10">
        <f t="shared" si="0"/>
        <v>110</v>
      </c>
      <c r="C112" s="12" t="s">
        <v>30</v>
      </c>
      <c r="D112" s="8" t="s">
        <v>144</v>
      </c>
      <c r="E112" s="9" t="s">
        <v>269</v>
      </c>
      <c r="F112" s="8" t="s">
        <v>335</v>
      </c>
      <c r="G112" s="9" t="s">
        <v>441</v>
      </c>
      <c r="H112" s="8" t="s">
        <v>496</v>
      </c>
      <c r="I112" s="9" t="s">
        <v>570</v>
      </c>
      <c r="J112" s="8">
        <v>1</v>
      </c>
      <c r="K112" s="8"/>
    </row>
    <row r="113" spans="1:11" ht="15.75" thickBot="1" x14ac:dyDescent="0.3">
      <c r="A113" s="1"/>
      <c r="B113" s="10">
        <f>ROW(B113) - ROW($B$2)</f>
        <v>111</v>
      </c>
      <c r="C113" s="11" t="s">
        <v>6</v>
      </c>
      <c r="D113" s="6" t="s">
        <v>145</v>
      </c>
      <c r="E113" s="7" t="s">
        <v>270</v>
      </c>
      <c r="F113" s="6" t="s">
        <v>336</v>
      </c>
      <c r="G113" s="7" t="s">
        <v>442</v>
      </c>
      <c r="H113" s="6" t="s">
        <v>497</v>
      </c>
      <c r="I113" s="9" t="s">
        <v>570</v>
      </c>
      <c r="J113" s="6">
        <v>1</v>
      </c>
      <c r="K113" s="6"/>
    </row>
    <row r="114" spans="1:11" ht="24.75" thickBot="1" x14ac:dyDescent="0.3">
      <c r="A114" s="1"/>
      <c r="B114" s="10">
        <f t="shared" si="0"/>
        <v>112</v>
      </c>
      <c r="C114" s="12" t="s">
        <v>6</v>
      </c>
      <c r="D114" s="8" t="s">
        <v>146</v>
      </c>
      <c r="E114" s="9" t="s">
        <v>271</v>
      </c>
      <c r="F114" s="8" t="s">
        <v>337</v>
      </c>
      <c r="G114" s="9" t="s">
        <v>443</v>
      </c>
      <c r="H114" s="8" t="s">
        <v>469</v>
      </c>
      <c r="I114" s="9" t="s">
        <v>570</v>
      </c>
      <c r="J114" s="8">
        <v>1</v>
      </c>
      <c r="K114" s="8"/>
    </row>
    <row r="115" spans="1:11" ht="15.75" thickBot="1" x14ac:dyDescent="0.3">
      <c r="A115" s="1"/>
      <c r="B115" s="10">
        <f>ROW(B115) - ROW($B$2)</f>
        <v>113</v>
      </c>
      <c r="C115" s="11" t="s">
        <v>6</v>
      </c>
      <c r="D115" s="6" t="s">
        <v>147</v>
      </c>
      <c r="E115" s="7" t="s">
        <v>272</v>
      </c>
      <c r="F115" s="6" t="s">
        <v>337</v>
      </c>
      <c r="G115" s="7" t="s">
        <v>444</v>
      </c>
      <c r="H115" s="6" t="s">
        <v>498</v>
      </c>
      <c r="I115" s="9" t="s">
        <v>570</v>
      </c>
      <c r="J115" s="6">
        <v>1</v>
      </c>
      <c r="K115" s="6"/>
    </row>
    <row r="116" spans="1:11" ht="36.75" thickBot="1" x14ac:dyDescent="0.3">
      <c r="A116" s="1"/>
      <c r="B116" s="10">
        <f t="shared" si="0"/>
        <v>114</v>
      </c>
      <c r="C116" s="12" t="s">
        <v>6</v>
      </c>
      <c r="D116" s="8" t="s">
        <v>148</v>
      </c>
      <c r="E116" s="9" t="s">
        <v>273</v>
      </c>
      <c r="F116" s="8" t="s">
        <v>338</v>
      </c>
      <c r="G116" s="9" t="s">
        <v>445</v>
      </c>
      <c r="H116" s="8" t="s">
        <v>499</v>
      </c>
      <c r="I116" s="9" t="s">
        <v>570</v>
      </c>
      <c r="J116" s="8">
        <v>1</v>
      </c>
      <c r="K116" s="8"/>
    </row>
    <row r="117" spans="1:11" ht="15.75" thickBot="1" x14ac:dyDescent="0.3">
      <c r="A117" s="1"/>
      <c r="B117" s="10">
        <f>ROW(B117) - ROW($B$2)</f>
        <v>115</v>
      </c>
      <c r="C117" s="11" t="s">
        <v>6</v>
      </c>
      <c r="D117" s="6" t="s">
        <v>149</v>
      </c>
      <c r="E117" s="7" t="s">
        <v>274</v>
      </c>
      <c r="F117" s="6" t="s">
        <v>339</v>
      </c>
      <c r="G117" s="7" t="s">
        <v>446</v>
      </c>
      <c r="H117" s="6" t="s">
        <v>469</v>
      </c>
      <c r="I117" s="9" t="s">
        <v>570</v>
      </c>
      <c r="J117" s="6">
        <v>2</v>
      </c>
      <c r="K117" s="6"/>
    </row>
    <row r="118" spans="1:11" ht="15.75" thickBot="1" x14ac:dyDescent="0.3">
      <c r="A118" s="1"/>
      <c r="B118" s="10">
        <f t="shared" si="0"/>
        <v>116</v>
      </c>
      <c r="C118" s="12" t="s">
        <v>6</v>
      </c>
      <c r="D118" s="8" t="s">
        <v>150</v>
      </c>
      <c r="E118" s="9" t="s">
        <v>275</v>
      </c>
      <c r="F118" s="8" t="s">
        <v>340</v>
      </c>
      <c r="G118" s="9" t="s">
        <v>447</v>
      </c>
      <c r="H118" s="8" t="s">
        <v>469</v>
      </c>
      <c r="I118" s="9" t="s">
        <v>570</v>
      </c>
      <c r="J118" s="8">
        <v>6</v>
      </c>
      <c r="K118" s="8"/>
    </row>
    <row r="119" spans="1:11" ht="24.75" thickBot="1" x14ac:dyDescent="0.3">
      <c r="A119" s="1"/>
      <c r="B119" s="10">
        <f>ROW(B119) - ROW($B$2)</f>
        <v>117</v>
      </c>
      <c r="C119" s="11" t="s">
        <v>6</v>
      </c>
      <c r="D119" s="6" t="s">
        <v>151</v>
      </c>
      <c r="E119" s="7" t="s">
        <v>276</v>
      </c>
      <c r="F119" s="6" t="s">
        <v>341</v>
      </c>
      <c r="G119" s="7" t="s">
        <v>448</v>
      </c>
      <c r="H119" s="6" t="s">
        <v>500</v>
      </c>
      <c r="I119" s="9" t="s">
        <v>570</v>
      </c>
      <c r="J119" s="6">
        <v>1</v>
      </c>
      <c r="K119" s="6"/>
    </row>
    <row r="120" spans="1:11" ht="15.75" thickBot="1" x14ac:dyDescent="0.3">
      <c r="A120" s="1"/>
      <c r="B120" s="10">
        <f t="shared" si="0"/>
        <v>118</v>
      </c>
      <c r="C120" s="11" t="s">
        <v>6</v>
      </c>
      <c r="D120" s="8" t="s">
        <v>152</v>
      </c>
      <c r="E120" s="9" t="s">
        <v>277</v>
      </c>
      <c r="F120" s="6" t="s">
        <v>569</v>
      </c>
      <c r="G120" s="9" t="s">
        <v>342</v>
      </c>
      <c r="H120" s="8" t="s">
        <v>469</v>
      </c>
      <c r="I120" s="9" t="s">
        <v>570</v>
      </c>
      <c r="J120" s="8">
        <v>4</v>
      </c>
      <c r="K120" s="8"/>
    </row>
    <row r="121" spans="1:11" ht="15.75" thickBot="1" x14ac:dyDescent="0.3">
      <c r="A121" s="1"/>
      <c r="B121" s="10">
        <f>ROW(B121) - ROW($B$2)</f>
        <v>119</v>
      </c>
      <c r="C121" s="11" t="s">
        <v>6</v>
      </c>
      <c r="D121" s="6" t="s">
        <v>153</v>
      </c>
      <c r="E121" s="7" t="s">
        <v>278</v>
      </c>
      <c r="F121" s="6" t="s">
        <v>343</v>
      </c>
      <c r="G121" s="7" t="s">
        <v>449</v>
      </c>
      <c r="H121" s="6" t="s">
        <v>496</v>
      </c>
      <c r="I121" s="9" t="s">
        <v>570</v>
      </c>
      <c r="J121" s="6">
        <v>4</v>
      </c>
      <c r="K121" s="6"/>
    </row>
    <row r="122" spans="1:11" ht="15.75" thickBot="1" x14ac:dyDescent="0.3">
      <c r="A122" s="1"/>
      <c r="B122" s="10">
        <f t="shared" si="0"/>
        <v>120</v>
      </c>
      <c r="C122" s="12" t="s">
        <v>6</v>
      </c>
      <c r="D122" s="8" t="s">
        <v>154</v>
      </c>
      <c r="E122" s="9" t="s">
        <v>279</v>
      </c>
      <c r="F122" s="8" t="s">
        <v>344</v>
      </c>
      <c r="G122" s="9" t="s">
        <v>450</v>
      </c>
      <c r="H122" s="8" t="s">
        <v>469</v>
      </c>
      <c r="I122" s="9" t="s">
        <v>570</v>
      </c>
      <c r="J122" s="8">
        <v>4</v>
      </c>
      <c r="K122" s="8"/>
    </row>
    <row r="123" spans="1:11" ht="15.75" thickBot="1" x14ac:dyDescent="0.3">
      <c r="A123" s="1"/>
      <c r="B123" s="10">
        <f>ROW(B123) - ROW($B$2)</f>
        <v>121</v>
      </c>
      <c r="C123" s="11" t="s">
        <v>6</v>
      </c>
      <c r="D123" s="6" t="s">
        <v>155</v>
      </c>
      <c r="E123" s="7" t="s">
        <v>280</v>
      </c>
      <c r="F123" s="6" t="s">
        <v>345</v>
      </c>
      <c r="G123" s="7" t="s">
        <v>451</v>
      </c>
      <c r="H123" s="6" t="s">
        <v>501</v>
      </c>
      <c r="I123" s="9" t="s">
        <v>570</v>
      </c>
      <c r="J123" s="6">
        <v>1</v>
      </c>
      <c r="K123" s="6"/>
    </row>
    <row r="124" spans="1:11" ht="15.75" thickBot="1" x14ac:dyDescent="0.3">
      <c r="A124" s="1"/>
      <c r="B124" s="10">
        <f t="shared" si="0"/>
        <v>122</v>
      </c>
      <c r="C124" s="11" t="s">
        <v>6</v>
      </c>
      <c r="D124" s="8" t="s">
        <v>156</v>
      </c>
      <c r="E124" s="9" t="s">
        <v>281</v>
      </c>
      <c r="F124" s="6" t="s">
        <v>569</v>
      </c>
      <c r="G124" s="9" t="s">
        <v>346</v>
      </c>
      <c r="H124" s="8" t="s">
        <v>468</v>
      </c>
      <c r="I124" s="9" t="s">
        <v>570</v>
      </c>
      <c r="J124" s="8">
        <v>1</v>
      </c>
      <c r="K124" s="8"/>
    </row>
    <row r="125" spans="1:11" ht="24.75" thickBot="1" x14ac:dyDescent="0.3">
      <c r="A125" s="1"/>
      <c r="B125" s="10">
        <f>ROW(B125) - ROW($B$2)</f>
        <v>123</v>
      </c>
      <c r="C125" s="11" t="s">
        <v>31</v>
      </c>
      <c r="D125" s="6" t="s">
        <v>157</v>
      </c>
      <c r="E125" s="7" t="s">
        <v>282</v>
      </c>
      <c r="F125" s="6" t="s">
        <v>347</v>
      </c>
      <c r="G125" s="7" t="s">
        <v>452</v>
      </c>
      <c r="H125" s="6" t="s">
        <v>502</v>
      </c>
      <c r="I125" s="9" t="s">
        <v>570</v>
      </c>
      <c r="J125" s="6">
        <v>16</v>
      </c>
      <c r="K125" s="6"/>
    </row>
    <row r="126" spans="1:11" ht="36.75" thickBot="1" x14ac:dyDescent="0.3">
      <c r="A126" s="1"/>
      <c r="B126" s="10">
        <f t="shared" si="0"/>
        <v>124</v>
      </c>
      <c r="C126" s="12" t="s">
        <v>32</v>
      </c>
      <c r="D126" s="8" t="s">
        <v>158</v>
      </c>
      <c r="E126" s="9" t="s">
        <v>283</v>
      </c>
      <c r="F126" s="8" t="s">
        <v>348</v>
      </c>
      <c r="G126" s="9" t="s">
        <v>453</v>
      </c>
      <c r="H126" s="8" t="s">
        <v>503</v>
      </c>
      <c r="I126" s="9" t="s">
        <v>570</v>
      </c>
      <c r="J126" s="8">
        <v>4</v>
      </c>
      <c r="K126" s="8"/>
    </row>
    <row r="127" spans="1:11" ht="26.25" thickBot="1" x14ac:dyDescent="0.3">
      <c r="A127" s="1"/>
      <c r="B127" s="10">
        <f>ROW(B127) - ROW($B$2)</f>
        <v>125</v>
      </c>
      <c r="C127" s="11" t="s">
        <v>33</v>
      </c>
      <c r="D127" s="13" t="s">
        <v>159</v>
      </c>
      <c r="E127" s="14" t="s">
        <v>284</v>
      </c>
      <c r="F127" s="13" t="s">
        <v>349</v>
      </c>
      <c r="G127" s="14" t="s">
        <v>454</v>
      </c>
      <c r="H127" s="13" t="s">
        <v>504</v>
      </c>
      <c r="I127" s="14" t="s">
        <v>508</v>
      </c>
      <c r="J127" s="13">
        <v>1</v>
      </c>
      <c r="K127" s="15" t="s">
        <v>571</v>
      </c>
    </row>
    <row r="128" spans="1:11" ht="24.75" thickBot="1" x14ac:dyDescent="0.3">
      <c r="A128" s="1"/>
      <c r="B128" s="10">
        <f t="shared" si="0"/>
        <v>126</v>
      </c>
      <c r="C128" s="12" t="s">
        <v>33</v>
      </c>
      <c r="D128" s="8" t="s">
        <v>160</v>
      </c>
      <c r="E128" s="9" t="s">
        <v>285</v>
      </c>
      <c r="F128" s="6" t="s">
        <v>569</v>
      </c>
      <c r="G128" s="9" t="s">
        <v>455</v>
      </c>
      <c r="H128" s="8" t="s">
        <v>505</v>
      </c>
      <c r="I128" s="9" t="s">
        <v>564</v>
      </c>
      <c r="J128" s="8">
        <v>5</v>
      </c>
      <c r="K128" s="8"/>
    </row>
    <row r="129" spans="1:11" ht="24.75" thickBot="1" x14ac:dyDescent="0.3">
      <c r="A129" s="1"/>
      <c r="B129" s="10">
        <f>ROW(B129) - ROW($B$2)</f>
        <v>127</v>
      </c>
      <c r="C129" s="11" t="s">
        <v>33</v>
      </c>
      <c r="D129" s="6" t="s">
        <v>161</v>
      </c>
      <c r="E129" s="7" t="s">
        <v>286</v>
      </c>
      <c r="F129" s="6" t="s">
        <v>350</v>
      </c>
      <c r="G129" s="7" t="s">
        <v>456</v>
      </c>
      <c r="H129" s="6" t="s">
        <v>506</v>
      </c>
      <c r="I129" s="7" t="s">
        <v>565</v>
      </c>
      <c r="J129" s="6">
        <v>1</v>
      </c>
      <c r="K129" s="6"/>
    </row>
    <row r="130" spans="1:11" ht="15.75" thickBot="1" x14ac:dyDescent="0.3">
      <c r="B130" s="10">
        <f t="shared" ref="B130:B133" si="1">ROW(B130) - ROW($B$2)</f>
        <v>128</v>
      </c>
      <c r="C130" s="11" t="s">
        <v>572</v>
      </c>
      <c r="D130" s="6" t="s">
        <v>573</v>
      </c>
      <c r="E130" s="7" t="s">
        <v>574</v>
      </c>
      <c r="F130" s="6" t="s">
        <v>569</v>
      </c>
      <c r="G130" s="7" t="s">
        <v>575</v>
      </c>
      <c r="H130" s="6" t="s">
        <v>483</v>
      </c>
      <c r="I130" s="9" t="s">
        <v>570</v>
      </c>
      <c r="J130" s="8">
        <v>12</v>
      </c>
      <c r="K130" s="6"/>
    </row>
    <row r="131" spans="1:11" ht="24.75" thickBot="1" x14ac:dyDescent="0.3">
      <c r="B131" s="10">
        <f t="shared" si="1"/>
        <v>129</v>
      </c>
      <c r="C131" s="11" t="s">
        <v>572</v>
      </c>
      <c r="D131" s="6" t="s">
        <v>576</v>
      </c>
      <c r="E131" s="7" t="s">
        <v>577</v>
      </c>
      <c r="F131" s="6" t="s">
        <v>569</v>
      </c>
      <c r="G131" s="7">
        <v>50173</v>
      </c>
      <c r="H131" s="6" t="s">
        <v>578</v>
      </c>
      <c r="I131" s="9" t="s">
        <v>570</v>
      </c>
      <c r="J131" s="8">
        <v>1</v>
      </c>
      <c r="K131" s="6"/>
    </row>
    <row r="132" spans="1:11" ht="24.75" thickBot="1" x14ac:dyDescent="0.3">
      <c r="B132" s="10">
        <f t="shared" si="1"/>
        <v>130</v>
      </c>
      <c r="C132" s="12" t="s">
        <v>572</v>
      </c>
      <c r="D132" s="8" t="s">
        <v>10</v>
      </c>
      <c r="E132" s="8" t="s">
        <v>579</v>
      </c>
      <c r="F132" s="6" t="s">
        <v>569</v>
      </c>
      <c r="G132" s="8" t="s">
        <v>580</v>
      </c>
      <c r="H132" s="8" t="s">
        <v>581</v>
      </c>
      <c r="I132" s="9" t="s">
        <v>570</v>
      </c>
      <c r="J132" s="8">
        <v>1</v>
      </c>
      <c r="K132" s="6"/>
    </row>
    <row r="133" spans="1:11" ht="24.75" thickBot="1" x14ac:dyDescent="0.3">
      <c r="B133" s="10">
        <f t="shared" si="1"/>
        <v>131</v>
      </c>
      <c r="C133" s="12" t="s">
        <v>572</v>
      </c>
      <c r="D133" s="8" t="s">
        <v>10</v>
      </c>
      <c r="E133" s="6" t="s">
        <v>582</v>
      </c>
      <c r="F133" s="6" t="s">
        <v>569</v>
      </c>
      <c r="G133" s="6" t="s">
        <v>583</v>
      </c>
      <c r="H133" s="8" t="s">
        <v>581</v>
      </c>
      <c r="I133" s="9" t="s">
        <v>570</v>
      </c>
      <c r="J133" s="6">
        <v>2</v>
      </c>
      <c r="K133" s="6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2024-09-25T14:41:46Z</dcterms:modified>
</cp:coreProperties>
</file>