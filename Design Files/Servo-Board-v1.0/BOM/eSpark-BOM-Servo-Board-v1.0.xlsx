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Servo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123" i="1" l="1"/>
  <c r="Q122" i="1" l="1"/>
  <c r="M122" i="1"/>
  <c r="B122" i="1"/>
  <c r="Q121" i="1"/>
  <c r="M121" i="1"/>
  <c r="B121" i="1"/>
  <c r="M120" i="1"/>
  <c r="B120" i="1"/>
  <c r="Q119" i="1"/>
  <c r="M119" i="1"/>
  <c r="B119" i="1"/>
  <c r="Q118" i="1"/>
  <c r="M118" i="1"/>
  <c r="B118" i="1"/>
  <c r="Q117" i="1"/>
  <c r="M117" i="1"/>
  <c r="B117" i="1"/>
  <c r="Q116" i="1"/>
  <c r="M116" i="1"/>
  <c r="B116" i="1"/>
  <c r="Q115" i="1"/>
  <c r="M115" i="1"/>
  <c r="B115" i="1"/>
  <c r="Q114" i="1"/>
  <c r="M114" i="1"/>
  <c r="B114" i="1"/>
  <c r="Q113" i="1"/>
  <c r="M113" i="1"/>
  <c r="B113" i="1"/>
  <c r="Q112" i="1"/>
  <c r="M112" i="1"/>
  <c r="B112" i="1"/>
  <c r="Q111" i="1"/>
  <c r="M111" i="1"/>
  <c r="B111" i="1"/>
  <c r="Q110" i="1"/>
  <c r="M110" i="1"/>
  <c r="B110" i="1"/>
  <c r="Q109" i="1"/>
  <c r="M109" i="1"/>
  <c r="B109" i="1"/>
  <c r="Q108" i="1"/>
  <c r="M108" i="1"/>
  <c r="B108" i="1"/>
  <c r="Q107" i="1"/>
  <c r="M107" i="1"/>
  <c r="B107" i="1"/>
  <c r="Q106" i="1"/>
  <c r="M106" i="1"/>
  <c r="B106" i="1"/>
  <c r="Q105" i="1"/>
  <c r="M105" i="1"/>
  <c r="B105" i="1"/>
  <c r="Q104" i="1"/>
  <c r="M104" i="1"/>
  <c r="B104" i="1"/>
  <c r="Q103" i="1"/>
  <c r="M103" i="1"/>
  <c r="B103" i="1"/>
  <c r="Q102" i="1"/>
  <c r="M102" i="1"/>
  <c r="B102" i="1"/>
  <c r="Q101" i="1"/>
  <c r="M101" i="1"/>
  <c r="B101" i="1"/>
  <c r="Q100" i="1"/>
  <c r="M100" i="1"/>
  <c r="B100" i="1"/>
  <c r="Q99" i="1"/>
  <c r="M99" i="1"/>
  <c r="B99" i="1"/>
  <c r="Q98" i="1"/>
  <c r="M98" i="1"/>
  <c r="B98" i="1"/>
  <c r="Q97" i="1"/>
  <c r="M97" i="1"/>
  <c r="B97" i="1"/>
  <c r="Q96" i="1"/>
  <c r="M96" i="1"/>
  <c r="B96" i="1"/>
  <c r="M95" i="1"/>
  <c r="B95" i="1"/>
  <c r="Q94" i="1"/>
  <c r="M94" i="1"/>
  <c r="B94" i="1"/>
  <c r="Q93" i="1"/>
  <c r="M93" i="1"/>
  <c r="B93" i="1"/>
  <c r="Q92" i="1"/>
  <c r="M92" i="1"/>
  <c r="B92" i="1"/>
  <c r="Q91" i="1"/>
  <c r="M91" i="1"/>
  <c r="B91" i="1"/>
  <c r="Q90" i="1"/>
  <c r="M90" i="1"/>
  <c r="B90" i="1"/>
  <c r="M89" i="1"/>
  <c r="B89" i="1"/>
  <c r="M88" i="1"/>
  <c r="B88" i="1"/>
  <c r="Q87" i="1"/>
  <c r="M87" i="1"/>
  <c r="B87" i="1"/>
  <c r="Q86" i="1"/>
  <c r="M86" i="1"/>
  <c r="B86" i="1"/>
  <c r="Q85" i="1"/>
  <c r="M85" i="1"/>
  <c r="B85" i="1"/>
  <c r="Q84" i="1"/>
  <c r="M84" i="1"/>
  <c r="B84" i="1"/>
  <c r="Q83" i="1"/>
  <c r="M83" i="1"/>
  <c r="B83" i="1"/>
  <c r="Q82" i="1"/>
  <c r="M82" i="1"/>
  <c r="B82" i="1"/>
  <c r="Q81" i="1"/>
  <c r="M81" i="1"/>
  <c r="B81" i="1"/>
  <c r="Q80" i="1"/>
  <c r="M80" i="1"/>
  <c r="B80" i="1"/>
  <c r="Q79" i="1"/>
  <c r="M79" i="1"/>
  <c r="B79" i="1"/>
  <c r="Q78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M27" i="1"/>
  <c r="B27" i="1"/>
  <c r="Q26" i="1"/>
  <c r="M26" i="1"/>
  <c r="B26" i="1"/>
  <c r="Q25" i="1"/>
  <c r="M25" i="1"/>
  <c r="B25" i="1"/>
  <c r="M24" i="1"/>
  <c r="B24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M10" i="1"/>
  <c r="B10" i="1"/>
  <c r="Q124" i="1" l="1"/>
  <c r="Q9" i="1"/>
  <c r="Q8" i="1"/>
  <c r="M9" i="1"/>
  <c r="M8" i="1"/>
  <c r="B9" i="1"/>
  <c r="B8" i="1"/>
</calcChain>
</file>

<file path=xl/sharedStrings.xml><?xml version="1.0" encoding="utf-8"?>
<sst xmlns="http://schemas.openxmlformats.org/spreadsheetml/2006/main" count="1215" uniqueCount="646">
  <si>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</si>
  <si>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</si>
  <si>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</si>
  <si>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</si>
  <si>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</si>
  <si>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</si>
  <si>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</si>
  <si>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Diode</t>
  </si>
  <si>
    <t>Fuse</t>
  </si>
  <si>
    <t>Ferrite Bead</t>
  </si>
  <si>
    <t>USB Connector</t>
  </si>
  <si>
    <t>Male Header</t>
  </si>
  <si>
    <t>Terminal Blocks</t>
  </si>
  <si>
    <t>Female Header</t>
  </si>
  <si>
    <t>RJ45 Connector</t>
  </si>
  <si>
    <t>Terminal Block</t>
  </si>
  <si>
    <t>D-Sub / VGA connector</t>
  </si>
  <si>
    <t>Wire To Board Connector</t>
  </si>
  <si>
    <t>Power Connectors</t>
  </si>
  <si>
    <t>Inductor</t>
  </si>
  <si>
    <t>LED</t>
  </si>
  <si>
    <t>Mosfet</t>
  </si>
  <si>
    <t>Transistor</t>
  </si>
  <si>
    <t>Resistor</t>
  </si>
  <si>
    <t>Resistors</t>
  </si>
  <si>
    <t>Switch</t>
  </si>
  <si>
    <t>Microcontrollers</t>
  </si>
  <si>
    <t>IC</t>
  </si>
  <si>
    <t>PhotoTransistor</t>
  </si>
  <si>
    <t>Potentiometer</t>
  </si>
  <si>
    <t>Crystal</t>
  </si>
  <si>
    <t>Designator</t>
  </si>
  <si>
    <t>C1, C12, C20, C21, C34, C43, C44, C53, C54, C63, C64, C73</t>
  </si>
  <si>
    <t>C2, C167, C168, C169, C170, C171, C172, C173, C174</t>
  </si>
  <si>
    <t>C3, C5, C35, C36, C45, C46, C55, C56, C65, C66</t>
  </si>
  <si>
    <t>C6, C9, C37, C38, C47, C48, C57, C58, C67, C68</t>
  </si>
  <si>
    <t>C7, C84, C88, C95, C99, C110, C151, C154, C157, C162, C190, C196, C198, C212, C214, C216, C218, C225, C229</t>
  </si>
  <si>
    <t>C8, C11, C13, C15, C30, C31, C32, C33, C39, C40, C41, C42, C49, C50, C51, C52, C59, C60, C61, C62, C69, C70, C71, C72, C74, C75, C85, C86, C96, C97, C107, C108, C152, C153, C155, C156, C159, C160, C161, C163, C176, C177, C178, C179, C191, C197, C199, C213, C215, C217, C219</t>
  </si>
  <si>
    <t>C10, C150</t>
  </si>
  <si>
    <t>C14, C18, C78, C79, C89, C90, C100, C101, C111, C112, C121, C122, C126, C127, C131, C132, C136, C137</t>
  </si>
  <si>
    <t>C16, C17</t>
  </si>
  <si>
    <t>C19</t>
  </si>
  <si>
    <t>C22, C166</t>
  </si>
  <si>
    <t>C23, C24, C25, C26, C27, C28, C29, C175, C180, C185</t>
  </si>
  <si>
    <t>C76, C87, C98, C109</t>
  </si>
  <si>
    <t>C77</t>
  </si>
  <si>
    <t>C80, C91, C102, C113</t>
  </si>
  <si>
    <t>C81, C92, C103, C114</t>
  </si>
  <si>
    <t>C82, C83, C93, C94, C104, C105, C115, C116</t>
  </si>
  <si>
    <t>C106, C117, C221, C222, C223, C224, C226, C227, C228, C230, C231, C232</t>
  </si>
  <si>
    <t>C118, C119, C120, C123, C124, C125, C128, C129, C130, C133, C134, C135</t>
  </si>
  <si>
    <t>C138, C139, C140, C141, C144, C145, C146, C147</t>
  </si>
  <si>
    <t>C142, C148</t>
  </si>
  <si>
    <t>C143, C149, C220</t>
  </si>
  <si>
    <t>C158</t>
  </si>
  <si>
    <t>C164, C165</t>
  </si>
  <si>
    <t>C192, C193, C194, C195, C200, C201, C202, C203, C204, C205, C206, C207, C208, C209, C210, C211</t>
  </si>
  <si>
    <t>C233, C234, C235, C236, C237, C238, C239, C240, C241, C242, C243, C244</t>
  </si>
  <si>
    <t>D1, D27</t>
  </si>
  <si>
    <t>D2, D3, D13, D14, D15, D16</t>
  </si>
  <si>
    <t>D4</t>
  </si>
  <si>
    <t>D5</t>
  </si>
  <si>
    <t>D6</t>
  </si>
  <si>
    <t>D7, D8, D9, D10, D11, D12, D21, D22, D23, D24, D25, D26</t>
  </si>
  <si>
    <t>D17, D18, D19, D20</t>
  </si>
  <si>
    <t>F1, F2, F3, F4, F5, F6, F7, F8, F9, F10, F11, F12</t>
  </si>
  <si>
    <t>FB1, FB2</t>
  </si>
  <si>
    <t>J1</t>
  </si>
  <si>
    <t>J2</t>
  </si>
  <si>
    <t>J3, J9, J12, J15, J18</t>
  </si>
  <si>
    <t>J4, J10, J13, J16, J19</t>
  </si>
  <si>
    <t>J5, J23, J24</t>
  </si>
  <si>
    <t>J8, J11, J14, J17</t>
  </si>
  <si>
    <t>J20, J21</t>
  </si>
  <si>
    <t>J22</t>
  </si>
  <si>
    <t>J25, J36, J37, J38, J39, J40, J41, J43</t>
  </si>
  <si>
    <t>J26, J29, J31, J33</t>
  </si>
  <si>
    <t>J27, J30, J32, J34</t>
  </si>
  <si>
    <t>J28</t>
  </si>
  <si>
    <t>J35</t>
  </si>
  <si>
    <t>L1, L3, L4, L5, L6</t>
  </si>
  <si>
    <t>L2</t>
  </si>
  <si>
    <t>L7, L8, L9, L10</t>
  </si>
  <si>
    <t>LED1, LED2, LED3, LED6</t>
  </si>
  <si>
    <t>LED4, LED7, LED8, LED9, LED10, LED11, LED12, LED13, LED14, LED15, LED16, LED17, LED18, LED19, LED20, LED21, LED22, LED23, LED24, LED25, LED26, LED27, LED28, LED29</t>
  </si>
  <si>
    <t>LED5</t>
  </si>
  <si>
    <t>Q1, Q4, Q5, Q7, Q8, Q9, Q10, Q11, Q12, Q13, Q14, Q15, Q16, Q17, Q18, Q19, Q20, Q21, Q22, Q23, Q24, Q41, Q42, Q43</t>
  </si>
  <si>
    <t>Q2, Q3, Q6, Q44</t>
  </si>
  <si>
    <t>Q26, Q28, Q30, Q32, Q34, Q36, Q38, Q40</t>
  </si>
  <si>
    <t>R1, R2</t>
  </si>
  <si>
    <t>R3, R18, R170, R171, R172, R173, R174, R175, R176</t>
  </si>
  <si>
    <t>R4, R5, R49, R50, R55, R56, R61, R62, R67, R68</t>
  </si>
  <si>
    <t>R6, R10, R36, R38, R39, R40, R41, R51, R53, R57, R59, R63, R65, R69, R71, R87, R88, R89, R96, R97, R98, R102, R103, R104, R111, R112, R113, R117, R118, R119, R126, R127, R128, R132, R133, R134, R141, R142, R143, R179, R181, R182, R183, R184, R193, R195, R196, R197, R198, R207, R209, R210, R211, R212, R222, R223, R224, R226, R227, R228, R252, R254, R255, R256, R257, R258, R266, R281, R282, R284, R291, R292, R296, R302, R304, R306, R308, R317, R321</t>
  </si>
  <si>
    <t>R7</t>
  </si>
  <si>
    <t>R8</t>
  </si>
  <si>
    <t>R9, R11, R12, R46, R47, R52, R58, R64, R70, R151, R160, R165, R167, R168, R169, R189, R190, R204, R215, R219, R247, R248, R249, R327, R328, R329, R332, R333, R334, R341, R342, R343, R344, R345, R363, R364</t>
  </si>
  <si>
    <t>R13</t>
  </si>
  <si>
    <t>R14</t>
  </si>
  <si>
    <t>R15, R355, R357, R359, R361</t>
  </si>
  <si>
    <t>R16</t>
  </si>
  <si>
    <t>R17, R149, R150</t>
  </si>
  <si>
    <t>R19</t>
  </si>
  <si>
    <t>R20, R22</t>
  </si>
  <si>
    <t>R21</t>
  </si>
  <si>
    <t>R23, R24, R25, R26, R27, R31, R34, R44, R163, R177, R188, R191, R203, R205, R218</t>
  </si>
  <si>
    <t>R28, R29, R30, R32</t>
  </si>
  <si>
    <t>R33</t>
  </si>
  <si>
    <t>R35, R42, R84, R85, R86, R90, R91, R92, R99, R100, R101, R105, R106, R107, R114, R115, R116, R120, R121, R122, R129, R130, R131, R135, R136, R137, R178, R185, R192, R199, R206, R213</t>
  </si>
  <si>
    <t>R37, R180, R194, R208</t>
  </si>
  <si>
    <t>R43, R186, R200, R214</t>
  </si>
  <si>
    <t>R45, R201, R216, R365</t>
  </si>
  <si>
    <t>R48, R54, R60, R66, R157, R158, R159, R220, R221, R232, R234, R243, R250, R251, R262, R264, R275, R280, R287, R289, R305, R312, R314, R330, R369, R373, R374</t>
  </si>
  <si>
    <t>R72, R75, R78, R81</t>
  </si>
  <si>
    <t>R73, R76, R79, R82</t>
  </si>
  <si>
    <t>R74, R77, R80, R83</t>
  </si>
  <si>
    <t>R93, R94, R95, R108, R109, R110, R123, R124, R125, R138, R139, R140</t>
  </si>
  <si>
    <t>R144, R145, R146, R147, R152, R153, R154, R155</t>
  </si>
  <si>
    <t>R148, R156</t>
  </si>
  <si>
    <t>R161</t>
  </si>
  <si>
    <t>R162</t>
  </si>
  <si>
    <t>R164, R166</t>
  </si>
  <si>
    <t>R187, R202, R217, R366</t>
  </si>
  <si>
    <t>R225, R229, R259, R267, R283, R294, R319, R323</t>
  </si>
  <si>
    <t>R230, R231, R233, R235, R238, R240, R242, R244, R246, R260, R261, R263, R265, R268, R270, R272, R274, R276, R285, R286, R288, R290, R293, R295, R297, R299, R301, R310, R311, R313, R315, R318, R320, R322, R324, R326</t>
  </si>
  <si>
    <t>R236, R237, R239, R241, R245, R253, R269, R271, R273, R277, R278, R279, R298, R300, R303, R307, R309, R316, R325, R367, R368, R370, R371, R372</t>
  </si>
  <si>
    <t>R331, R335, R336, R346, R347, R348, R349, R350, R351, R352, R353, R354</t>
  </si>
  <si>
    <t>R337, R338, R339, R340</t>
  </si>
  <si>
    <t>R356, R358, R360, R362</t>
  </si>
  <si>
    <t>SW1, SW2, SW3, SW4, SW5, SW6</t>
  </si>
  <si>
    <t>U1</t>
  </si>
  <si>
    <t>U2, U31, U37, U41</t>
  </si>
  <si>
    <t>U3</t>
  </si>
  <si>
    <t>U4</t>
  </si>
  <si>
    <t>U5</t>
  </si>
  <si>
    <t>U6</t>
  </si>
  <si>
    <t>U7, U8, U20, U23, U26</t>
  </si>
  <si>
    <t>U9, U10, U21, U22</t>
  </si>
  <si>
    <t>U11, U12, U13, U14</t>
  </si>
  <si>
    <t>U15, U16, U17, U18</t>
  </si>
  <si>
    <t>U19</t>
  </si>
  <si>
    <t>U29, U30, U35, U36, U49, U50, U51, U52</t>
  </si>
  <si>
    <t>U32, U33, U38, U39, U42, U43, U46, U47</t>
  </si>
  <si>
    <t>U34, U40, U44, U48</t>
  </si>
  <si>
    <t>VR1, VR2, VR3, VR4, VR5, VR6, VR7, VR8, VR9, VR10, VR11, VR12, VR13, VR14, VR15, VR16</t>
  </si>
  <si>
    <t>X1, X3, X5, X7, X9</t>
  </si>
  <si>
    <t>X2, X4, X6, X8, X10</t>
  </si>
  <si>
    <t>X11</t>
  </si>
  <si>
    <t>Description</t>
  </si>
  <si>
    <t>CAP CER 0.1UF 16V X7R 0402</t>
  </si>
  <si>
    <t>CAP CER 4700PF 50V C0G/NPO 0603</t>
  </si>
  <si>
    <t>CAP CER 6.8PF 50V C0G/NPO 0402</t>
  </si>
  <si>
    <t>CAP CER 20PF 50V C0G/NPO 0402</t>
  </si>
  <si>
    <t>CAP CER 1UF 10V X5R 0402</t>
  </si>
  <si>
    <t>CAP CER 0.1UF 50V X7R 0402</t>
  </si>
  <si>
    <t>CAP CER 4.7UF 10V X5R 0402</t>
  </si>
  <si>
    <t>100uF 10V 55mA@120Hz ±20% SMD,D6.3xL5.4mm Aluminum Electrolytic Capacitors - SMD ROHS</t>
  </si>
  <si>
    <t>CAP CER 10UF 25V X5R 0603</t>
  </si>
  <si>
    <t>CAP CER 4700PF 50V X7R 0402</t>
  </si>
  <si>
    <t>CAP CER 0.1UF 100V X5R 0402</t>
  </si>
  <si>
    <t>4.7uF 50V 14mA@120Hz ±20% SMD,D4xL5.4mm Aluminum Electrolytic Capacitors - SMD ROHS</t>
  </si>
  <si>
    <t>1uF 25V X5R ±20% 0603 Multilayer Ceramic Capacitors MLCC - SMD/SMT ROHS</t>
  </si>
  <si>
    <t>CAP CER 0.047UF 50V X7R 0402</t>
  </si>
  <si>
    <t>CAP CER 22UF 25V X5R 0805</t>
  </si>
  <si>
    <t>CAP CER 2200PF 50V X7R 0603</t>
  </si>
  <si>
    <t>CAP CER 0.22UF 100V X7R 0805</t>
  </si>
  <si>
    <t>CAP CER 10PF 50V C0G/NP0 0402</t>
  </si>
  <si>
    <t>CAP CER 0.022UF 16V X7R 0402</t>
  </si>
  <si>
    <t>CAP ALUM 220UF 20% 50V SMD</t>
  </si>
  <si>
    <t>CAP CER 470PF 50V X7R 0603</t>
  </si>
  <si>
    <t>CAP CER 18PF 50V C0G/NP0 0402</t>
  </si>
  <si>
    <t>1uF 50V 8mA@120Hz ±20% SMD,D4xL5.4mm Aluminum Electrolytic Capacitors - SMD ROHS</t>
  </si>
  <si>
    <t>CAP CER 1000PF 25V C0G 0402</t>
  </si>
  <si>
    <t>TVS DIODE 5V 9.8V SOD923</t>
  </si>
  <si>
    <t>TVS DIODE 28VWM 45.4VC SMB</t>
  </si>
  <si>
    <t>DIODE SCHOTTKY 60V 5A SMA</t>
  </si>
  <si>
    <t>TVS DIODE 5VWM 6.3VC DSN0603-2</t>
  </si>
  <si>
    <t>SMB(DO-214AA) TVS ROHS</t>
  </si>
  <si>
    <t>40V 3A 550mV@3A SMA(DO-214AC) Schottky Barrier Diodes (SBD) ROHS</t>
  </si>
  <si>
    <t>9V 200mA 100A 500mA 0805 Resettable Fuses ROHS</t>
  </si>
  <si>
    <t>FERRITE BEAD 10 OHM 0402 1LN</t>
  </si>
  <si>
    <t>5A 1 16P Female Type-C SMD USB Connectors ROHS</t>
  </si>
  <si>
    <t>Gold 250V 3A Straight Square Pins 2.5mm 4P 260℃ 6mm -40℃~+105℃ 3mm 2.54mm Plugin Black Brass 1x4P Plugin,P=2.54mm Pin Headers ROHS</t>
  </si>
  <si>
    <t>Gold 250V 3A Straight Square Pins 2.5mm 6P 260℃ 6mm -40℃~+105℃ 3mm 2.54mm Plugin Black Brass 1x6P Plugin,P=2.54mm Pin Headers ROHS</t>
  </si>
  <si>
    <t>CONN HEADER VERT 3POS 2.54MM</t>
  </si>
  <si>
    <t>TERM BLK 2P SIDE ENT 5.08MM PCB</t>
  </si>
  <si>
    <t>2mm 2.54mm Plugin 2.5A -40℃~+105℃ Straight 1x4P Top 8.5mm 4 Square Hole Plugin,P=2.54mm Female Headers ROHS</t>
  </si>
  <si>
    <t>RJ45 RJReceptacle 1 WithLED Plugin Ethernet Connectors/Modular Connectors (RJ45 RJ11) ROHS</t>
  </si>
  <si>
    <t>1x3P 18A -40℃~+105℃ 250V Green 14~30 Straight pin 5.08mm 2.5 1 3 Plugin,P=5.08mm Screw terminal ROHS</t>
  </si>
  <si>
    <t>44P Female D-Sub Right-Angle 3 1.5A -40℃~+105℃ Push-Pull D-Sub / VGA connector ROHS</t>
  </si>
  <si>
    <t>3x3P 9P 3 4.14mm 4.14mm 3 -25℃~+105℃ 8A Straight Plugin,P=4.14mm Wire To Board Connector ROHS</t>
  </si>
  <si>
    <t>CONN HEADER VERT 4POS 4.14MM</t>
  </si>
  <si>
    <t>Tin 1x2P Corner pin Three sides 2 1 9.5mm -40℃~+105℃ 20A 300V Black 10~22 Copper Alloy 0.5~4 Plugin,P=9.5mm Barrier Terminal Blocks ROHS</t>
  </si>
  <si>
    <t>M4 Plugin PCB Welding Terminal ROHS</t>
  </si>
  <si>
    <t>FERRITE BEAD 600 OHM 0402 1LN</t>
  </si>
  <si>
    <t>8A 4.7uH ±20% SMD,10x10.1mm Power Inductors ROHS</t>
  </si>
  <si>
    <t>FIXED IND 22UH 1.34A 73.2MOHM SM</t>
  </si>
  <si>
    <t>RED LED 0603 Light Emitting Diodes</t>
  </si>
  <si>
    <t>blue 0603 Light Emitting Diodes (LED) ROHS</t>
  </si>
  <si>
    <t>Emerald 0603 Light Emitting Diodes (LED) ROHS</t>
  </si>
  <si>
    <t>MOSFET N-CH 60V 100A TO252-3</t>
  </si>
  <si>
    <t>N-CHANNEL 20-V (D-S) MOSFET</t>
  </si>
  <si>
    <t>TRANS NPN 40V 2A SOT23-3</t>
  </si>
  <si>
    <t>RES 5.1K OHM 1% 1/16W 0402</t>
  </si>
  <si>
    <t>RES SMD 1M OHM 5% 1/16W 0402</t>
  </si>
  <si>
    <t>RES 0 OHM JUMPER 1/10W 0603</t>
  </si>
  <si>
    <t>62.5mW Thick Film Resistors 50V ±100ppm/℃ ±1% 25.5kΩ 0402 Chip Resistor - Surface Mount ROHS</t>
  </si>
  <si>
    <t>RES SMD 137K OHM 0.1% 1/16W 0402</t>
  </si>
  <si>
    <t>RES 10K OHM 1% 1/16W 0402</t>
  </si>
  <si>
    <t>60.4kΩ 50V 62.5mW Thick Film Resistors ±1% 0402 Chip Resistor - Surface Mount ROHS</t>
  </si>
  <si>
    <t>11.5kΩ 50V 62.5mW Thick Film Resistors ±100ppm/℃ ±1%  0402 Chip Resistor - Surface Mount ROHS</t>
  </si>
  <si>
    <t>RES 3.9K OHM 1% 1/16W 0402</t>
  </si>
  <si>
    <t>RES 470 OHM 1% 1/16W 0402</t>
  </si>
  <si>
    <t>RES 200 OHM 1% 1/16W 0402</t>
  </si>
  <si>
    <t>RES 33K OHM 1% 1/16W 0402</t>
  </si>
  <si>
    <t>100mW Thick Film Resistors ±100ppm/℃ ±1% 60.4Ω 0603 Chip Resistor - Surface Mount ROHS</t>
  </si>
  <si>
    <t>RES 100K OHM 1% 1/16W 0402</t>
  </si>
  <si>
    <t>RES 4.7K OHM 1% 1/16W 0402</t>
  </si>
  <si>
    <t>RES 22 OHM 1% 1/20W 0201</t>
  </si>
  <si>
    <t>RES 120 OHM 5% 1/10W 0603</t>
  </si>
  <si>
    <t>RES 1K OHM 1% 1/16W 0402</t>
  </si>
  <si>
    <t>RES 22 OHM 1% 1/16W 0402</t>
  </si>
  <si>
    <t>RES 120 OHM 1% 1/16W 0402</t>
  </si>
  <si>
    <t>RES 47 OHM 1% 1/16W 0402</t>
  </si>
  <si>
    <t>RES 0 OHM JUMPER 1/16W 0402</t>
  </si>
  <si>
    <t>RES SMD 28K OHM 0.1% 1/16W 0402</t>
  </si>
  <si>
    <t>62.5mW Thick Film Resistors 50V ±100ppm/℃ ±1% 8.45kΩ 0402 Chip Resistor - Surface Mount ROHS</t>
  </si>
  <si>
    <t>RES SMD 100K OHM 0.1% 1/16W 0402</t>
  </si>
  <si>
    <t>1W 5mΩ ±1% 1206 Current Sense Resistors/Shunt Resistors ROHS</t>
  </si>
  <si>
    <t>RES 49.9 OHM 1% 1/10W 0603</t>
  </si>
  <si>
    <t>RESISTOR 0402 JUMPER ZERO OHM</t>
  </si>
  <si>
    <t>RES SMD 12.1KOHM 0.1% 1/16W 0402</t>
  </si>
  <si>
    <t>RES  SMD 330R 100 mW 0603</t>
  </si>
  <si>
    <t>RES SMD 1K OHM 1% 1/10W 0603</t>
  </si>
  <si>
    <t>RES SMD 2.1K OHM 0.1% 1/10W 0603</t>
  </si>
  <si>
    <t>RES 100 OHM 1% 1/16W 0402</t>
  </si>
  <si>
    <t>RES 150 OHM 0.5% 1/10W 0603</t>
  </si>
  <si>
    <t>RES SMD 57.6 OHM 1% 1/10W 0402</t>
  </si>
  <si>
    <t>RES 1.5K OHM 1% 1/16W 0402</t>
  </si>
  <si>
    <t>RES 47K OHM 1% 1/16W 0402</t>
  </si>
  <si>
    <t>SWITCH TACTILE SPST-NO 0.05A 12V</t>
  </si>
  <si>
    <t>IC MCU 32BIT 512KB FLASH 64LQFP</t>
  </si>
  <si>
    <t>IC REG CHARGE PUMP INV 16QSOP</t>
  </si>
  <si>
    <t>IC REG BCK SPLIT RAIL ADJ 8SOPWR</t>
  </si>
  <si>
    <t>72dB@(120Hz) 5A Fixed 3.3V~3.3V Positive 12V TO-263-3 Linear Voltage Regulators (LDO) ROHS</t>
  </si>
  <si>
    <t>IC TRANSCEIVER HALF 1/1 14VSON</t>
  </si>
  <si>
    <t>250Kbps transceiver 2/2 SOP-16 RS232 ICs ROHS</t>
  </si>
  <si>
    <t>IC TRANSCEIVER HALF 1/1 8SON</t>
  </si>
  <si>
    <t>IC TRANSLATOR BIDIRECTIONAL SM8</t>
  </si>
  <si>
    <t>IC MCU 32BIT 128KB FLASH 48LQFP</t>
  </si>
  <si>
    <t>IC MTR DRV MULTIPHAS 6-60V 48QFN</t>
  </si>
  <si>
    <t>2/3-PORT ETHERCAT SLAVE CTLR</t>
  </si>
  <si>
    <t>IC XPNDR 1.7MHZ I2C 28SSOP</t>
  </si>
  <si>
    <t>OPTOISO 3.75KV 4CH TRANS 16SO</t>
  </si>
  <si>
    <t>Optoisolator Output Channel 4-SMD</t>
  </si>
  <si>
    <t>TRIMMER 10K OHM 0.5W PC PIN TOP</t>
  </si>
  <si>
    <t>32.768kHz 12.5pF ±20ppm MC-306 Crystals ROHS</t>
  </si>
  <si>
    <t>8MHz 18pF ±10ppm SMD5032-4P Crystals ROHS</t>
  </si>
  <si>
    <t>25MHz 贴片晶振 18pF ±10ppm ±20ppm SMD3225-4P Crystals ROHS</t>
  </si>
  <si>
    <t>Footprint</t>
  </si>
  <si>
    <t>Cap-0402</t>
  </si>
  <si>
    <t>Cap-0603</t>
  </si>
  <si>
    <t>cap-0402</t>
  </si>
  <si>
    <t>RVT1A101M0605</t>
  </si>
  <si>
    <t>VT1H4R7M0405</t>
  </si>
  <si>
    <t>Cap-0805</t>
  </si>
  <si>
    <t>UCD-220uF-10mmDia</t>
  </si>
  <si>
    <t>RVT1H1R0M0405</t>
  </si>
  <si>
    <t>SOD-923.</t>
  </si>
  <si>
    <t>SMB_</t>
  </si>
  <si>
    <t>SMA</t>
  </si>
  <si>
    <t>DSN0603-2</t>
  </si>
  <si>
    <t>SMB Bi Directional</t>
  </si>
  <si>
    <t>SMA(DO-214AC)</t>
  </si>
  <si>
    <t>Fuse-0805</t>
  </si>
  <si>
    <t>IND-0402</t>
  </si>
  <si>
    <t>HDR1X4_</t>
  </si>
  <si>
    <t>HDR1X6_</t>
  </si>
  <si>
    <t>HDR1X3_</t>
  </si>
  <si>
    <t>HDR1X4 Female</t>
  </si>
  <si>
    <t>HR911105A</t>
  </si>
  <si>
    <t>WJ500V-5.08-3P</t>
  </si>
  <si>
    <t>DS1038-44FBNSIA74-0CC</t>
  </si>
  <si>
    <t>HX41406-9A</t>
  </si>
  <si>
    <t>1-770174-0</t>
  </si>
  <si>
    <t>MXHB9500-9.5-02P-BK01-Cu-S-A</t>
  </si>
  <si>
    <t>T44001</t>
  </si>
  <si>
    <t>YSPI1050-4R7M</t>
  </si>
  <si>
    <t>LED-0603</t>
  </si>
  <si>
    <t>TO-252-2L</t>
  </si>
  <si>
    <t>Sot-23</t>
  </si>
  <si>
    <t>SOT-23</t>
  </si>
  <si>
    <t>Res-0402</t>
  </si>
  <si>
    <t>Res-0603</t>
  </si>
  <si>
    <t>Res-0201</t>
  </si>
  <si>
    <t>Res-1206</t>
  </si>
  <si>
    <t>B3U-1000P</t>
  </si>
  <si>
    <t>LQFP-64(10x10)</t>
  </si>
  <si>
    <t>16-QSOP</t>
  </si>
  <si>
    <t>8-SO PowerPad</t>
  </si>
  <si>
    <t>TO263-3_</t>
  </si>
  <si>
    <t>VSON-14(3x4.5)</t>
  </si>
  <si>
    <t>SOP-16</t>
  </si>
  <si>
    <t>SON-8-EP(3x3)</t>
  </si>
  <si>
    <t>MSOP-8</t>
  </si>
  <si>
    <t>48-LQFP (7x7)_</t>
  </si>
  <si>
    <t>48-VQFN (7x7)</t>
  </si>
  <si>
    <t>QFN-64-EP(9x9)</t>
  </si>
  <si>
    <t>SSOP-28-208mil</t>
  </si>
  <si>
    <t>16-SO</t>
  </si>
  <si>
    <t>PC817X2NIPW</t>
  </si>
  <si>
    <t>3362P-1-103</t>
  </si>
  <si>
    <t>MC-306</t>
  </si>
  <si>
    <t>SMD3225-4P</t>
  </si>
  <si>
    <t>Manufacturer Part Number</t>
  </si>
  <si>
    <t>CC0402JRX7R7BB104</t>
  </si>
  <si>
    <t>CC0603JRNPO9BN472</t>
  </si>
  <si>
    <t>CC0402CRNPO9BN6R8</t>
  </si>
  <si>
    <t>CC0402JRNPO9BN200</t>
  </si>
  <si>
    <t>CC0402KRX5R6BB105</t>
  </si>
  <si>
    <t>C1005X7R1H104KT000F</t>
  </si>
  <si>
    <t>CC0402KRX5R6BB475</t>
  </si>
  <si>
    <t>C1608X5R1E106M080AC</t>
  </si>
  <si>
    <t>CC0402KRX7R9BB472</t>
  </si>
  <si>
    <t>GRM155R62A104KE14D</t>
  </si>
  <si>
    <t>TCC0603X5R105M250CT</t>
  </si>
  <si>
    <t>CC0402KRX7R9BB473</t>
  </si>
  <si>
    <t>GRM21BR61E226ME44L</t>
  </si>
  <si>
    <t>CC0603KRX7R9BB222</t>
  </si>
  <si>
    <t>08051C224K4T2A</t>
  </si>
  <si>
    <t>GRM1555C1H100JA01D</t>
  </si>
  <si>
    <t>CC0402JRX7R7BB223</t>
  </si>
  <si>
    <t>UCD1H221MNL1GS</t>
  </si>
  <si>
    <t>0603B471K500CT</t>
  </si>
  <si>
    <t>GCM1555C1H180GA16D</t>
  </si>
  <si>
    <t>C1005C0G1E102JT000F</t>
  </si>
  <si>
    <t>ESD9L5.0ST5G</t>
  </si>
  <si>
    <t>SMBJ28A-13-F</t>
  </si>
  <si>
    <t>SS56</t>
  </si>
  <si>
    <t>PESD5V0H1BSFYL</t>
  </si>
  <si>
    <t>SMBJ26CA</t>
  </si>
  <si>
    <t>B340A</t>
  </si>
  <si>
    <t>SMD0805P020TF</t>
  </si>
  <si>
    <t>BLM15PG100SN1D</t>
  </si>
  <si>
    <t>TYPE-C-31-M-12</t>
  </si>
  <si>
    <t>X6511WV-04H-C60D30</t>
  </si>
  <si>
    <t>X6511WV-06H-C60D30</t>
  </si>
  <si>
    <t>PM2.54-1*4</t>
  </si>
  <si>
    <t>BLM15AG601SN1D</t>
  </si>
  <si>
    <t>SLF7045T-220MR90-PF</t>
  </si>
  <si>
    <t>NCD0603R3</t>
  </si>
  <si>
    <t>NCD0603B3</t>
  </si>
  <si>
    <t>NCD0603G2</t>
  </si>
  <si>
    <t>IPD034N06N3G</t>
  </si>
  <si>
    <t>SI2302CDS</t>
  </si>
  <si>
    <t>NSS40201LT1G</t>
  </si>
  <si>
    <t>RC0402FR-075K1L</t>
  </si>
  <si>
    <t>AF0402JR-071ML</t>
  </si>
  <si>
    <t>RC0603JR-070RL</t>
  </si>
  <si>
    <t>0402WGF2552TCE</t>
  </si>
  <si>
    <t>RT0402BRD07137KL</t>
  </si>
  <si>
    <t>RC0402FR-0710KL</t>
  </si>
  <si>
    <t>SCR0402F60K4</t>
  </si>
  <si>
    <t>FRC0402F1152TS</t>
  </si>
  <si>
    <t>RC0402FR-073K9L</t>
  </si>
  <si>
    <t>RC0402FR-07470RL</t>
  </si>
  <si>
    <t>RC0402FR-07200RL</t>
  </si>
  <si>
    <t>RC0402FR-0733KL</t>
  </si>
  <si>
    <t>RTT0360R4FTP</t>
  </si>
  <si>
    <t>RC0402FR-07100KL</t>
  </si>
  <si>
    <t>RC0402FR-074K7L</t>
  </si>
  <si>
    <t>RC0201FR-0722RL</t>
  </si>
  <si>
    <t>RC0603JR-07120RL</t>
  </si>
  <si>
    <t>RC0402FR-071KL</t>
  </si>
  <si>
    <t>RC0402FR-0722RL</t>
  </si>
  <si>
    <t>RC0402FR-07120RL</t>
  </si>
  <si>
    <t>RC0402FR-0747RL</t>
  </si>
  <si>
    <t>RC0402FR-070RL</t>
  </si>
  <si>
    <t>RT0402BRD0728KL</t>
  </si>
  <si>
    <t>0402WGF8451TCE</t>
  </si>
  <si>
    <t>RT0402BRD07100KL</t>
  </si>
  <si>
    <t>CUM1206-15FR005</t>
  </si>
  <si>
    <t>RC0603FR-0749R9L</t>
  </si>
  <si>
    <t>AC0402FR-070RL</t>
  </si>
  <si>
    <t>RT0402BRD0712K1L</t>
  </si>
  <si>
    <t>RC0603JR-07330RL</t>
  </si>
  <si>
    <t>RC0603FR-071KL</t>
  </si>
  <si>
    <t>RT0603BRD072K1L</t>
  </si>
  <si>
    <t>RC0402FR-07100RL</t>
  </si>
  <si>
    <t>RC0603DR-07150RL</t>
  </si>
  <si>
    <t>ERJ-2RKF57R6X</t>
  </si>
  <si>
    <t>RC0402FR-071K5L</t>
  </si>
  <si>
    <t>RC0402FR-0747KL</t>
  </si>
  <si>
    <t>STM32G0B1RET6</t>
  </si>
  <si>
    <t>MAX864EEE+</t>
  </si>
  <si>
    <t>TPS54560BQDDARQ1</t>
  </si>
  <si>
    <t>LM1084S-3.3/TR</t>
  </si>
  <si>
    <t>TCAN1463DMTRQ1</t>
  </si>
  <si>
    <t>MAX3232ESE</t>
  </si>
  <si>
    <t>THVD2450DRBR</t>
  </si>
  <si>
    <t>SN74LVC2T45DCTR</t>
  </si>
  <si>
    <t>STM32F103CBT6</t>
  </si>
  <si>
    <t>DRV8323RSRGZR</t>
  </si>
  <si>
    <t>LAN9253-I/R4X</t>
  </si>
  <si>
    <t>MCP23017T-E/SS</t>
  </si>
  <si>
    <t>LTV-247</t>
  </si>
  <si>
    <t>MC-306 32.7680K-A0:ROHS</t>
  </si>
  <si>
    <t>5TJ480000XYLBC</t>
  </si>
  <si>
    <t>X322525MRB4SI</t>
  </si>
  <si>
    <t>Manufacturer</t>
  </si>
  <si>
    <t>Yageo</t>
  </si>
  <si>
    <t>TDK</t>
  </si>
  <si>
    <t>ROQANG</t>
  </si>
  <si>
    <t>Murata</t>
  </si>
  <si>
    <t>Roqang</t>
  </si>
  <si>
    <t>CCTC</t>
  </si>
  <si>
    <t>Kyocera AVX</t>
  </si>
  <si>
    <t>Nichicon</t>
  </si>
  <si>
    <t>Walsin Technologies</t>
  </si>
  <si>
    <t>ON Semiconductor</t>
  </si>
  <si>
    <t>Diodes</t>
  </si>
  <si>
    <t>MDD</t>
  </si>
  <si>
    <t>Nexperia</t>
  </si>
  <si>
    <t>MSKSEMI</t>
  </si>
  <si>
    <t>FUXINSEMI</t>
  </si>
  <si>
    <t>RUILON</t>
  </si>
  <si>
    <t>Korean Hroparts Elec</t>
  </si>
  <si>
    <t>XKB</t>
  </si>
  <si>
    <t>Phoenix Contact</t>
  </si>
  <si>
    <t>ZHOURI</t>
  </si>
  <si>
    <t>HANRUN</t>
  </si>
  <si>
    <t>Ningbo Kangnex Elec</t>
  </si>
  <si>
    <t>CONNFLY Elec</t>
  </si>
  <si>
    <t>HX(Zhejiang Yueqing Hongxing Elec)</t>
  </si>
  <si>
    <t>TE Connectivity</t>
  </si>
  <si>
    <t>MAX</t>
  </si>
  <si>
    <t>XFCN</t>
  </si>
  <si>
    <t>YJYCOIN</t>
  </si>
  <si>
    <t>Foshan NationStar Optoelectronics</t>
  </si>
  <si>
    <t>Infineon</t>
  </si>
  <si>
    <t>TECH PUBLIC</t>
  </si>
  <si>
    <t>Royal Electronic Factory</t>
  </si>
  <si>
    <t>VO</t>
  </si>
  <si>
    <t>FOJAN</t>
  </si>
  <si>
    <t>YAGEO</t>
  </si>
  <si>
    <t>FORT</t>
  </si>
  <si>
    <t>Panasonic</t>
  </si>
  <si>
    <t>Omron</t>
  </si>
  <si>
    <t>STMicroelectronics</t>
  </si>
  <si>
    <t>Maxim</t>
  </si>
  <si>
    <t>Texas Instruments</t>
  </si>
  <si>
    <t>HGSEMI</t>
  </si>
  <si>
    <t>UMW</t>
  </si>
  <si>
    <t>Microchip</t>
  </si>
  <si>
    <t>Vishay Lite-On</t>
  </si>
  <si>
    <t>Sharp</t>
  </si>
  <si>
    <t>Bourns</t>
  </si>
  <si>
    <t>Seiko Epson</t>
  </si>
  <si>
    <t>JYJE</t>
  </si>
  <si>
    <t>YXC</t>
  </si>
  <si>
    <t>LCSC Part Number</t>
  </si>
  <si>
    <t>C541464</t>
  </si>
  <si>
    <t>C576818</t>
  </si>
  <si>
    <t>C189470</t>
  </si>
  <si>
    <t>C107000</t>
  </si>
  <si>
    <t>C106254</t>
  </si>
  <si>
    <t>C361198</t>
  </si>
  <si>
    <t>C326586</t>
  </si>
  <si>
    <t>C72474</t>
  </si>
  <si>
    <t>C2168289</t>
  </si>
  <si>
    <t>C162178</t>
  </si>
  <si>
    <t>C213488</t>
  </si>
  <si>
    <t>C6266891</t>
  </si>
  <si>
    <t>C272875</t>
  </si>
  <si>
    <t>C86816</t>
  </si>
  <si>
    <t>C107082</t>
  </si>
  <si>
    <t>C2176107</t>
  </si>
  <si>
    <t>C76946</t>
  </si>
  <si>
    <t>C541459</t>
  </si>
  <si>
    <t>C116211</t>
  </si>
  <si>
    <t>C93192</t>
  </si>
  <si>
    <t>C882583</t>
  </si>
  <si>
    <t>C72491</t>
  </si>
  <si>
    <t>C343059</t>
  </si>
  <si>
    <t>C82326</t>
  </si>
  <si>
    <t>-</t>
  </si>
  <si>
    <t>C477989</t>
  </si>
  <si>
    <t>C5331111</t>
  </si>
  <si>
    <t>C3018525</t>
  </si>
  <si>
    <t>C20976</t>
  </si>
  <si>
    <t>C85823</t>
  </si>
  <si>
    <t>C165948</t>
  </si>
  <si>
    <t>C706876</t>
  </si>
  <si>
    <t>C706878</t>
  </si>
  <si>
    <t>C5116530</t>
  </si>
  <si>
    <t>C12074</t>
  </si>
  <si>
    <t>C72334</t>
  </si>
  <si>
    <t>C77844</t>
  </si>
  <si>
    <t>C704507</t>
  </si>
  <si>
    <t>C7542168</t>
  </si>
  <si>
    <t>C76884</t>
  </si>
  <si>
    <t>C497895</t>
  </si>
  <si>
    <t>C13754</t>
  </si>
  <si>
    <t>C3151730</t>
  </si>
  <si>
    <t>C158101</t>
  </si>
  <si>
    <t>C87326</t>
  </si>
  <si>
    <t>C94897</t>
  </si>
  <si>
    <t>C5310968</t>
  </si>
  <si>
    <t>C145175</t>
  </si>
  <si>
    <t>C105872</t>
  </si>
  <si>
    <t>C144054</t>
  </si>
  <si>
    <t>C95177</t>
  </si>
  <si>
    <t>C26970</t>
  </si>
  <si>
    <t>C852519</t>
  </si>
  <si>
    <t>C60490</t>
  </si>
  <si>
    <t>C3016055</t>
  </si>
  <si>
    <t>C2933068</t>
  </si>
  <si>
    <t>C131467</t>
  </si>
  <si>
    <t>C114877</t>
  </si>
  <si>
    <t>C114764</t>
  </si>
  <si>
    <t>C138003</t>
  </si>
  <si>
    <t>C103744</t>
  </si>
  <si>
    <t>C60491</t>
  </si>
  <si>
    <t>C105871</t>
  </si>
  <si>
    <t>C155743</t>
  </si>
  <si>
    <t>C114681</t>
  </si>
  <si>
    <t>C106235</t>
  </si>
  <si>
    <t>C114765</t>
  </si>
  <si>
    <t>C114758</t>
  </si>
  <si>
    <t>C137973</t>
  </si>
  <si>
    <t>C106231</t>
  </si>
  <si>
    <t>C852686</t>
  </si>
  <si>
    <t>C270579</t>
  </si>
  <si>
    <t>C852472</t>
  </si>
  <si>
    <t>C114625</t>
  </si>
  <si>
    <t>C226739</t>
  </si>
  <si>
    <t>C281773</t>
  </si>
  <si>
    <t>C105879</t>
  </si>
  <si>
    <t>C22548</t>
  </si>
  <si>
    <t>C861293</t>
  </si>
  <si>
    <t>C106232</t>
  </si>
  <si>
    <t>C3025671</t>
  </si>
  <si>
    <t>C114759</t>
  </si>
  <si>
    <t>C93943</t>
  </si>
  <si>
    <t>C231329</t>
  </si>
  <si>
    <t>C2829307</t>
  </si>
  <si>
    <t>C2072188</t>
  </si>
  <si>
    <t>C259972</t>
  </si>
  <si>
    <t>C5215823</t>
  </si>
  <si>
    <t>C2904738</t>
  </si>
  <si>
    <t>C2878080</t>
  </si>
  <si>
    <t>C22672</t>
  </si>
  <si>
    <t>C8304</t>
  </si>
  <si>
    <t>C558584</t>
  </si>
  <si>
    <t>C115451</t>
  </si>
  <si>
    <t>C2840443</t>
  </si>
  <si>
    <t>C118956</t>
  </si>
  <si>
    <t>C2650464</t>
  </si>
  <si>
    <t>C2149247</t>
  </si>
  <si>
    <t>C70593</t>
  </si>
  <si>
    <t>0.1uF</t>
  </si>
  <si>
    <t>4.7nF</t>
  </si>
  <si>
    <t>DNP</t>
  </si>
  <si>
    <t>20pF</t>
  </si>
  <si>
    <t>1uF</t>
  </si>
  <si>
    <t>100nF</t>
  </si>
  <si>
    <t>4.7uF</t>
  </si>
  <si>
    <t>100uF</t>
  </si>
  <si>
    <t>10uF</t>
  </si>
  <si>
    <t>6.8pF</t>
  </si>
  <si>
    <t>0.1uf</t>
  </si>
  <si>
    <t>47nF</t>
  </si>
  <si>
    <t>2.2nF</t>
  </si>
  <si>
    <t>220nF</t>
  </si>
  <si>
    <t>22nF</t>
  </si>
  <si>
    <t>220uF</t>
  </si>
  <si>
    <t>470pF</t>
  </si>
  <si>
    <t>18pF</t>
  </si>
  <si>
    <t>1nF</t>
  </si>
  <si>
    <t>4.7uH</t>
  </si>
  <si>
    <t>5.1K</t>
  </si>
  <si>
    <t>1M</t>
  </si>
  <si>
    <t>0R</t>
  </si>
  <si>
    <t>25.5K</t>
  </si>
  <si>
    <t>137K</t>
  </si>
  <si>
    <t>10K</t>
  </si>
  <si>
    <t>60.4K</t>
  </si>
  <si>
    <t>11.5K</t>
  </si>
  <si>
    <t>3.9K</t>
  </si>
  <si>
    <t>470R</t>
  </si>
  <si>
    <t>200R</t>
  </si>
  <si>
    <t>33K</t>
  </si>
  <si>
    <t>60.4R</t>
  </si>
  <si>
    <t>100K</t>
  </si>
  <si>
    <t>4.7K</t>
  </si>
  <si>
    <t>22R</t>
  </si>
  <si>
    <t>120R</t>
  </si>
  <si>
    <t>1K</t>
  </si>
  <si>
    <t>47R</t>
  </si>
  <si>
    <t>5mR</t>
  </si>
  <si>
    <t>49.9R</t>
  </si>
  <si>
    <t>12.1k</t>
  </si>
  <si>
    <t>330R</t>
  </si>
  <si>
    <t>2.1K</t>
  </si>
  <si>
    <t>100R</t>
  </si>
  <si>
    <t>150R</t>
  </si>
  <si>
    <t>57.6R</t>
  </si>
  <si>
    <t>1.5K</t>
  </si>
  <si>
    <t>47K</t>
  </si>
  <si>
    <t>8MHz</t>
  </si>
  <si>
    <t>25MHz</t>
  </si>
  <si>
    <t>Quantity</t>
  </si>
  <si>
    <t>Bill of Materials for Project [Servo-Board-v1.0]</t>
  </si>
  <si>
    <t>Servo-Board-v1.0</t>
  </si>
  <si>
    <t>Alternate Part Number</t>
  </si>
  <si>
    <t>Value</t>
  </si>
  <si>
    <t xml:space="preserve"> Quantity (5 Boards)</t>
  </si>
  <si>
    <t>MOQ (5 Boards)</t>
  </si>
  <si>
    <t>Links</t>
  </si>
  <si>
    <t>Unit Cost (5 Boards)</t>
  </si>
  <si>
    <t>Total Cost (5 Boards)</t>
  </si>
  <si>
    <t xml:space="preserve"> Remarks</t>
  </si>
  <si>
    <t>-------</t>
  </si>
  <si>
    <t>Custom</t>
  </si>
  <si>
    <t>LCSC</t>
  </si>
  <si>
    <t>DO NOT MOUNT</t>
  </si>
  <si>
    <t>C106208</t>
  </si>
  <si>
    <t>20A 350W 16V 4V 3.3V SOD-323 ESD and Surge Protection (TVS/ESD) ROHS</t>
  </si>
  <si>
    <t>SOD-323</t>
  </si>
  <si>
    <t>SD03</t>
  </si>
  <si>
    <t>------</t>
  </si>
  <si>
    <t>C502526</t>
  </si>
  <si>
    <t>C91924</t>
  </si>
  <si>
    <t>C65009</t>
  </si>
  <si>
    <t>68000-103HLF</t>
  </si>
  <si>
    <t>Amphenol</t>
  </si>
  <si>
    <t>2.54-1*3P</t>
  </si>
  <si>
    <t>C49257</t>
  </si>
  <si>
    <t>C480516</t>
  </si>
  <si>
    <t>C481447</t>
  </si>
  <si>
    <t>C5745149</t>
  </si>
  <si>
    <t>C498560</t>
  </si>
  <si>
    <t>HoLLR1206-1W-5mR-1%</t>
  </si>
  <si>
    <t>C2988648</t>
  </si>
  <si>
    <t xml:space="preserve">0603WAD1500T5E
</t>
  </si>
  <si>
    <t>C423076</t>
  </si>
  <si>
    <t>C545497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</si>
</sst>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6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5" fillId="2" borderId="7" xfId="0" quotePrefix="1" applyFont="1" applyFill="1" applyBorder="1" applyAlignment="1">
      <alignment horizontal="center" vertical="center" wrapText="1"/>
    </xf>
    <xf numFmtId="0" fontId="19" fillId="2" borderId="7" xfId="0" quotePrefix="1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1" fillId="2" borderId="7" xfId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 wrapText="1"/>
    </xf>
    <xf numFmtId="165" fontId="20" fillId="2" borderId="7" xfId="0" applyNumberFormat="1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20" fillId="2" borderId="7" xfId="0" quotePrefix="1" applyFont="1" applyFill="1" applyBorder="1" applyAlignment="1">
      <alignment horizontal="center" vertical="center" wrapText="1"/>
    </xf>
    <xf numFmtId="0" fontId="21" fillId="2" borderId="8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Pin-Headers_XKB-Connection-X6511WV-06H-C60D30_C706878.html" TargetMode="External"/><Relationship Id="rId21" Type="http://schemas.openxmlformats.org/officeDocument/2006/relationships/hyperlink" Target="https://www.lcsc.com/product-detail/ESD-and-Surge-Protection-TVS-ESD_MSKSEMI-SMBJ26CA_C5331111.html" TargetMode="External"/><Relationship Id="rId42" Type="http://schemas.openxmlformats.org/officeDocument/2006/relationships/hyperlink" Target="https://www.lcsc.com/product-detail/Chip-Resistor-Surface-Mount_YAGEO-RT0402BRD07137KL_C852519.html" TargetMode="External"/><Relationship Id="rId47" Type="http://schemas.openxmlformats.org/officeDocument/2006/relationships/hyperlink" Target="https://www.lcsc.com/product-detail/Chip-Resistor-Surface-Mount_YAGEO-RC0402FR-07470RL_C114877.html" TargetMode="External"/><Relationship Id="rId63" Type="http://schemas.openxmlformats.org/officeDocument/2006/relationships/hyperlink" Target="https://www.lcsc.com/product-detail/Crystals_JYJE-5TJ480000XYLBC_C2149247.html" TargetMode="External"/><Relationship Id="rId68" Type="http://schemas.openxmlformats.org/officeDocument/2006/relationships/hyperlink" Target="https://www.lcsc.com/product-detail/Multilayer-Ceramic-Capacitors-MLCC-SMD-SMT_YAGEO-CC0603KRX7R9BB222_C107082.html" TargetMode="External"/><Relationship Id="rId84" Type="http://schemas.openxmlformats.org/officeDocument/2006/relationships/hyperlink" Target="https://www.lcsc.com/product-detail/Chip-Resistor-Surface-Mount_YAGEO-RT0402BRD07100KL_C852472.html" TargetMode="External"/><Relationship Id="rId89" Type="http://schemas.openxmlformats.org/officeDocument/2006/relationships/hyperlink" Target="https://www.lcsc.com/product-detail/Chip-Resistor-Surface-Mount_YAGEO-RC0603FR-071KL_C22548.html" TargetMode="External"/><Relationship Id="rId16" Type="http://schemas.openxmlformats.org/officeDocument/2006/relationships/hyperlink" Target="https://www.lcsc.com/product-detail/ESD-and-Surge-Protection-TVS-ESD_onsemi-ESD9L5-0ST5G_C82326.html" TargetMode="External"/><Relationship Id="rId11" Type="http://schemas.openxmlformats.org/officeDocument/2006/relationships/hyperlink" Target="https://www.lcsc.com/product-detail/Multilayer-Ceramic-Capacitors-MLCC-SMD-SMT_Murata-Electronics-GRM155R62A104KE14D_C162178.html" TargetMode="External"/><Relationship Id="rId32" Type="http://schemas.openxmlformats.org/officeDocument/2006/relationships/hyperlink" Target="https://www.lcsc.com/product-detail/Barrier-Terminal-Blocks_MAX-MXHB9500-9-5-02P-BK01-Cu-S-A_C7542168.html" TargetMode="External"/><Relationship Id="rId37" Type="http://schemas.openxmlformats.org/officeDocument/2006/relationships/hyperlink" Target="https://www.lcsc.com/product-detail/LED-Indication-Discrete_Foshan-NationStar-Optoelectronics-NCD0603G2_C87326.html" TargetMode="External"/><Relationship Id="rId53" Type="http://schemas.openxmlformats.org/officeDocument/2006/relationships/hyperlink" Target="https://www.lcsc.com/product-detail/Chip-Resistor-Surface-Mount_YAGEO-RC0201FR-0722RL_C155743.html" TargetMode="External"/><Relationship Id="rId58" Type="http://schemas.openxmlformats.org/officeDocument/2006/relationships/hyperlink" Target="https://www.lcsc.com/product-detail/DC-DC-Converters_Texas-Instruments-TPS54560BQDDARQ1_C2072188.html" TargetMode="External"/><Relationship Id="rId74" Type="http://schemas.openxmlformats.org/officeDocument/2006/relationships/hyperlink" Target="https://www.lcsc.com/product-detail/Wire-To-Board-Connector_TE-Connectivity-1-770174-0_C498560.html" TargetMode="External"/><Relationship Id="rId79" Type="http://schemas.openxmlformats.org/officeDocument/2006/relationships/hyperlink" Target="https://www.lcsc.com/product-detail/Chip-Resistor-Surface-Mount_YAGEO-RC0402FR-071KL_C106235.html" TargetMode="External"/><Relationship Id="rId102" Type="http://schemas.openxmlformats.org/officeDocument/2006/relationships/hyperlink" Target="https://www.lcsc.com/product-detail/Transistor-Photovoltaic-Output-Optoisolators_Lite-On-LTV-247_C115451.html" TargetMode="External"/><Relationship Id="rId5" Type="http://schemas.openxmlformats.org/officeDocument/2006/relationships/hyperlink" Target="https://www.lcsc.com/product-detail/Multilayer-Ceramic-Capacitors-MLCC-SMD-SMT_TDK-C1005X7R1H104KT000F_C361198.html" TargetMode="External"/><Relationship Id="rId90" Type="http://schemas.openxmlformats.org/officeDocument/2006/relationships/hyperlink" Target="https://www.lcsc.com/product-detail/Chip-Resistor-Surface-Mount_YAGEO-RT0603BRD072K1L_C861293.html" TargetMode="External"/><Relationship Id="rId95" Type="http://schemas.openxmlformats.org/officeDocument/2006/relationships/hyperlink" Target="https://www.lcsc.com/product-detail/Chip-Resistor-Surface-Mount_YAGEO-RC0402FR-0747KL_C93943.html" TargetMode="External"/><Relationship Id="rId22" Type="http://schemas.openxmlformats.org/officeDocument/2006/relationships/hyperlink" Target="https://www.lcsc.com/product-detail/Resettable-Fuses_RUILON-Shenzhen-Ruilongyuan-Elec-SMD0805P020TF_C20976.html" TargetMode="External"/><Relationship Id="rId27" Type="http://schemas.openxmlformats.org/officeDocument/2006/relationships/hyperlink" Target="https://www.lcsc.com/product-detail/Pin-Headers_BOOMELE-Boom-Precision-Elec-2-54-1-3P_C49257.html" TargetMode="External"/><Relationship Id="rId43" Type="http://schemas.openxmlformats.org/officeDocument/2006/relationships/hyperlink" Target="https://www.lcsc.com/product-detail/Chip-Resistor-Surface-Mount_YAGEO-RC0402FR-0710KL_C60490.html" TargetMode="External"/><Relationship Id="rId48" Type="http://schemas.openxmlformats.org/officeDocument/2006/relationships/hyperlink" Target="https://www.lcsc.com/product-detail/Chip-Resistor-Surface-Mount_YAGEO-RC0402FR-0733KL_C138003.html" TargetMode="External"/><Relationship Id="rId64" Type="http://schemas.openxmlformats.org/officeDocument/2006/relationships/hyperlink" Target="https://www.lcsc.com/product-detail/Crystals_YXC-Crystal-Oscillators-X322525MRB4SI_C70593.html" TargetMode="External"/><Relationship Id="rId69" Type="http://schemas.openxmlformats.org/officeDocument/2006/relationships/hyperlink" Target="https://www.lcsc.com/product-detail/Multilayer-Ceramic-Capacitors-MLCC-SMD-SMT_Kyocera-AVX-08051C224K4T2A_C2176107.html" TargetMode="External"/><Relationship Id="rId80" Type="http://schemas.openxmlformats.org/officeDocument/2006/relationships/hyperlink" Target="https://www.lcsc.com/product-detail/Chip-Resistor-Surface-Mount_YAGEO-RC0402FR-0722RL_C114765.html" TargetMode="External"/><Relationship Id="rId85" Type="http://schemas.openxmlformats.org/officeDocument/2006/relationships/hyperlink" Target="https://www.lcsc.com/product-detail/Current-Sense-Resistors-Shunt-Resistors_Milliohm-HoLLR1206-1W-5mR-1_C2988648.html" TargetMode="External"/><Relationship Id="rId12" Type="http://schemas.openxmlformats.org/officeDocument/2006/relationships/hyperlink" Target="https://www.lcsc.com/product-detail/Multilayer-Ceramic-Capacitors-MLCC-SMD-SMT_YAGEO-CC0402JRX7R7BB223_C541459.html" TargetMode="External"/><Relationship Id="rId17" Type="http://schemas.openxmlformats.org/officeDocument/2006/relationships/hyperlink" Target="https://www.lcsc.com/product-detail/ESD-and-Surge-Protection-TVS-ESD_Diodes-Incorporated-SMBJ28A-13-F_C91924.html" TargetMode="External"/><Relationship Id="rId33" Type="http://schemas.openxmlformats.org/officeDocument/2006/relationships/hyperlink" Target="https://www.lcsc.com/product-detail/PCB-Welding-Terminal_XFCN-T44001_C481447.html" TargetMode="External"/><Relationship Id="rId38" Type="http://schemas.openxmlformats.org/officeDocument/2006/relationships/hyperlink" Target="https://www.lcsc.com/product-detail/Chip-Resistor-Surface-Mount_YAGEO-RC0402FR-075K1L_C105872.html" TargetMode="External"/><Relationship Id="rId59" Type="http://schemas.openxmlformats.org/officeDocument/2006/relationships/hyperlink" Target="https://www.lcsc.com/product-detail/Voltage-Regulators-Linear-Low-Drop-Out-LDO-Regulators_HGSEMI-LM1084S-3-3-TR_C259972.html" TargetMode="External"/><Relationship Id="rId103" Type="http://schemas.openxmlformats.org/officeDocument/2006/relationships/hyperlink" Target="https://www.lcsc.com/product-detail/Transistor-Photovoltaic-Output-Optoisolators_Sharp-Microelectronics-PC817X2NIPW_C2840443.html" TargetMode="External"/><Relationship Id="rId20" Type="http://schemas.openxmlformats.org/officeDocument/2006/relationships/hyperlink" Target="https://www.lcsc.com/product-detail/Schottky-Diodes_Guangdong-Hottech-SS24A_C2886579.html" TargetMode="External"/><Relationship Id="rId41" Type="http://schemas.openxmlformats.org/officeDocument/2006/relationships/hyperlink" Target="https://www.lcsc.com/product-detail/Chip-Resistor-Surface-Mount_UNI-ROYAL-Uniroyal-Elec-0402WGF2552TCE_C26970.html" TargetMode="External"/><Relationship Id="rId54" Type="http://schemas.openxmlformats.org/officeDocument/2006/relationships/hyperlink" Target="https://www.lcsc.com/product-detail/Chip-Resistor-Surface-Mount_YAGEO-RC0603JR-07120RL_C114681.html" TargetMode="External"/><Relationship Id="rId62" Type="http://schemas.openxmlformats.org/officeDocument/2006/relationships/hyperlink" Target="https://www.lcsc.com/product-detail/Interface-Specialized_Microchip-Tech-LAN9253-I-R4X_C5745149.html" TargetMode="External"/><Relationship Id="rId70" Type="http://schemas.openxmlformats.org/officeDocument/2006/relationships/hyperlink" Target="https://www.lcsc.com/product-detail/Aluminum-Electrolytic-Capacitors-SMD_ROQANG-RVT1H1R0M0405_C72491.html" TargetMode="External"/><Relationship Id="rId75" Type="http://schemas.openxmlformats.org/officeDocument/2006/relationships/hyperlink" Target="https://www.lcsc.com/product-detail/LED-Indication-Discrete_Foshan-NationStar-Optoelectronics-NCD0603B3_C158101.html" TargetMode="External"/><Relationship Id="rId83" Type="http://schemas.openxmlformats.org/officeDocument/2006/relationships/hyperlink" Target="https://www.lcsc.com/product-detail/Chip-Resistor-Surface-Mount_YAGEO-RC0402FR-070RL_C106231.html" TargetMode="External"/><Relationship Id="rId88" Type="http://schemas.openxmlformats.org/officeDocument/2006/relationships/hyperlink" Target="https://www.lcsc.com/product-detail/Chip-Resistor-Surface-Mount_YAGEO-RC0603JR-07330RL_C105879.html" TargetMode="External"/><Relationship Id="rId91" Type="http://schemas.openxmlformats.org/officeDocument/2006/relationships/hyperlink" Target="https://www.lcsc.com/product-detail/Chip-Resistor-Surface-Mount_YAGEO-RC0402FR-07100RL_C106232.html" TargetMode="External"/><Relationship Id="rId96" Type="http://schemas.openxmlformats.org/officeDocument/2006/relationships/hyperlink" Target="https://www.chipsmall.com/Products/MAX864EEE_11442686.html" TargetMode="External"/><Relationship Id="rId1" Type="http://schemas.openxmlformats.org/officeDocument/2006/relationships/hyperlink" Target="https://www.lcsc.com/product-detail/Multilayer-Ceramic-Capacitors-MLCC-SMD-SMT_YAGEO-CC0402JRX7R7BB104_C541464.html" TargetMode="External"/><Relationship Id="rId6" Type="http://schemas.openxmlformats.org/officeDocument/2006/relationships/hyperlink" Target="https://www.lcsc.com/product-detail/Multilayer-Ceramic-Capacitors-MLCC-SMD-SMT_YAGEO-CC0402KRX5R6BB475_C326586.html" TargetMode="External"/><Relationship Id="rId15" Type="http://schemas.openxmlformats.org/officeDocument/2006/relationships/hyperlink" Target="https://www.lcsc.com/product-detail/Multilayer-Ceramic-Capacitors-MLCC-SMD-SMT_Murata-Electronics-GCM1555C1H180GA16D_C882583.html" TargetMode="External"/><Relationship Id="rId23" Type="http://schemas.openxmlformats.org/officeDocument/2006/relationships/hyperlink" Target="https://www.lcsc.com/product-detail/Ferrite-Beads_Murata-Electronics-BLM15PG100SN1D_C85823.html" TargetMode="External"/><Relationship Id="rId28" Type="http://schemas.openxmlformats.org/officeDocument/2006/relationships/hyperlink" Target="https://www.lcsc.com/product-detail/Screw-Terminal-Blocks_Phoenix-Contact-1715721_C480516.html" TargetMode="External"/><Relationship Id="rId36" Type="http://schemas.openxmlformats.org/officeDocument/2006/relationships/hyperlink" Target="https://www.lcsc.com/product-detail/LED-Indication-Discrete_Foshan-NationStar-Optoelectronics-NCD0603R3_C3151730.html" TargetMode="External"/><Relationship Id="rId49" Type="http://schemas.openxmlformats.org/officeDocument/2006/relationships/hyperlink" Target="https://www.lcsc.com/product-detail/Chip-Resistor-Surface-Mount_YAGEO-RC0402FR-07200RL_C114764.html" TargetMode="External"/><Relationship Id="rId57" Type="http://schemas.openxmlformats.org/officeDocument/2006/relationships/hyperlink" Target="https://www.lcsc.com/product-detail/Tactile-Switches_Omron-Electronics-B3U-1000P_C231329.html" TargetMode="External"/><Relationship Id="rId10" Type="http://schemas.openxmlformats.org/officeDocument/2006/relationships/hyperlink" Target="https://www.lcsc.com/product-detail/Multilayer-Ceramic-Capacitors-MLCC-SMD-SMT_YAGEO-CC0402KRX7R9BB472_C106208.html" TargetMode="External"/><Relationship Id="rId31" Type="http://schemas.openxmlformats.org/officeDocument/2006/relationships/hyperlink" Target="https://www.lcsc.com/product-detail/Ferrite-Beads_Murata-Electronics-BLM15AG601SN1D_C76884.html" TargetMode="External"/><Relationship Id="rId44" Type="http://schemas.openxmlformats.org/officeDocument/2006/relationships/hyperlink" Target="https://www.lcsc.com/product-detail/Chip-Resistor-Surface-Mount_YAGEO-RC0603JR-070RL_C95177.html" TargetMode="External"/><Relationship Id="rId52" Type="http://schemas.openxmlformats.org/officeDocument/2006/relationships/hyperlink" Target="https://www.lcsc.com/product-detail/Chip-Resistor-Surface-Mount_YAGEO-RC0402FR-074K7L_C105871.html" TargetMode="External"/><Relationship Id="rId60" Type="http://schemas.openxmlformats.org/officeDocument/2006/relationships/hyperlink" Target="https://www.lcsc.com/product-detail/CAN-Transceivers_Texas-Instruments-TCAN1463DMTRQ1_C5215823.html" TargetMode="External"/><Relationship Id="rId65" Type="http://schemas.openxmlformats.org/officeDocument/2006/relationships/hyperlink" Target="https://www.lcsc.com/product-detail/Aluminum-Electrolytic-Capacitors-SMD_ROQANG-VT1H4R7M0405_C213488.html" TargetMode="External"/><Relationship Id="rId73" Type="http://schemas.openxmlformats.org/officeDocument/2006/relationships/hyperlink" Target="https://www.lcsc.com/product-detail/Wire-To-Board-Connector_HX-Zhejiang-Yueqing-Hongxing-Elec-HX41406-9A_C704507.html" TargetMode="External"/><Relationship Id="rId78" Type="http://schemas.openxmlformats.org/officeDocument/2006/relationships/hyperlink" Target="https://www.lcsc.com/product-detail/Bipolar-BJT_onsemi-NSS40201LT1G_C145175.html" TargetMode="External"/><Relationship Id="rId81" Type="http://schemas.openxmlformats.org/officeDocument/2006/relationships/hyperlink" Target="https://www.lcsc.com/product-detail/Chip-Resistor-Surface-Mount_YAGEO-RC0402FR-07120RL_C114758.html" TargetMode="External"/><Relationship Id="rId86" Type="http://schemas.openxmlformats.org/officeDocument/2006/relationships/hyperlink" Target="https://www.lcsc.com/product-detail/Chip-Resistor-Surface-Mount_YAGEO-RC0603FR-0749R9L_C114625.html" TargetMode="External"/><Relationship Id="rId94" Type="http://schemas.openxmlformats.org/officeDocument/2006/relationships/hyperlink" Target="https://www.lcsc.com/product-detail/Chip-Resistor-Surface-Mount_YAGEO-RC0402FR-071K5L_C114759.html" TargetMode="External"/><Relationship Id="rId99" Type="http://schemas.openxmlformats.org/officeDocument/2006/relationships/hyperlink" Target="https://www.lcsc.com/product-detail/Microcontrollers-MCU-MPU-SOC_STMicroelectronics-STM32F103CBT6_C8304.html" TargetMode="External"/><Relationship Id="rId101" Type="http://schemas.openxmlformats.org/officeDocument/2006/relationships/hyperlink" Target="https://www.lcsc.com/product-detail/I-O-Expanders_Microchip-Tech-MCP23017T-E-SS_C558584.html" TargetMode="External"/><Relationship Id="rId4" Type="http://schemas.openxmlformats.org/officeDocument/2006/relationships/hyperlink" Target="https://www.lcsc.com/product-detail/Multilayer-Ceramic-Capacitors-MLCC-SMD-SMT_YAGEO-CC0402KRX5R6BB105_C106254.html" TargetMode="External"/><Relationship Id="rId9" Type="http://schemas.openxmlformats.org/officeDocument/2006/relationships/hyperlink" Target="https://www.lcsc.com/product-detail/Multilayer-Ceramic-Capacitors-MLCC-SMD-SMT_YAGEO-CC0402CRNPO9BN6R8_C189470.html" TargetMode="External"/><Relationship Id="rId13" Type="http://schemas.openxmlformats.org/officeDocument/2006/relationships/hyperlink" Target="https://www.lcsc.com/product-detail/Aluminum-Electrolytic-Capacitors-SMD_Nichicon-UCD1H221MNL1GS_C116211.html" TargetMode="External"/><Relationship Id="rId18" Type="http://schemas.openxmlformats.org/officeDocument/2006/relationships/hyperlink" Target="https://www.lcsc.com/product-detail/ESD-and-Surge-Protection-TVS-ESD_MDD-Microdiode-Semiconductor-SD03_C502526.html" TargetMode="External"/><Relationship Id="rId39" Type="http://schemas.openxmlformats.org/officeDocument/2006/relationships/hyperlink" Target="https://www.lcsc.com/product-detail/Chip-Resistor-Surface-Mount_YAGEO-AF0402JR-071ML_C144054.html" TargetMode="External"/><Relationship Id="rId34" Type="http://schemas.openxmlformats.org/officeDocument/2006/relationships/hyperlink" Target="https://www.lcsc.com/product-detail/Ferrite-Beads_Murata-Electronics-BLM15AG601SN1D_C76884.html" TargetMode="External"/><Relationship Id="rId50" Type="http://schemas.openxmlformats.org/officeDocument/2006/relationships/hyperlink" Target="https://www.lcsc.com/product-detail/Chip-Resistor-Surface-Mount_RALEC-RTT0360R4FTP_C103744.html" TargetMode="External"/><Relationship Id="rId55" Type="http://schemas.openxmlformats.org/officeDocument/2006/relationships/hyperlink" Target="https://www.lcsc.com/product-detail/Chip-Resistor-Surface-Mount_YAGEO-RT0402BRD0712K1L_C281773.html" TargetMode="External"/><Relationship Id="rId76" Type="http://schemas.openxmlformats.org/officeDocument/2006/relationships/hyperlink" Target="https://www.lcsc.com/product-detail/MOSFETs_Infineon-Technologies-IPD034N06N3G_C94897.html" TargetMode="External"/><Relationship Id="rId97" Type="http://schemas.openxmlformats.org/officeDocument/2006/relationships/hyperlink" Target="https://www.lcsc.com/product-detail/RS-485-RS-422-ICs_Texas-Instruments-THVD2450DRBR_C2878080.html" TargetMode="External"/><Relationship Id="rId104" Type="http://schemas.openxmlformats.org/officeDocument/2006/relationships/hyperlink" Target="https://www.lcsc.com/product-detail/Potentiometers-Variable-Resistors_BOCHEN-Chengdu-Guosheng-Tech-3362P-1-103_C118956.html" TargetMode="External"/><Relationship Id="rId7" Type="http://schemas.openxmlformats.org/officeDocument/2006/relationships/hyperlink" Target="https://www.lcsc.com/product-detail/Aluminum-Electrolytic-Capacitors-SMD_ROQANG-RVT1A101M0605_C72474.html" TargetMode="External"/><Relationship Id="rId71" Type="http://schemas.openxmlformats.org/officeDocument/2006/relationships/hyperlink" Target="https://www.lcsc.com/product-detail/Multilayer-Ceramic-Capacitors-MLCC-SMD-SMT_TDK-C1005C0G1E102JT000F_C343059.html" TargetMode="External"/><Relationship Id="rId92" Type="http://schemas.openxmlformats.org/officeDocument/2006/relationships/hyperlink" Target="https://www.lcsc.com/product-detail/Chip-Resistor-Surface-Mount_UNI-ROYAL-Uniroyal-Elec-0603WAD1500T5E_C423076.html" TargetMode="External"/><Relationship Id="rId2" Type="http://schemas.openxmlformats.org/officeDocument/2006/relationships/hyperlink" Target="https://www.lcsc.com/product-detail/Multilayer-Ceramic-Capacitors-MLCC-SMD-SMT_YAGEO-CC0603JRNPO9BN472_C576818.html" TargetMode="External"/><Relationship Id="rId29" Type="http://schemas.openxmlformats.org/officeDocument/2006/relationships/hyperlink" Target="https://www.lcsc.com/product-detail/Ethernet-Connectors-Modular-Connectors-RJ45-RJ11_HANRUN-Zhongshan-HanRun-Elec-HR911105A_C12074.html" TargetMode="External"/><Relationship Id="rId24" Type="http://schemas.openxmlformats.org/officeDocument/2006/relationships/hyperlink" Target="https://www.lcsc.com/product-detail/USB-Connectors_Korean-Hroparts-Elec-TYPE-C-31-M-12_C165948.html" TargetMode="External"/><Relationship Id="rId40" Type="http://schemas.openxmlformats.org/officeDocument/2006/relationships/hyperlink" Target="https://www.lcsc.com/product-detail/Chip-Resistor-Surface-Mount_YAGEO-RC0603JR-070RL_C95177.html" TargetMode="External"/><Relationship Id="rId45" Type="http://schemas.openxmlformats.org/officeDocument/2006/relationships/hyperlink" Target="https://www.lcsc.com/product-detail/Chip-Resistor-Surface-Mount_FOJAN-FRC0402F1152TS_C2933068.html" TargetMode="External"/><Relationship Id="rId66" Type="http://schemas.openxmlformats.org/officeDocument/2006/relationships/hyperlink" Target="https://www.lcsc.com/product-detail/Multilayer-Ceramic-Capacitors-MLCC-SMD-SMT_CCTC-TCC0603X5R105M250CT_C6266891.html" TargetMode="External"/><Relationship Id="rId87" Type="http://schemas.openxmlformats.org/officeDocument/2006/relationships/hyperlink" Target="https://www.lcsc.com/product-detail/Chip-Resistor-Surface-Mount_YAGEO-AC0402FR-070RL_C226739.html" TargetMode="External"/><Relationship Id="rId61" Type="http://schemas.openxmlformats.org/officeDocument/2006/relationships/hyperlink" Target="https://www.lcsc.com/product-detail/RS232-ICs_UMW-Youtai-Semiconductor-Co-Ltd-MAX3232ESE_C2904738.html" TargetMode="External"/><Relationship Id="rId82" Type="http://schemas.openxmlformats.org/officeDocument/2006/relationships/hyperlink" Target="https://www.lcsc.com/product-detail/Chip-Resistor-Surface-Mount_YAGEO-RC0402FR-0747RL_C137973.html" TargetMode="External"/><Relationship Id="rId19" Type="http://schemas.openxmlformats.org/officeDocument/2006/relationships/hyperlink" Target="https://www.lcsc.com/product-detail/Schottky-Diodes_MDD-Microdiode-Semiconductor-SS56_C65009.html" TargetMode="External"/><Relationship Id="rId14" Type="http://schemas.openxmlformats.org/officeDocument/2006/relationships/hyperlink" Target="https://www.lcsc.com/product-detail/Multilayer-Ceramic-Capacitors-MLCC-SMD-SMT_Walsin-Tech-Corp-0603B471K500CT_C93192.html" TargetMode="External"/><Relationship Id="rId30" Type="http://schemas.openxmlformats.org/officeDocument/2006/relationships/hyperlink" Target="https://www.lcsc.com/product-detail/Screw-Terminal-Blocks_Ningbo-Kangnex-Elec-WJ500V-5-08-3P_C72334.html" TargetMode="External"/><Relationship Id="rId35" Type="http://schemas.openxmlformats.org/officeDocument/2006/relationships/hyperlink" Target="https://www.lcsc.com/product-detail/Power-Inductors_YJYCOIN-YSPI1050-4R7M_C497895.html" TargetMode="External"/><Relationship Id="rId56" Type="http://schemas.openxmlformats.org/officeDocument/2006/relationships/hyperlink" Target="https://www.lcsc.com/product-detail/Microcontrollers-MCU-MPU-SOC_STMicroelectronics-STM32G0B1RET6_C2829307.html" TargetMode="External"/><Relationship Id="rId77" Type="http://schemas.openxmlformats.org/officeDocument/2006/relationships/hyperlink" Target="https://www.lcsc.com/product-detail/MOSFETs_TECH-PUBLIC-SI2302CDS_C5310968.html" TargetMode="External"/><Relationship Id="rId100" Type="http://schemas.openxmlformats.org/officeDocument/2006/relationships/hyperlink" Target="https://www.lcsc.com/product-detail/Brushless-DC-BLDC-Motor-Driver_Texas-Instruments-DRV8323RSRGZR_C545497.html" TargetMode="External"/><Relationship Id="rId105" Type="http://schemas.openxmlformats.org/officeDocument/2006/relationships/printerSettings" Target="../printerSettings/printerSettings1.bin"/><Relationship Id="rId8" Type="http://schemas.openxmlformats.org/officeDocument/2006/relationships/hyperlink" Target="https://www.lcsc.com/product-detail/Multilayer-Ceramic-Capacitors-MLCC-SMD-SMT_TDK-C1608X5R1E106M080AC_C2168289.html" TargetMode="External"/><Relationship Id="rId51" Type="http://schemas.openxmlformats.org/officeDocument/2006/relationships/hyperlink" Target="https://www.lcsc.com/product-detail/Chip-Resistor-Surface-Mount_YAGEO-RC0402FR-07100KL_C60491.html" TargetMode="External"/><Relationship Id="rId72" Type="http://schemas.openxmlformats.org/officeDocument/2006/relationships/hyperlink" Target="https://www.lcsc.com/product-detail/Female-Headers_ZHOURI-PM2-54-1-4_C5116530.html" TargetMode="External"/><Relationship Id="rId93" Type="http://schemas.openxmlformats.org/officeDocument/2006/relationships/hyperlink" Target="https://www.lcsc.com/product-detail/Chip-Resistor-Surface-Mount_PANASONIC-ERJ2RKF57R6X_C3025671.html" TargetMode="External"/><Relationship Id="rId98" Type="http://schemas.openxmlformats.org/officeDocument/2006/relationships/hyperlink" Target="https://www.lcsc.com/product-detail/Translators-Level-Shifters_Texas-Instruments-SN74LVC2T45DCTR_C22672.html" TargetMode="External"/><Relationship Id="rId3" Type="http://schemas.openxmlformats.org/officeDocument/2006/relationships/hyperlink" Target="https://www.lcsc.com/product-detail/Multilayer-Ceramic-Capacitors-MLCC-SMD-SMT_YAGEO-CC0402JRNPO9BN200_C107000.html" TargetMode="External"/><Relationship Id="rId25" Type="http://schemas.openxmlformats.org/officeDocument/2006/relationships/hyperlink" Target="https://www.lcsc.com/product-detail/Pin-Headers_XKB-Connection-X6511WV-04H-C60D30_C706876.html" TargetMode="External"/><Relationship Id="rId46" Type="http://schemas.openxmlformats.org/officeDocument/2006/relationships/hyperlink" Target="https://www.lcsc.com/product-detail/Chip-Resistor-Surface-Mount_YAGEO-RC0402FR-073K9L_C131467.html" TargetMode="External"/><Relationship Id="rId67" Type="http://schemas.openxmlformats.org/officeDocument/2006/relationships/hyperlink" Target="https://www.lcsc.com/product-detail/Multilayer-Ceramic-Capacitors-MLCC-SMD-SMT_YAGEO-CC0402KRX7R9BB473_C27287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36"/>
  <sheetViews>
    <sheetView tabSelected="1" topLeftCell="E103" workbookViewId="0">
      <selection activeCell="I110" sqref="I110:I122"/>
    </sheetView>
  </sheetViews>
  <sheetFormatPr defaultRowHeight="15" x14ac:dyDescent="0.25"/>
  <cols>
    <col min="2" max="2" width="4" style="10" bestFit="1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9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710937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</cols>
  <sheetData>
    <row r="1" spans="1:18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55"/>
      <c r="L1" s="55"/>
      <c r="M1" s="55"/>
      <c r="N1" s="55"/>
      <c r="O1" s="55"/>
      <c r="P1" s="55"/>
      <c r="Q1" s="55"/>
      <c r="R1" s="55"/>
    </row>
    <row r="2" spans="1:18" ht="32.25" thickBot="1" x14ac:dyDescent="0.3">
      <c r="A2" s="1"/>
      <c r="B2" s="7"/>
      <c r="C2" s="13"/>
      <c r="D2" s="4" t="s">
        <v>0</v>
      </c>
      <c r="E2" s="4"/>
      <c r="F2" s="40" t="s">
        <v>611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 x14ac:dyDescent="0.3">
      <c r="A3" s="1"/>
      <c r="B3" s="8"/>
      <c r="C3" s="26"/>
      <c r="D3" s="39" t="s">
        <v>1</v>
      </c>
      <c r="E3" s="27"/>
      <c r="F3" s="41" t="s">
        <v>612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 x14ac:dyDescent="0.25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 x14ac:dyDescent="0.25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 x14ac:dyDescent="0.3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 x14ac:dyDescent="0.3">
      <c r="A7" s="1"/>
      <c r="B7" s="12" t="s">
        <v>2</v>
      </c>
      <c r="C7" s="12" t="s">
        <v>5</v>
      </c>
      <c r="D7" s="12" t="s">
        <v>31</v>
      </c>
      <c r="E7" s="12" t="s">
        <v>147</v>
      </c>
      <c r="F7" s="12" t="s">
        <v>258</v>
      </c>
      <c r="G7" s="12" t="s">
        <v>313</v>
      </c>
      <c r="H7" s="12" t="s">
        <v>408</v>
      </c>
      <c r="I7" s="12" t="s">
        <v>613</v>
      </c>
      <c r="J7" s="12" t="s">
        <v>459</v>
      </c>
      <c r="K7" s="12" t="s">
        <v>614</v>
      </c>
      <c r="L7" s="12" t="s">
        <v>610</v>
      </c>
      <c r="M7" s="12" t="s">
        <v>615</v>
      </c>
      <c r="N7" s="12" t="s">
        <v>616</v>
      </c>
      <c r="O7" s="12" t="s">
        <v>617</v>
      </c>
      <c r="P7" s="12" t="s">
        <v>618</v>
      </c>
      <c r="Q7" s="12" t="s">
        <v>619</v>
      </c>
      <c r="R7" s="12" t="s">
        <v>620</v>
      </c>
    </row>
    <row r="8" spans="1:18" ht="24" x14ac:dyDescent="0.25">
      <c r="A8" s="1"/>
      <c r="B8" s="16">
        <f>ROW(B8) - ROW($B$7)</f>
        <v>1</v>
      </c>
      <c r="C8" s="22" t="s">
        <v>6</v>
      </c>
      <c r="D8" s="14" t="s">
        <v>32</v>
      </c>
      <c r="E8" s="14" t="s">
        <v>148</v>
      </c>
      <c r="F8" s="14" t="s">
        <v>259</v>
      </c>
      <c r="G8" s="14" t="s">
        <v>314</v>
      </c>
      <c r="H8" s="14" t="s">
        <v>409</v>
      </c>
      <c r="I8" s="42" t="s">
        <v>621</v>
      </c>
      <c r="J8" s="14" t="s">
        <v>460</v>
      </c>
      <c r="K8" s="44" t="s">
        <v>559</v>
      </c>
      <c r="L8" s="14">
        <v>12</v>
      </c>
      <c r="M8" s="14">
        <f>L8*5</f>
        <v>60</v>
      </c>
      <c r="N8" s="14">
        <v>100</v>
      </c>
      <c r="O8" s="48" t="s">
        <v>623</v>
      </c>
      <c r="P8" s="15">
        <v>1.6000000000000001E-3</v>
      </c>
      <c r="Q8" s="15">
        <f>P8*N8</f>
        <v>0.16</v>
      </c>
      <c r="R8" s="14"/>
    </row>
    <row r="9" spans="1:18" ht="24" x14ac:dyDescent="0.25">
      <c r="A9" s="1"/>
      <c r="B9" s="17">
        <f t="shared" ref="B9:B121" si="0">ROW(B9) - ROW($B$7)</f>
        <v>2</v>
      </c>
      <c r="C9" s="23" t="s">
        <v>6</v>
      </c>
      <c r="D9" s="20" t="s">
        <v>33</v>
      </c>
      <c r="E9" s="20" t="s">
        <v>149</v>
      </c>
      <c r="F9" s="20" t="s">
        <v>260</v>
      </c>
      <c r="G9" s="20" t="s">
        <v>315</v>
      </c>
      <c r="H9" s="20" t="s">
        <v>409</v>
      </c>
      <c r="I9" s="42" t="s">
        <v>621</v>
      </c>
      <c r="J9" s="20" t="s">
        <v>461</v>
      </c>
      <c r="K9" s="45" t="s">
        <v>560</v>
      </c>
      <c r="L9" s="20">
        <v>9</v>
      </c>
      <c r="M9" s="20">
        <f t="shared" ref="M9" si="1">L9*5</f>
        <v>45</v>
      </c>
      <c r="N9" s="14">
        <v>20</v>
      </c>
      <c r="O9" s="48" t="s">
        <v>623</v>
      </c>
      <c r="P9" s="15">
        <v>2.0799999999999999E-2</v>
      </c>
      <c r="Q9" s="21">
        <f t="shared" ref="Q9" si="2">P9*N9</f>
        <v>0.41599999999999998</v>
      </c>
      <c r="R9" s="20"/>
    </row>
    <row r="10" spans="1:18" ht="24" x14ac:dyDescent="0.25">
      <c r="A10" s="1"/>
      <c r="B10" s="16">
        <f>ROW(B10) - ROW($B$7)</f>
        <v>3</v>
      </c>
      <c r="C10" s="22" t="s">
        <v>6</v>
      </c>
      <c r="D10" s="47" t="s">
        <v>34</v>
      </c>
      <c r="E10" s="49" t="s">
        <v>150</v>
      </c>
      <c r="F10" s="50" t="s">
        <v>259</v>
      </c>
      <c r="G10" s="47" t="s">
        <v>316</v>
      </c>
      <c r="H10" s="47" t="s">
        <v>409</v>
      </c>
      <c r="I10" s="53" t="s">
        <v>621</v>
      </c>
      <c r="J10" s="47" t="s">
        <v>462</v>
      </c>
      <c r="K10" s="47" t="s">
        <v>561</v>
      </c>
      <c r="L10" s="47">
        <v>10</v>
      </c>
      <c r="M10" s="47">
        <f>L10*5</f>
        <v>50</v>
      </c>
      <c r="N10" s="51" t="s">
        <v>484</v>
      </c>
      <c r="O10" s="47" t="s">
        <v>623</v>
      </c>
      <c r="P10" s="51" t="s">
        <v>484</v>
      </c>
      <c r="Q10" s="51" t="s">
        <v>484</v>
      </c>
      <c r="R10" s="52" t="s">
        <v>624</v>
      </c>
    </row>
    <row r="11" spans="1:18" ht="24" x14ac:dyDescent="0.25">
      <c r="A11" s="1"/>
      <c r="B11" s="17">
        <f t="shared" si="0"/>
        <v>4</v>
      </c>
      <c r="C11" s="23" t="s">
        <v>6</v>
      </c>
      <c r="D11" s="20" t="s">
        <v>35</v>
      </c>
      <c r="E11" s="20" t="s">
        <v>151</v>
      </c>
      <c r="F11" s="20" t="s">
        <v>259</v>
      </c>
      <c r="G11" s="20" t="s">
        <v>317</v>
      </c>
      <c r="H11" s="20" t="s">
        <v>409</v>
      </c>
      <c r="I11" s="42" t="s">
        <v>621</v>
      </c>
      <c r="J11" s="20" t="s">
        <v>463</v>
      </c>
      <c r="K11" s="45" t="s">
        <v>562</v>
      </c>
      <c r="L11" s="20">
        <v>10</v>
      </c>
      <c r="M11" s="20">
        <f t="shared" ref="M11" si="3">L11*5</f>
        <v>50</v>
      </c>
      <c r="N11" s="14">
        <v>100</v>
      </c>
      <c r="O11" s="48" t="s">
        <v>623</v>
      </c>
      <c r="P11" s="15">
        <v>1E-3</v>
      </c>
      <c r="Q11" s="21">
        <f t="shared" ref="Q11" si="4">P11*N11</f>
        <v>0.1</v>
      </c>
      <c r="R11" s="20"/>
    </row>
    <row r="12" spans="1:18" ht="36" x14ac:dyDescent="0.25">
      <c r="A12" s="1"/>
      <c r="B12" s="16">
        <f>ROW(B12) - ROW($B$7)</f>
        <v>5</v>
      </c>
      <c r="C12" s="23" t="s">
        <v>6</v>
      </c>
      <c r="D12" s="14" t="s">
        <v>36</v>
      </c>
      <c r="E12" s="14" t="s">
        <v>152</v>
      </c>
      <c r="F12" s="14" t="s">
        <v>259</v>
      </c>
      <c r="G12" s="14" t="s">
        <v>318</v>
      </c>
      <c r="H12" s="14" t="s">
        <v>409</v>
      </c>
      <c r="I12" s="42" t="s">
        <v>621</v>
      </c>
      <c r="J12" s="14" t="s">
        <v>464</v>
      </c>
      <c r="K12" s="44" t="s">
        <v>563</v>
      </c>
      <c r="L12" s="14">
        <v>19</v>
      </c>
      <c r="M12" s="14">
        <f>L12*5</f>
        <v>95</v>
      </c>
      <c r="N12" s="20">
        <v>100</v>
      </c>
      <c r="O12" s="48" t="s">
        <v>623</v>
      </c>
      <c r="P12" s="21">
        <v>2.5999999999999999E-3</v>
      </c>
      <c r="Q12" s="15">
        <f>P12*N12</f>
        <v>0.26</v>
      </c>
      <c r="R12" s="14"/>
    </row>
    <row r="13" spans="1:18" ht="96" x14ac:dyDescent="0.25">
      <c r="A13" s="1"/>
      <c r="B13" s="17">
        <f t="shared" si="0"/>
        <v>6</v>
      </c>
      <c r="C13" s="23" t="s">
        <v>6</v>
      </c>
      <c r="D13" s="20" t="s">
        <v>37</v>
      </c>
      <c r="E13" s="20" t="s">
        <v>153</v>
      </c>
      <c r="F13" s="20" t="s">
        <v>261</v>
      </c>
      <c r="G13" s="20" t="s">
        <v>319</v>
      </c>
      <c r="H13" s="20" t="s">
        <v>410</v>
      </c>
      <c r="I13" s="43" t="s">
        <v>621</v>
      </c>
      <c r="J13" s="20" t="s">
        <v>465</v>
      </c>
      <c r="K13" s="45" t="s">
        <v>564</v>
      </c>
      <c r="L13" s="20">
        <v>51</v>
      </c>
      <c r="M13" s="20">
        <f t="shared" ref="M13" si="5">L13*5</f>
        <v>255</v>
      </c>
      <c r="N13" s="14">
        <v>260</v>
      </c>
      <c r="O13" s="48" t="s">
        <v>623</v>
      </c>
      <c r="P13" s="15">
        <v>1.32E-2</v>
      </c>
      <c r="Q13" s="21">
        <f t="shared" ref="Q13" si="6">P13*N13</f>
        <v>3.4319999999999999</v>
      </c>
      <c r="R13" s="20"/>
    </row>
    <row r="14" spans="1:18" x14ac:dyDescent="0.25">
      <c r="A14" s="1"/>
      <c r="B14" s="16">
        <f>ROW(B14) - ROW($B$7)</f>
        <v>7</v>
      </c>
      <c r="C14" s="23" t="s">
        <v>6</v>
      </c>
      <c r="D14" s="14" t="s">
        <v>38</v>
      </c>
      <c r="E14" s="14" t="s">
        <v>154</v>
      </c>
      <c r="F14" s="14" t="s">
        <v>259</v>
      </c>
      <c r="G14" s="14" t="s">
        <v>320</v>
      </c>
      <c r="H14" s="14" t="s">
        <v>409</v>
      </c>
      <c r="I14" s="42" t="s">
        <v>621</v>
      </c>
      <c r="J14" s="14" t="s">
        <v>466</v>
      </c>
      <c r="K14" s="44" t="s">
        <v>565</v>
      </c>
      <c r="L14" s="14">
        <v>2</v>
      </c>
      <c r="M14" s="14">
        <f>L14*5</f>
        <v>10</v>
      </c>
      <c r="N14" s="20">
        <v>50</v>
      </c>
      <c r="O14" s="48" t="s">
        <v>623</v>
      </c>
      <c r="P14" s="21">
        <v>1.7500000000000002E-2</v>
      </c>
      <c r="Q14" s="15">
        <f>P14*N14</f>
        <v>0.87500000000000011</v>
      </c>
      <c r="R14" s="14"/>
    </row>
    <row r="15" spans="1:18" ht="36" x14ac:dyDescent="0.25">
      <c r="A15" s="1"/>
      <c r="B15" s="17">
        <f t="shared" si="0"/>
        <v>8</v>
      </c>
      <c r="C15" s="23" t="s">
        <v>6</v>
      </c>
      <c r="D15" s="20" t="s">
        <v>39</v>
      </c>
      <c r="E15" s="20" t="s">
        <v>155</v>
      </c>
      <c r="F15" s="20" t="s">
        <v>622</v>
      </c>
      <c r="G15" s="20" t="s">
        <v>262</v>
      </c>
      <c r="H15" s="20" t="s">
        <v>411</v>
      </c>
      <c r="I15" s="42" t="s">
        <v>621</v>
      </c>
      <c r="J15" s="20" t="s">
        <v>467</v>
      </c>
      <c r="K15" s="45" t="s">
        <v>566</v>
      </c>
      <c r="L15" s="20">
        <v>18</v>
      </c>
      <c r="M15" s="20">
        <f t="shared" ref="M15" si="7">L15*5</f>
        <v>90</v>
      </c>
      <c r="N15" s="20">
        <v>100</v>
      </c>
      <c r="O15" s="48" t="s">
        <v>623</v>
      </c>
      <c r="P15" s="21">
        <v>2.2800000000000001E-2</v>
      </c>
      <c r="Q15" s="21">
        <f t="shared" ref="Q15" si="8">P15*N15</f>
        <v>2.2800000000000002</v>
      </c>
      <c r="R15" s="20"/>
    </row>
    <row r="16" spans="1:18" x14ac:dyDescent="0.25">
      <c r="A16" s="1"/>
      <c r="B16" s="16">
        <f>ROW(B16) - ROW($B$7)</f>
        <v>9</v>
      </c>
      <c r="C16" s="23" t="s">
        <v>6</v>
      </c>
      <c r="D16" s="14" t="s">
        <v>40</v>
      </c>
      <c r="E16" s="14" t="s">
        <v>156</v>
      </c>
      <c r="F16" s="14" t="s">
        <v>260</v>
      </c>
      <c r="G16" s="14" t="s">
        <v>321</v>
      </c>
      <c r="H16" s="14" t="s">
        <v>410</v>
      </c>
      <c r="I16" s="42" t="s">
        <v>621</v>
      </c>
      <c r="J16" s="14" t="s">
        <v>468</v>
      </c>
      <c r="K16" s="44" t="s">
        <v>567</v>
      </c>
      <c r="L16" s="14">
        <v>2</v>
      </c>
      <c r="M16" s="14">
        <f>L16*5</f>
        <v>10</v>
      </c>
      <c r="N16" s="14">
        <v>11</v>
      </c>
      <c r="O16" s="48" t="s">
        <v>623</v>
      </c>
      <c r="P16" s="15">
        <v>1.0296000000000001</v>
      </c>
      <c r="Q16" s="15">
        <f>P16*N16</f>
        <v>11.325600000000001</v>
      </c>
      <c r="R16" s="14"/>
    </row>
    <row r="17" spans="1:18" x14ac:dyDescent="0.25">
      <c r="A17" s="1"/>
      <c r="B17" s="17">
        <f t="shared" si="0"/>
        <v>10</v>
      </c>
      <c r="C17" s="23" t="s">
        <v>6</v>
      </c>
      <c r="D17" s="20" t="s">
        <v>41</v>
      </c>
      <c r="E17" s="20" t="s">
        <v>150</v>
      </c>
      <c r="F17" s="20" t="s">
        <v>259</v>
      </c>
      <c r="G17" s="20" t="s">
        <v>316</v>
      </c>
      <c r="H17" s="20" t="s">
        <v>409</v>
      </c>
      <c r="I17" s="42" t="s">
        <v>621</v>
      </c>
      <c r="J17" s="20" t="s">
        <v>462</v>
      </c>
      <c r="K17" s="45" t="s">
        <v>568</v>
      </c>
      <c r="L17" s="20">
        <v>1</v>
      </c>
      <c r="M17" s="20">
        <f t="shared" ref="M17" si="9">L17*5</f>
        <v>5</v>
      </c>
      <c r="N17" s="20">
        <v>100</v>
      </c>
      <c r="O17" s="48" t="s">
        <v>623</v>
      </c>
      <c r="P17" s="21">
        <v>1.4E-3</v>
      </c>
      <c r="Q17" s="21">
        <f t="shared" ref="Q17" si="10">P17*N17</f>
        <v>0.13999999999999999</v>
      </c>
      <c r="R17" s="20"/>
    </row>
    <row r="18" spans="1:18" x14ac:dyDescent="0.25">
      <c r="A18" s="1"/>
      <c r="B18" s="16">
        <f>ROW(B18) - ROW($B$7)</f>
        <v>11</v>
      </c>
      <c r="C18" s="23" t="s">
        <v>6</v>
      </c>
      <c r="D18" s="14" t="s">
        <v>42</v>
      </c>
      <c r="E18" s="14" t="s">
        <v>157</v>
      </c>
      <c r="F18" s="14" t="s">
        <v>259</v>
      </c>
      <c r="G18" s="14" t="s">
        <v>322</v>
      </c>
      <c r="H18" s="14" t="s">
        <v>409</v>
      </c>
      <c r="I18" s="42" t="s">
        <v>621</v>
      </c>
      <c r="J18" s="14" t="s">
        <v>625</v>
      </c>
      <c r="K18" s="44" t="s">
        <v>560</v>
      </c>
      <c r="L18" s="14">
        <v>2</v>
      </c>
      <c r="M18" s="14">
        <f>L18*5</f>
        <v>10</v>
      </c>
      <c r="N18" s="14">
        <v>100</v>
      </c>
      <c r="O18" s="48" t="s">
        <v>623</v>
      </c>
      <c r="P18" s="15">
        <v>1E-3</v>
      </c>
      <c r="Q18" s="15">
        <f>P18*N18</f>
        <v>0.1</v>
      </c>
      <c r="R18" s="14"/>
    </row>
    <row r="19" spans="1:18" ht="24" x14ac:dyDescent="0.25">
      <c r="A19" s="1"/>
      <c r="B19" s="17">
        <f t="shared" si="0"/>
        <v>12</v>
      </c>
      <c r="C19" s="23" t="s">
        <v>6</v>
      </c>
      <c r="D19" s="20" t="s">
        <v>43</v>
      </c>
      <c r="E19" s="20" t="s">
        <v>158</v>
      </c>
      <c r="F19" s="20" t="s">
        <v>259</v>
      </c>
      <c r="G19" s="20" t="s">
        <v>323</v>
      </c>
      <c r="H19" s="20" t="s">
        <v>412</v>
      </c>
      <c r="I19" s="42" t="s">
        <v>621</v>
      </c>
      <c r="J19" s="20" t="s">
        <v>469</v>
      </c>
      <c r="K19" s="45" t="s">
        <v>569</v>
      </c>
      <c r="L19" s="20">
        <v>10</v>
      </c>
      <c r="M19" s="20">
        <f t="shared" ref="M19" si="11">L19*5</f>
        <v>50</v>
      </c>
      <c r="N19" s="20">
        <v>50</v>
      </c>
      <c r="O19" s="48" t="s">
        <v>623</v>
      </c>
      <c r="P19" s="21">
        <v>8.3999999999999995E-3</v>
      </c>
      <c r="Q19" s="21">
        <f t="shared" ref="Q19" si="12">P19*N19</f>
        <v>0.42</v>
      </c>
      <c r="R19" s="20"/>
    </row>
    <row r="20" spans="1:18" ht="36" x14ac:dyDescent="0.25">
      <c r="A20" s="1"/>
      <c r="B20" s="16">
        <f>ROW(B20) - ROW($B$7)</f>
        <v>13</v>
      </c>
      <c r="C20" s="23" t="s">
        <v>6</v>
      </c>
      <c r="D20" s="14" t="s">
        <v>44</v>
      </c>
      <c r="E20" s="14" t="s">
        <v>159</v>
      </c>
      <c r="F20" s="20" t="s">
        <v>622</v>
      </c>
      <c r="G20" s="14" t="s">
        <v>263</v>
      </c>
      <c r="H20" s="14" t="s">
        <v>413</v>
      </c>
      <c r="I20" s="42" t="s">
        <v>621</v>
      </c>
      <c r="J20" s="14" t="s">
        <v>470</v>
      </c>
      <c r="K20" s="44" t="s">
        <v>565</v>
      </c>
      <c r="L20" s="14">
        <v>4</v>
      </c>
      <c r="M20" s="14">
        <f>L20*5</f>
        <v>20</v>
      </c>
      <c r="N20" s="14">
        <v>40</v>
      </c>
      <c r="O20" s="48" t="s">
        <v>623</v>
      </c>
      <c r="P20" s="15">
        <v>2.4799999999999999E-2</v>
      </c>
      <c r="Q20" s="15">
        <f>P20*N20</f>
        <v>0.99199999999999999</v>
      </c>
      <c r="R20" s="14"/>
    </row>
    <row r="21" spans="1:18" ht="36" x14ac:dyDescent="0.25">
      <c r="A21" s="1"/>
      <c r="B21" s="17">
        <f t="shared" si="0"/>
        <v>14</v>
      </c>
      <c r="C21" s="23" t="s">
        <v>6</v>
      </c>
      <c r="D21" s="20" t="s">
        <v>45</v>
      </c>
      <c r="E21" s="20" t="s">
        <v>160</v>
      </c>
      <c r="F21" s="20" t="s">
        <v>260</v>
      </c>
      <c r="G21" s="20" t="s">
        <v>324</v>
      </c>
      <c r="H21" s="20" t="s">
        <v>414</v>
      </c>
      <c r="I21" s="42" t="s">
        <v>621</v>
      </c>
      <c r="J21" s="20" t="s">
        <v>471</v>
      </c>
      <c r="K21" s="45" t="s">
        <v>563</v>
      </c>
      <c r="L21" s="20">
        <v>1</v>
      </c>
      <c r="M21" s="20">
        <f t="shared" ref="M21" si="13">L21*5</f>
        <v>5</v>
      </c>
      <c r="N21" s="20">
        <v>100</v>
      </c>
      <c r="O21" s="48" t="s">
        <v>623</v>
      </c>
      <c r="P21" s="21">
        <v>3.8999999999999998E-3</v>
      </c>
      <c r="Q21" s="21">
        <f t="shared" ref="Q21" si="14">P21*N21</f>
        <v>0.38999999999999996</v>
      </c>
      <c r="R21" s="20"/>
    </row>
    <row r="22" spans="1:18" x14ac:dyDescent="0.25">
      <c r="A22" s="1"/>
      <c r="B22" s="16">
        <f>ROW(B22) - ROW($B$7)</f>
        <v>15</v>
      </c>
      <c r="C22" s="23" t="s">
        <v>6</v>
      </c>
      <c r="D22" s="14" t="s">
        <v>46</v>
      </c>
      <c r="E22" s="14" t="s">
        <v>161</v>
      </c>
      <c r="F22" s="14" t="s">
        <v>259</v>
      </c>
      <c r="G22" s="14" t="s">
        <v>325</v>
      </c>
      <c r="H22" s="14" t="s">
        <v>409</v>
      </c>
      <c r="I22" s="42" t="s">
        <v>621</v>
      </c>
      <c r="J22" s="14" t="s">
        <v>472</v>
      </c>
      <c r="K22" s="44" t="s">
        <v>570</v>
      </c>
      <c r="L22" s="14">
        <v>4</v>
      </c>
      <c r="M22" s="14">
        <f>L22*5</f>
        <v>20</v>
      </c>
      <c r="N22" s="14">
        <v>100</v>
      </c>
      <c r="O22" s="48" t="s">
        <v>623</v>
      </c>
      <c r="P22" s="15">
        <v>2.2000000000000001E-3</v>
      </c>
      <c r="Q22" s="15">
        <f>P22*N22</f>
        <v>0.22</v>
      </c>
      <c r="R22" s="14"/>
    </row>
    <row r="23" spans="1:18" x14ac:dyDescent="0.25">
      <c r="A23" s="1"/>
      <c r="B23" s="17">
        <f t="shared" si="0"/>
        <v>16</v>
      </c>
      <c r="C23" s="23" t="s">
        <v>6</v>
      </c>
      <c r="D23" s="47" t="s">
        <v>47</v>
      </c>
      <c r="E23" s="49" t="s">
        <v>153</v>
      </c>
      <c r="F23" s="50" t="s">
        <v>261</v>
      </c>
      <c r="G23" s="47" t="s">
        <v>319</v>
      </c>
      <c r="H23" s="47" t="s">
        <v>410</v>
      </c>
      <c r="I23" s="43" t="s">
        <v>621</v>
      </c>
      <c r="J23" s="47" t="s">
        <v>465</v>
      </c>
      <c r="K23" s="47" t="s">
        <v>561</v>
      </c>
      <c r="L23" s="47">
        <v>4</v>
      </c>
      <c r="M23" s="47">
        <f t="shared" ref="M23" si="15">L23*5</f>
        <v>20</v>
      </c>
      <c r="N23" s="51" t="s">
        <v>484</v>
      </c>
      <c r="O23" s="47" t="s">
        <v>623</v>
      </c>
      <c r="P23" s="51" t="s">
        <v>484</v>
      </c>
      <c r="Q23" s="51" t="s">
        <v>484</v>
      </c>
      <c r="R23" s="52" t="s">
        <v>624</v>
      </c>
    </row>
    <row r="24" spans="1:18" ht="24" x14ac:dyDescent="0.25">
      <c r="A24" s="1"/>
      <c r="B24" s="16">
        <f>ROW(B24) - ROW($B$7)</f>
        <v>17</v>
      </c>
      <c r="C24" s="23" t="s">
        <v>6</v>
      </c>
      <c r="D24" s="47" t="s">
        <v>48</v>
      </c>
      <c r="E24" s="49" t="s">
        <v>162</v>
      </c>
      <c r="F24" s="50" t="s">
        <v>264</v>
      </c>
      <c r="G24" s="47" t="s">
        <v>326</v>
      </c>
      <c r="H24" s="47" t="s">
        <v>412</v>
      </c>
      <c r="I24" s="43" t="s">
        <v>621</v>
      </c>
      <c r="J24" s="47" t="s">
        <v>473</v>
      </c>
      <c r="K24" s="47" t="s">
        <v>561</v>
      </c>
      <c r="L24" s="47">
        <v>8</v>
      </c>
      <c r="M24" s="47">
        <f>L24*5</f>
        <v>40</v>
      </c>
      <c r="N24" s="51" t="s">
        <v>484</v>
      </c>
      <c r="O24" s="47" t="s">
        <v>623</v>
      </c>
      <c r="P24" s="51" t="s">
        <v>484</v>
      </c>
      <c r="Q24" s="51" t="s">
        <v>484</v>
      </c>
      <c r="R24" s="52" t="s">
        <v>624</v>
      </c>
    </row>
    <row r="25" spans="1:18" ht="24" x14ac:dyDescent="0.25">
      <c r="A25" s="1"/>
      <c r="B25" s="17">
        <f t="shared" si="0"/>
        <v>18</v>
      </c>
      <c r="C25" s="23" t="s">
        <v>6</v>
      </c>
      <c r="D25" s="20" t="s">
        <v>49</v>
      </c>
      <c r="E25" s="20" t="s">
        <v>163</v>
      </c>
      <c r="F25" s="20" t="s">
        <v>260</v>
      </c>
      <c r="G25" s="20" t="s">
        <v>327</v>
      </c>
      <c r="H25" s="20" t="s">
        <v>409</v>
      </c>
      <c r="I25" s="42" t="s">
        <v>621</v>
      </c>
      <c r="J25" s="20" t="s">
        <v>474</v>
      </c>
      <c r="K25" s="45" t="s">
        <v>571</v>
      </c>
      <c r="L25" s="20">
        <v>12</v>
      </c>
      <c r="M25" s="20">
        <f t="shared" ref="M25" si="16">L25*5</f>
        <v>60</v>
      </c>
      <c r="N25" s="20">
        <v>100</v>
      </c>
      <c r="O25" s="48" t="s">
        <v>623</v>
      </c>
      <c r="P25" s="21">
        <v>2.3999999999999998E-3</v>
      </c>
      <c r="Q25" s="21">
        <f t="shared" ref="Q25" si="17">P25*N25</f>
        <v>0.24</v>
      </c>
      <c r="R25" s="20"/>
    </row>
    <row r="26" spans="1:18" ht="24" x14ac:dyDescent="0.25">
      <c r="A26" s="1"/>
      <c r="B26" s="16">
        <f>ROW(B26) - ROW($B$7)</f>
        <v>19</v>
      </c>
      <c r="C26" s="23" t="s">
        <v>6</v>
      </c>
      <c r="D26" s="14" t="s">
        <v>50</v>
      </c>
      <c r="E26" s="14" t="s">
        <v>164</v>
      </c>
      <c r="F26" s="14" t="s">
        <v>264</v>
      </c>
      <c r="G26" s="14" t="s">
        <v>328</v>
      </c>
      <c r="H26" s="14" t="s">
        <v>415</v>
      </c>
      <c r="I26" s="42" t="s">
        <v>621</v>
      </c>
      <c r="J26" s="14" t="s">
        <v>475</v>
      </c>
      <c r="K26" s="44" t="s">
        <v>572</v>
      </c>
      <c r="L26" s="14">
        <v>12</v>
      </c>
      <c r="M26" s="14">
        <f>L26*5</f>
        <v>60</v>
      </c>
      <c r="N26" s="14">
        <v>65</v>
      </c>
      <c r="O26" s="48" t="s">
        <v>623</v>
      </c>
      <c r="P26" s="15">
        <v>6.9699999999999998E-2</v>
      </c>
      <c r="Q26" s="15">
        <f>P26*N26</f>
        <v>4.5305</v>
      </c>
      <c r="R26" s="14"/>
    </row>
    <row r="27" spans="1:18" ht="24" x14ac:dyDescent="0.25">
      <c r="A27" s="1"/>
      <c r="B27" s="17">
        <f t="shared" si="0"/>
        <v>20</v>
      </c>
      <c r="C27" s="23" t="s">
        <v>6</v>
      </c>
      <c r="D27" s="47" t="s">
        <v>51</v>
      </c>
      <c r="E27" s="49" t="s">
        <v>165</v>
      </c>
      <c r="F27" s="50" t="s">
        <v>259</v>
      </c>
      <c r="G27" s="47" t="s">
        <v>329</v>
      </c>
      <c r="H27" s="47" t="s">
        <v>412</v>
      </c>
      <c r="I27" s="43" t="s">
        <v>621</v>
      </c>
      <c r="J27" s="47" t="s">
        <v>476</v>
      </c>
      <c r="K27" s="47" t="s">
        <v>561</v>
      </c>
      <c r="L27" s="47">
        <v>8</v>
      </c>
      <c r="M27" s="47">
        <f t="shared" ref="M27" si="18">L27*5</f>
        <v>40</v>
      </c>
      <c r="N27" s="51" t="s">
        <v>484</v>
      </c>
      <c r="O27" s="47" t="s">
        <v>623</v>
      </c>
      <c r="P27" s="51" t="s">
        <v>484</v>
      </c>
      <c r="Q27" s="51" t="s">
        <v>484</v>
      </c>
      <c r="R27" s="52" t="s">
        <v>624</v>
      </c>
    </row>
    <row r="28" spans="1:18" x14ac:dyDescent="0.25">
      <c r="A28" s="1"/>
      <c r="B28" s="16">
        <f>ROW(B28) - ROW($B$7)</f>
        <v>21</v>
      </c>
      <c r="C28" s="23" t="s">
        <v>6</v>
      </c>
      <c r="D28" s="14" t="s">
        <v>52</v>
      </c>
      <c r="E28" s="14" t="s">
        <v>166</v>
      </c>
      <c r="F28" s="14" t="s">
        <v>259</v>
      </c>
      <c r="G28" s="14" t="s">
        <v>330</v>
      </c>
      <c r="H28" s="14" t="s">
        <v>409</v>
      </c>
      <c r="I28" s="42" t="s">
        <v>621</v>
      </c>
      <c r="J28" s="14" t="s">
        <v>477</v>
      </c>
      <c r="K28" s="44" t="s">
        <v>573</v>
      </c>
      <c r="L28" s="14">
        <v>2</v>
      </c>
      <c r="M28" s="14">
        <f>L28*5</f>
        <v>10</v>
      </c>
      <c r="N28" s="20">
        <v>100</v>
      </c>
      <c r="O28" s="48" t="s">
        <v>623</v>
      </c>
      <c r="P28" s="21">
        <v>3.0999999999999999E-3</v>
      </c>
      <c r="Q28" s="15">
        <f>P28*N28</f>
        <v>0.31</v>
      </c>
      <c r="R28" s="14"/>
    </row>
    <row r="29" spans="1:18" x14ac:dyDescent="0.25">
      <c r="A29" s="1"/>
      <c r="B29" s="17">
        <f t="shared" si="0"/>
        <v>22</v>
      </c>
      <c r="C29" s="23" t="s">
        <v>6</v>
      </c>
      <c r="D29" s="20" t="s">
        <v>53</v>
      </c>
      <c r="E29" s="20" t="s">
        <v>167</v>
      </c>
      <c r="F29" s="20" t="s">
        <v>265</v>
      </c>
      <c r="G29" s="20" t="s">
        <v>331</v>
      </c>
      <c r="H29" s="20" t="s">
        <v>416</v>
      </c>
      <c r="I29" s="42" t="s">
        <v>621</v>
      </c>
      <c r="J29" s="20" t="s">
        <v>478</v>
      </c>
      <c r="K29" s="45" t="s">
        <v>574</v>
      </c>
      <c r="L29" s="20">
        <v>3</v>
      </c>
      <c r="M29" s="20">
        <f t="shared" ref="M29" si="19">L29*5</f>
        <v>15</v>
      </c>
      <c r="N29" s="14">
        <v>20</v>
      </c>
      <c r="O29" s="48" t="s">
        <v>623</v>
      </c>
      <c r="P29" s="15">
        <v>0.29310000000000003</v>
      </c>
      <c r="Q29" s="21">
        <f t="shared" ref="Q29" si="20">P29*N29</f>
        <v>5.8620000000000001</v>
      </c>
      <c r="R29" s="20"/>
    </row>
    <row r="30" spans="1:18" x14ac:dyDescent="0.25">
      <c r="A30" s="1"/>
      <c r="B30" s="16">
        <f>ROW(B30) - ROW($B$7)</f>
        <v>23</v>
      </c>
      <c r="C30" s="23" t="s">
        <v>6</v>
      </c>
      <c r="D30" s="14" t="s">
        <v>54</v>
      </c>
      <c r="E30" s="14" t="s">
        <v>168</v>
      </c>
      <c r="F30" s="14" t="s">
        <v>260</v>
      </c>
      <c r="G30" s="14" t="s">
        <v>332</v>
      </c>
      <c r="H30" s="14" t="s">
        <v>417</v>
      </c>
      <c r="I30" s="42" t="s">
        <v>621</v>
      </c>
      <c r="J30" s="14" t="s">
        <v>479</v>
      </c>
      <c r="K30" s="44" t="s">
        <v>575</v>
      </c>
      <c r="L30" s="14">
        <v>1</v>
      </c>
      <c r="M30" s="14">
        <f>L30*5</f>
        <v>5</v>
      </c>
      <c r="N30" s="14">
        <v>10</v>
      </c>
      <c r="O30" s="48" t="s">
        <v>623</v>
      </c>
      <c r="P30" s="15">
        <v>3.7000000000000002E-3</v>
      </c>
      <c r="Q30" s="15">
        <f>P30*N30</f>
        <v>3.7000000000000005E-2</v>
      </c>
      <c r="R30" s="14"/>
    </row>
    <row r="31" spans="1:18" x14ac:dyDescent="0.25">
      <c r="A31" s="1"/>
      <c r="B31" s="17">
        <f t="shared" si="0"/>
        <v>24</v>
      </c>
      <c r="C31" s="23" t="s">
        <v>6</v>
      </c>
      <c r="D31" s="20" t="s">
        <v>55</v>
      </c>
      <c r="E31" s="20" t="s">
        <v>169</v>
      </c>
      <c r="F31" s="20" t="s">
        <v>259</v>
      </c>
      <c r="G31" s="20" t="s">
        <v>333</v>
      </c>
      <c r="H31" s="20" t="s">
        <v>412</v>
      </c>
      <c r="I31" s="42" t="s">
        <v>621</v>
      </c>
      <c r="J31" s="20" t="s">
        <v>480</v>
      </c>
      <c r="K31" s="45" t="s">
        <v>576</v>
      </c>
      <c r="L31" s="20">
        <v>2</v>
      </c>
      <c r="M31" s="20">
        <f t="shared" ref="M31" si="21">L31*5</f>
        <v>10</v>
      </c>
      <c r="N31" s="20">
        <v>20</v>
      </c>
      <c r="O31" s="48" t="s">
        <v>623</v>
      </c>
      <c r="P31" s="21">
        <v>1.83E-2</v>
      </c>
      <c r="Q31" s="21">
        <f t="shared" ref="Q31" si="22">P31*N31</f>
        <v>0.36599999999999999</v>
      </c>
      <c r="R31" s="20"/>
    </row>
    <row r="32" spans="1:18" ht="36" x14ac:dyDescent="0.25">
      <c r="A32" s="1"/>
      <c r="B32" s="16">
        <f>ROW(B32) - ROW($B$7)</f>
        <v>25</v>
      </c>
      <c r="C32" s="23" t="s">
        <v>6</v>
      </c>
      <c r="D32" s="14" t="s">
        <v>56</v>
      </c>
      <c r="E32" s="14" t="s">
        <v>170</v>
      </c>
      <c r="F32" s="20" t="s">
        <v>622</v>
      </c>
      <c r="G32" s="14" t="s">
        <v>266</v>
      </c>
      <c r="H32" s="14" t="s">
        <v>413</v>
      </c>
      <c r="I32" s="42" t="s">
        <v>621</v>
      </c>
      <c r="J32" s="14" t="s">
        <v>481</v>
      </c>
      <c r="K32" s="44" t="s">
        <v>563</v>
      </c>
      <c r="L32" s="14">
        <v>16</v>
      </c>
      <c r="M32" s="14">
        <f>L32*5</f>
        <v>80</v>
      </c>
      <c r="N32" s="14">
        <v>100</v>
      </c>
      <c r="O32" s="48" t="s">
        <v>623</v>
      </c>
      <c r="P32" s="15">
        <v>2.4E-2</v>
      </c>
      <c r="Q32" s="15">
        <f>P32*N32</f>
        <v>2.4</v>
      </c>
      <c r="R32" s="14"/>
    </row>
    <row r="33" spans="1:18" ht="24" x14ac:dyDescent="0.25">
      <c r="A33" s="1"/>
      <c r="B33" s="17">
        <f t="shared" si="0"/>
        <v>26</v>
      </c>
      <c r="C33" s="23" t="s">
        <v>6</v>
      </c>
      <c r="D33" s="20" t="s">
        <v>57</v>
      </c>
      <c r="E33" s="20" t="s">
        <v>171</v>
      </c>
      <c r="F33" s="20" t="s">
        <v>259</v>
      </c>
      <c r="G33" s="20" t="s">
        <v>334</v>
      </c>
      <c r="H33" s="20" t="s">
        <v>410</v>
      </c>
      <c r="I33" s="42" t="s">
        <v>621</v>
      </c>
      <c r="J33" s="20" t="s">
        <v>482</v>
      </c>
      <c r="K33" s="45" t="s">
        <v>577</v>
      </c>
      <c r="L33" s="20">
        <v>12</v>
      </c>
      <c r="M33" s="20">
        <f t="shared" ref="M33" si="23">L33*5</f>
        <v>60</v>
      </c>
      <c r="N33" s="20">
        <v>100</v>
      </c>
      <c r="O33" s="48" t="s">
        <v>623</v>
      </c>
      <c r="P33" s="21">
        <v>1.7100000000000001E-2</v>
      </c>
      <c r="Q33" s="21">
        <f t="shared" ref="Q33" si="24">P33*N33</f>
        <v>1.71</v>
      </c>
      <c r="R33" s="20"/>
    </row>
    <row r="34" spans="1:18" x14ac:dyDescent="0.25">
      <c r="A34" s="1"/>
      <c r="B34" s="16">
        <f>ROW(B34) - ROW($B$7)</f>
        <v>27</v>
      </c>
      <c r="C34" s="23" t="s">
        <v>7</v>
      </c>
      <c r="D34" s="14" t="s">
        <v>58</v>
      </c>
      <c r="E34" s="14" t="s">
        <v>172</v>
      </c>
      <c r="F34" s="14" t="s">
        <v>267</v>
      </c>
      <c r="G34" s="14" t="s">
        <v>335</v>
      </c>
      <c r="H34" s="14" t="s">
        <v>418</v>
      </c>
      <c r="I34" s="42" t="s">
        <v>621</v>
      </c>
      <c r="J34" s="14" t="s">
        <v>483</v>
      </c>
      <c r="K34" s="44" t="s">
        <v>484</v>
      </c>
      <c r="L34" s="14">
        <v>2</v>
      </c>
      <c r="M34" s="14">
        <f>L34*5</f>
        <v>10</v>
      </c>
      <c r="N34" s="20">
        <v>25</v>
      </c>
      <c r="O34" s="48" t="s">
        <v>623</v>
      </c>
      <c r="P34" s="21">
        <v>0.10249999999999999</v>
      </c>
      <c r="Q34" s="15">
        <f>P34*N34</f>
        <v>2.5625</v>
      </c>
      <c r="R34" s="14"/>
    </row>
    <row r="35" spans="1:18" ht="24" x14ac:dyDescent="0.25">
      <c r="A35" s="1"/>
      <c r="B35" s="17">
        <f t="shared" si="0"/>
        <v>28</v>
      </c>
      <c r="C35" s="23" t="s">
        <v>7</v>
      </c>
      <c r="D35" s="20" t="s">
        <v>59</v>
      </c>
      <c r="E35" s="20" t="s">
        <v>626</v>
      </c>
      <c r="F35" s="20" t="s">
        <v>627</v>
      </c>
      <c r="G35" s="20" t="s">
        <v>628</v>
      </c>
      <c r="H35" s="20" t="s">
        <v>420</v>
      </c>
      <c r="I35" s="42" t="s">
        <v>629</v>
      </c>
      <c r="J35" s="20" t="s">
        <v>630</v>
      </c>
      <c r="K35" s="44" t="s">
        <v>484</v>
      </c>
      <c r="L35" s="20">
        <v>6</v>
      </c>
      <c r="M35" s="20">
        <f t="shared" ref="M35" si="25">L35*5</f>
        <v>30</v>
      </c>
      <c r="N35" s="20">
        <v>40</v>
      </c>
      <c r="O35" s="48" t="s">
        <v>623</v>
      </c>
      <c r="P35" s="21">
        <v>2.4E-2</v>
      </c>
      <c r="Q35" s="21">
        <f t="shared" ref="Q35" si="26">P35*N35</f>
        <v>0.96</v>
      </c>
      <c r="R35" s="20"/>
    </row>
    <row r="36" spans="1:18" x14ac:dyDescent="0.25">
      <c r="A36" s="1"/>
      <c r="B36" s="16">
        <f>ROW(B36) - ROW($B$7)</f>
        <v>29</v>
      </c>
      <c r="C36" s="22" t="s">
        <v>7</v>
      </c>
      <c r="D36" s="14" t="s">
        <v>60</v>
      </c>
      <c r="E36" s="14" t="s">
        <v>173</v>
      </c>
      <c r="F36" s="14" t="s">
        <v>268</v>
      </c>
      <c r="G36" s="14" t="s">
        <v>336</v>
      </c>
      <c r="H36" s="14" t="s">
        <v>419</v>
      </c>
      <c r="I36" s="42" t="s">
        <v>629</v>
      </c>
      <c r="J36" s="20" t="s">
        <v>631</v>
      </c>
      <c r="K36" s="44" t="s">
        <v>484</v>
      </c>
      <c r="L36" s="14">
        <v>1</v>
      </c>
      <c r="M36" s="14">
        <f>L36*5</f>
        <v>5</v>
      </c>
      <c r="N36" s="20">
        <v>10</v>
      </c>
      <c r="O36" s="48" t="s">
        <v>623</v>
      </c>
      <c r="P36" s="21">
        <v>0.153</v>
      </c>
      <c r="Q36" s="15">
        <f>P36*N36</f>
        <v>1.53</v>
      </c>
      <c r="R36" s="14"/>
    </row>
    <row r="37" spans="1:18" x14ac:dyDescent="0.25">
      <c r="A37" s="1"/>
      <c r="B37" s="17">
        <f t="shared" si="0"/>
        <v>30</v>
      </c>
      <c r="C37" s="22" t="s">
        <v>7</v>
      </c>
      <c r="D37" s="20" t="s">
        <v>61</v>
      </c>
      <c r="E37" s="20" t="s">
        <v>174</v>
      </c>
      <c r="F37" s="20" t="s">
        <v>269</v>
      </c>
      <c r="G37" s="20" t="s">
        <v>337</v>
      </c>
      <c r="H37" s="20" t="s">
        <v>420</v>
      </c>
      <c r="I37" s="42" t="s">
        <v>629</v>
      </c>
      <c r="J37" s="14" t="s">
        <v>632</v>
      </c>
      <c r="K37" s="44" t="s">
        <v>484</v>
      </c>
      <c r="L37" s="20">
        <v>1</v>
      </c>
      <c r="M37" s="20">
        <f t="shared" ref="M37" si="27">L37*5</f>
        <v>5</v>
      </c>
      <c r="N37" s="14">
        <v>10</v>
      </c>
      <c r="O37" s="48" t="s">
        <v>623</v>
      </c>
      <c r="P37" s="15">
        <v>4.53E-2</v>
      </c>
      <c r="Q37" s="21">
        <f t="shared" ref="Q37" si="28">P37*N37</f>
        <v>0.45300000000000001</v>
      </c>
      <c r="R37" s="20"/>
    </row>
    <row r="38" spans="1:18" x14ac:dyDescent="0.25">
      <c r="A38" s="1"/>
      <c r="B38" s="16">
        <f>ROW(B38) - ROW($B$7)</f>
        <v>31</v>
      </c>
      <c r="C38" s="22" t="s">
        <v>7</v>
      </c>
      <c r="D38" s="14" t="s">
        <v>62</v>
      </c>
      <c r="E38" s="14" t="s">
        <v>175</v>
      </c>
      <c r="F38" s="14" t="s">
        <v>270</v>
      </c>
      <c r="G38" s="14" t="s">
        <v>338</v>
      </c>
      <c r="H38" s="14" t="s">
        <v>421</v>
      </c>
      <c r="I38" s="42" t="s">
        <v>629</v>
      </c>
      <c r="J38" s="14" t="s">
        <v>485</v>
      </c>
      <c r="K38" s="44" t="s">
        <v>484</v>
      </c>
      <c r="L38" s="14">
        <v>1</v>
      </c>
      <c r="M38" s="14">
        <f>L38*5</f>
        <v>5</v>
      </c>
      <c r="N38" s="20">
        <v>20</v>
      </c>
      <c r="O38" s="48" t="s">
        <v>623</v>
      </c>
      <c r="P38" s="21">
        <v>1.9300000000000001E-2</v>
      </c>
      <c r="Q38" s="15">
        <f>P38*N38</f>
        <v>0.38600000000000001</v>
      </c>
      <c r="R38" s="14"/>
    </row>
    <row r="39" spans="1:18" ht="24" x14ac:dyDescent="0.25">
      <c r="A39" s="1"/>
      <c r="B39" s="17">
        <f t="shared" si="0"/>
        <v>32</v>
      </c>
      <c r="C39" s="22" t="s">
        <v>7</v>
      </c>
      <c r="D39" s="20" t="s">
        <v>63</v>
      </c>
      <c r="E39" s="20" t="s">
        <v>176</v>
      </c>
      <c r="F39" s="20" t="s">
        <v>271</v>
      </c>
      <c r="G39" s="20" t="s">
        <v>339</v>
      </c>
      <c r="H39" s="20" t="s">
        <v>422</v>
      </c>
      <c r="I39" s="42" t="s">
        <v>629</v>
      </c>
      <c r="J39" s="20" t="s">
        <v>486</v>
      </c>
      <c r="K39" s="44" t="s">
        <v>484</v>
      </c>
      <c r="L39" s="20">
        <v>12</v>
      </c>
      <c r="M39" s="20">
        <f t="shared" ref="M39" si="29">L39*5</f>
        <v>60</v>
      </c>
      <c r="N39" s="20">
        <v>70</v>
      </c>
      <c r="O39" s="48" t="s">
        <v>623</v>
      </c>
      <c r="P39" s="21">
        <v>2.6700000000000002E-2</v>
      </c>
      <c r="Q39" s="21">
        <f t="shared" ref="Q39" si="30">P39*N39</f>
        <v>1.8690000000000002</v>
      </c>
      <c r="R39" s="20"/>
    </row>
    <row r="40" spans="1:18" x14ac:dyDescent="0.25">
      <c r="A40" s="1"/>
      <c r="B40" s="16">
        <f>ROW(B40) - ROW($B$7)</f>
        <v>33</v>
      </c>
      <c r="C40" s="22" t="s">
        <v>7</v>
      </c>
      <c r="D40" s="47" t="s">
        <v>64</v>
      </c>
      <c r="E40" s="49" t="s">
        <v>177</v>
      </c>
      <c r="F40" s="50" t="s">
        <v>272</v>
      </c>
      <c r="G40" s="47" t="s">
        <v>340</v>
      </c>
      <c r="H40" s="47" t="s">
        <v>423</v>
      </c>
      <c r="I40" s="43" t="s">
        <v>629</v>
      </c>
      <c r="J40" s="47" t="s">
        <v>487</v>
      </c>
      <c r="K40" s="47" t="s">
        <v>561</v>
      </c>
      <c r="L40" s="47">
        <v>4</v>
      </c>
      <c r="M40" s="47">
        <f>L40*5</f>
        <v>20</v>
      </c>
      <c r="N40" s="51" t="s">
        <v>484</v>
      </c>
      <c r="O40" s="47" t="s">
        <v>623</v>
      </c>
      <c r="P40" s="51" t="s">
        <v>484</v>
      </c>
      <c r="Q40" s="51" t="s">
        <v>484</v>
      </c>
      <c r="R40" s="52" t="s">
        <v>624</v>
      </c>
    </row>
    <row r="41" spans="1:18" ht="24" x14ac:dyDescent="0.25">
      <c r="A41" s="1"/>
      <c r="B41" s="17">
        <f t="shared" si="0"/>
        <v>34</v>
      </c>
      <c r="C41" s="23" t="s">
        <v>8</v>
      </c>
      <c r="D41" s="20" t="s">
        <v>65</v>
      </c>
      <c r="E41" s="20" t="s">
        <v>178</v>
      </c>
      <c r="F41" s="20" t="s">
        <v>273</v>
      </c>
      <c r="G41" s="20" t="s">
        <v>341</v>
      </c>
      <c r="H41" s="20" t="s">
        <v>424</v>
      </c>
      <c r="I41" s="42" t="s">
        <v>629</v>
      </c>
      <c r="J41" s="20" t="s">
        <v>488</v>
      </c>
      <c r="K41" s="45" t="s">
        <v>484</v>
      </c>
      <c r="L41" s="20">
        <v>12</v>
      </c>
      <c r="M41" s="20">
        <f t="shared" ref="M41" si="31">L41*5</f>
        <v>60</v>
      </c>
      <c r="N41" s="14">
        <v>70</v>
      </c>
      <c r="O41" s="48" t="s">
        <v>623</v>
      </c>
      <c r="P41" s="15">
        <v>5.5500000000000001E-2</v>
      </c>
      <c r="Q41" s="21">
        <f t="shared" ref="Q41" si="32">P41*N41</f>
        <v>3.8850000000000002</v>
      </c>
      <c r="R41" s="20"/>
    </row>
    <row r="42" spans="1:18" x14ac:dyDescent="0.25">
      <c r="A42" s="1"/>
      <c r="B42" s="16">
        <f>ROW(B42) - ROW($B$7)</f>
        <v>35</v>
      </c>
      <c r="C42" s="22" t="s">
        <v>9</v>
      </c>
      <c r="D42" s="14" t="s">
        <v>66</v>
      </c>
      <c r="E42" s="14" t="s">
        <v>179</v>
      </c>
      <c r="F42" s="14" t="s">
        <v>274</v>
      </c>
      <c r="G42" s="14" t="s">
        <v>342</v>
      </c>
      <c r="H42" s="14" t="s">
        <v>412</v>
      </c>
      <c r="I42" s="42" t="s">
        <v>629</v>
      </c>
      <c r="J42" s="14" t="s">
        <v>489</v>
      </c>
      <c r="K42" s="45" t="s">
        <v>484</v>
      </c>
      <c r="L42" s="14">
        <v>2</v>
      </c>
      <c r="M42" s="14">
        <f>L42*5</f>
        <v>10</v>
      </c>
      <c r="N42" s="20">
        <v>50</v>
      </c>
      <c r="O42" s="48" t="s">
        <v>623</v>
      </c>
      <c r="P42" s="21">
        <v>7.0000000000000001E-3</v>
      </c>
      <c r="Q42" s="15">
        <f>P42*N42</f>
        <v>0.35000000000000003</v>
      </c>
      <c r="R42" s="14"/>
    </row>
    <row r="43" spans="1:18" ht="24" x14ac:dyDescent="0.25">
      <c r="A43" s="1"/>
      <c r="B43" s="17">
        <f t="shared" si="0"/>
        <v>36</v>
      </c>
      <c r="C43" s="23" t="s">
        <v>10</v>
      </c>
      <c r="D43" s="20" t="s">
        <v>67</v>
      </c>
      <c r="E43" s="20" t="s">
        <v>180</v>
      </c>
      <c r="F43" s="20" t="s">
        <v>622</v>
      </c>
      <c r="G43" s="20" t="s">
        <v>343</v>
      </c>
      <c r="H43" s="20" t="s">
        <v>425</v>
      </c>
      <c r="I43" s="42" t="s">
        <v>629</v>
      </c>
      <c r="J43" s="20" t="s">
        <v>490</v>
      </c>
      <c r="K43" s="45" t="s">
        <v>484</v>
      </c>
      <c r="L43" s="20">
        <v>1</v>
      </c>
      <c r="M43" s="20">
        <f t="shared" ref="M43" si="33">L43*5</f>
        <v>5</v>
      </c>
      <c r="N43" s="20">
        <v>10</v>
      </c>
      <c r="O43" s="48" t="s">
        <v>623</v>
      </c>
      <c r="P43" s="21">
        <v>0.1482</v>
      </c>
      <c r="Q43" s="21">
        <f t="shared" ref="Q43" si="34">P43*N43</f>
        <v>1.482</v>
      </c>
      <c r="R43" s="20"/>
    </row>
    <row r="44" spans="1:18" ht="48" x14ac:dyDescent="0.25">
      <c r="A44" s="1"/>
      <c r="B44" s="16">
        <f>ROW(B44) - ROW($B$7)</f>
        <v>37</v>
      </c>
      <c r="C44" s="22" t="s">
        <v>11</v>
      </c>
      <c r="D44" s="14" t="s">
        <v>68</v>
      </c>
      <c r="E44" s="14" t="s">
        <v>181</v>
      </c>
      <c r="F44" s="14" t="s">
        <v>275</v>
      </c>
      <c r="G44" s="14" t="s">
        <v>344</v>
      </c>
      <c r="H44" s="14" t="s">
        <v>426</v>
      </c>
      <c r="I44" s="42" t="s">
        <v>629</v>
      </c>
      <c r="J44" s="14" t="s">
        <v>491</v>
      </c>
      <c r="K44" s="45" t="s">
        <v>484</v>
      </c>
      <c r="L44" s="14">
        <v>1</v>
      </c>
      <c r="M44" s="14">
        <f>L44*5</f>
        <v>5</v>
      </c>
      <c r="N44" s="14">
        <v>10</v>
      </c>
      <c r="O44" s="48" t="s">
        <v>623</v>
      </c>
      <c r="P44" s="15">
        <v>5.1299999999999998E-2</v>
      </c>
      <c r="Q44" s="15">
        <f>P44*N44</f>
        <v>0.51300000000000001</v>
      </c>
      <c r="R44" s="14"/>
    </row>
    <row r="45" spans="1:18" ht="48" x14ac:dyDescent="0.25">
      <c r="A45" s="1"/>
      <c r="B45" s="17">
        <f t="shared" si="0"/>
        <v>38</v>
      </c>
      <c r="C45" s="23" t="s">
        <v>11</v>
      </c>
      <c r="D45" s="20" t="s">
        <v>69</v>
      </c>
      <c r="E45" s="20" t="s">
        <v>182</v>
      </c>
      <c r="F45" s="20" t="s">
        <v>276</v>
      </c>
      <c r="G45" s="20" t="s">
        <v>345</v>
      </c>
      <c r="H45" s="20" t="s">
        <v>426</v>
      </c>
      <c r="I45" s="42" t="s">
        <v>629</v>
      </c>
      <c r="J45" s="20" t="s">
        <v>492</v>
      </c>
      <c r="K45" s="45" t="s">
        <v>484</v>
      </c>
      <c r="L45" s="20">
        <v>5</v>
      </c>
      <c r="M45" s="20">
        <f t="shared" ref="M45" si="35">L45*5</f>
        <v>25</v>
      </c>
      <c r="N45" s="14">
        <v>30</v>
      </c>
      <c r="O45" s="48" t="s">
        <v>623</v>
      </c>
      <c r="P45" s="15">
        <v>8.0100000000000005E-2</v>
      </c>
      <c r="Q45" s="21">
        <f t="shared" ref="Q45" si="36">P45*N45</f>
        <v>2.403</v>
      </c>
      <c r="R45" s="20"/>
    </row>
    <row r="46" spans="1:18" x14ac:dyDescent="0.25">
      <c r="A46" s="1"/>
      <c r="B46" s="16">
        <f>ROW(B46) - ROW($B$7)</f>
        <v>39</v>
      </c>
      <c r="C46" s="22" t="s">
        <v>11</v>
      </c>
      <c r="D46" s="14" t="s">
        <v>70</v>
      </c>
      <c r="E46" s="14" t="s">
        <v>183</v>
      </c>
      <c r="F46" s="14" t="s">
        <v>277</v>
      </c>
      <c r="G46" s="47" t="s">
        <v>633</v>
      </c>
      <c r="H46" s="14" t="s">
        <v>634</v>
      </c>
      <c r="I46" s="20" t="s">
        <v>635</v>
      </c>
      <c r="J46" s="14" t="s">
        <v>636</v>
      </c>
      <c r="K46" s="45" t="s">
        <v>484</v>
      </c>
      <c r="L46" s="14">
        <v>5</v>
      </c>
      <c r="M46" s="14">
        <f>L46*5</f>
        <v>25</v>
      </c>
      <c r="N46" s="14">
        <v>50</v>
      </c>
      <c r="O46" s="54" t="s">
        <v>623</v>
      </c>
      <c r="P46" s="15">
        <v>1.4500000000000001E-2</v>
      </c>
      <c r="Q46" s="15">
        <f>P46*N46</f>
        <v>0.72500000000000009</v>
      </c>
      <c r="R46" s="14"/>
    </row>
    <row r="47" spans="1:18" x14ac:dyDescent="0.25">
      <c r="A47" s="1"/>
      <c r="B47" s="17">
        <f t="shared" si="0"/>
        <v>40</v>
      </c>
      <c r="C47" s="23" t="s">
        <v>12</v>
      </c>
      <c r="D47" s="20" t="s">
        <v>71</v>
      </c>
      <c r="E47" s="20" t="s">
        <v>184</v>
      </c>
      <c r="F47" s="20" t="s">
        <v>622</v>
      </c>
      <c r="G47" s="20">
        <v>1715721</v>
      </c>
      <c r="H47" s="20" t="s">
        <v>427</v>
      </c>
      <c r="I47" s="42" t="s">
        <v>629</v>
      </c>
      <c r="J47" s="14" t="s">
        <v>637</v>
      </c>
      <c r="K47" s="45" t="s">
        <v>484</v>
      </c>
      <c r="L47" s="20">
        <v>3</v>
      </c>
      <c r="M47" s="20">
        <f t="shared" ref="M47" si="37">L47*5</f>
        <v>15</v>
      </c>
      <c r="N47" s="14">
        <v>16</v>
      </c>
      <c r="O47" s="48" t="s">
        <v>623</v>
      </c>
      <c r="P47" s="15">
        <v>0.30509999999999998</v>
      </c>
      <c r="Q47" s="21">
        <f t="shared" ref="Q47" si="38">P47*N47</f>
        <v>4.8815999999999997</v>
      </c>
      <c r="R47" s="20"/>
    </row>
    <row r="48" spans="1:18" ht="48" x14ac:dyDescent="0.25">
      <c r="A48" s="1"/>
      <c r="B48" s="16">
        <f>ROW(B48) - ROW($B$7)</f>
        <v>41</v>
      </c>
      <c r="C48" s="22" t="s">
        <v>13</v>
      </c>
      <c r="D48" s="14" t="s">
        <v>72</v>
      </c>
      <c r="E48" s="14" t="s">
        <v>185</v>
      </c>
      <c r="F48" s="14" t="s">
        <v>278</v>
      </c>
      <c r="G48" s="14" t="s">
        <v>346</v>
      </c>
      <c r="H48" s="14" t="s">
        <v>428</v>
      </c>
      <c r="I48" s="42" t="s">
        <v>629</v>
      </c>
      <c r="J48" s="14" t="s">
        <v>493</v>
      </c>
      <c r="K48" s="45" t="s">
        <v>484</v>
      </c>
      <c r="L48" s="14">
        <v>4</v>
      </c>
      <c r="M48" s="14">
        <f>L48*5</f>
        <v>20</v>
      </c>
      <c r="N48" s="14">
        <v>40</v>
      </c>
      <c r="O48" s="48" t="s">
        <v>623</v>
      </c>
      <c r="P48" s="15">
        <v>7.1099999999999997E-2</v>
      </c>
      <c r="Q48" s="15">
        <f>P48*N48</f>
        <v>2.8439999999999999</v>
      </c>
      <c r="R48" s="14"/>
    </row>
    <row r="49" spans="1:18" ht="36" x14ac:dyDescent="0.25">
      <c r="A49" s="1"/>
      <c r="B49" s="17">
        <f t="shared" si="0"/>
        <v>42</v>
      </c>
      <c r="C49" s="23" t="s">
        <v>14</v>
      </c>
      <c r="D49" s="20" t="s">
        <v>73</v>
      </c>
      <c r="E49" s="20" t="s">
        <v>186</v>
      </c>
      <c r="F49" s="20" t="s">
        <v>622</v>
      </c>
      <c r="G49" s="20" t="s">
        <v>279</v>
      </c>
      <c r="H49" s="20" t="s">
        <v>429</v>
      </c>
      <c r="I49" s="42" t="s">
        <v>629</v>
      </c>
      <c r="J49" s="20" t="s">
        <v>494</v>
      </c>
      <c r="K49" s="45" t="s">
        <v>484</v>
      </c>
      <c r="L49" s="20">
        <v>2</v>
      </c>
      <c r="M49" s="20">
        <f t="shared" ref="M49" si="39">L49*5</f>
        <v>10</v>
      </c>
      <c r="N49" s="14">
        <v>11</v>
      </c>
      <c r="O49" s="48" t="s">
        <v>623</v>
      </c>
      <c r="P49" s="15">
        <v>1.1589</v>
      </c>
      <c r="Q49" s="21">
        <f t="shared" ref="Q49" si="40">P49*N49</f>
        <v>12.747900000000001</v>
      </c>
      <c r="R49" s="20"/>
    </row>
    <row r="50" spans="1:18" ht="48" x14ac:dyDescent="0.25">
      <c r="A50" s="1"/>
      <c r="B50" s="16">
        <f>ROW(B50) - ROW($B$7)</f>
        <v>43</v>
      </c>
      <c r="C50" s="22" t="s">
        <v>15</v>
      </c>
      <c r="D50" s="14" t="s">
        <v>74</v>
      </c>
      <c r="E50" s="14" t="s">
        <v>187</v>
      </c>
      <c r="F50" s="20" t="s">
        <v>622</v>
      </c>
      <c r="G50" s="14" t="s">
        <v>280</v>
      </c>
      <c r="H50" s="14" t="s">
        <v>430</v>
      </c>
      <c r="I50" s="42" t="s">
        <v>629</v>
      </c>
      <c r="J50" s="14" t="s">
        <v>495</v>
      </c>
      <c r="K50" s="45" t="s">
        <v>484</v>
      </c>
      <c r="L50" s="14">
        <v>1</v>
      </c>
      <c r="M50" s="14">
        <f>L50*5</f>
        <v>5</v>
      </c>
      <c r="N50" s="14">
        <v>10</v>
      </c>
      <c r="O50" s="48" t="s">
        <v>623</v>
      </c>
      <c r="P50" s="15">
        <v>0.16550000000000001</v>
      </c>
      <c r="Q50" s="15">
        <f>P50*N50</f>
        <v>1.655</v>
      </c>
      <c r="R50" s="14"/>
    </row>
    <row r="51" spans="1:18" ht="36" x14ac:dyDescent="0.25">
      <c r="A51" s="1"/>
      <c r="B51" s="17">
        <f t="shared" si="0"/>
        <v>44</v>
      </c>
      <c r="C51" s="23" t="s">
        <v>16</v>
      </c>
      <c r="D51" s="20" t="s">
        <v>75</v>
      </c>
      <c r="E51" s="20" t="s">
        <v>188</v>
      </c>
      <c r="F51" s="20" t="s">
        <v>622</v>
      </c>
      <c r="G51" s="20" t="s">
        <v>281</v>
      </c>
      <c r="H51" s="20" t="s">
        <v>431</v>
      </c>
      <c r="I51" s="42" t="s">
        <v>629</v>
      </c>
      <c r="J51" s="20" t="s">
        <v>496</v>
      </c>
      <c r="K51" s="45" t="s">
        <v>484</v>
      </c>
      <c r="L51" s="20">
        <v>8</v>
      </c>
      <c r="M51" s="20">
        <f t="shared" ref="M51" si="41">L51*5</f>
        <v>40</v>
      </c>
      <c r="N51" s="20">
        <v>100</v>
      </c>
      <c r="O51" s="48" t="s">
        <v>623</v>
      </c>
      <c r="P51" s="21">
        <v>3.3E-3</v>
      </c>
      <c r="Q51" s="21">
        <f t="shared" ref="Q51" si="42">P51*N51</f>
        <v>0.33</v>
      </c>
      <c r="R51" s="20"/>
    </row>
    <row r="52" spans="1:18" ht="48" x14ac:dyDescent="0.25">
      <c r="A52" s="1"/>
      <c r="B52" s="16">
        <f>ROW(B52) - ROW($B$7)</f>
        <v>45</v>
      </c>
      <c r="C52" s="22" t="s">
        <v>17</v>
      </c>
      <c r="D52" s="14" t="s">
        <v>76</v>
      </c>
      <c r="E52" s="14" t="s">
        <v>189</v>
      </c>
      <c r="F52" s="20" t="s">
        <v>622</v>
      </c>
      <c r="G52" s="14" t="s">
        <v>282</v>
      </c>
      <c r="H52" s="14" t="s">
        <v>432</v>
      </c>
      <c r="I52" s="42" t="s">
        <v>629</v>
      </c>
      <c r="J52" s="14" t="s">
        <v>497</v>
      </c>
      <c r="K52" s="45" t="s">
        <v>484</v>
      </c>
      <c r="L52" s="14">
        <v>4</v>
      </c>
      <c r="M52" s="14">
        <f>L52*5</f>
        <v>20</v>
      </c>
      <c r="N52" s="14">
        <v>25</v>
      </c>
      <c r="O52" s="48" t="s">
        <v>623</v>
      </c>
      <c r="P52" s="15">
        <v>0.20699999999999999</v>
      </c>
      <c r="Q52" s="15">
        <f>P52*N52</f>
        <v>5.1749999999999998</v>
      </c>
      <c r="R52" s="14"/>
    </row>
    <row r="53" spans="1:18" x14ac:dyDescent="0.25">
      <c r="A53" s="1"/>
      <c r="B53" s="17">
        <f t="shared" si="0"/>
        <v>46</v>
      </c>
      <c r="C53" s="23" t="s">
        <v>18</v>
      </c>
      <c r="D53" s="20" t="s">
        <v>77</v>
      </c>
      <c r="E53" s="20" t="s">
        <v>190</v>
      </c>
      <c r="F53" s="20" t="s">
        <v>622</v>
      </c>
      <c r="G53" s="20" t="s">
        <v>283</v>
      </c>
      <c r="H53" s="20" t="s">
        <v>433</v>
      </c>
      <c r="I53" s="42" t="s">
        <v>629</v>
      </c>
      <c r="J53" s="20" t="s">
        <v>640</v>
      </c>
      <c r="K53" s="45" t="s">
        <v>484</v>
      </c>
      <c r="L53" s="20">
        <v>4</v>
      </c>
      <c r="M53" s="20">
        <f t="shared" ref="M53" si="43">L53*5</f>
        <v>20</v>
      </c>
      <c r="N53" s="20">
        <v>21</v>
      </c>
      <c r="O53" s="48" t="s">
        <v>623</v>
      </c>
      <c r="P53" s="21">
        <v>0.64710000000000001</v>
      </c>
      <c r="Q53" s="21">
        <f t="shared" ref="Q53" si="44">P53*N53</f>
        <v>13.5891</v>
      </c>
      <c r="R53" s="20"/>
    </row>
    <row r="54" spans="1:18" ht="60" x14ac:dyDescent="0.25">
      <c r="A54" s="1"/>
      <c r="B54" s="16">
        <f>ROW(B54) - ROW($B$7)</f>
        <v>47</v>
      </c>
      <c r="C54" s="22" t="s">
        <v>15</v>
      </c>
      <c r="D54" s="14" t="s">
        <v>78</v>
      </c>
      <c r="E54" s="14" t="s">
        <v>191</v>
      </c>
      <c r="F54" s="20" t="s">
        <v>622</v>
      </c>
      <c r="G54" s="14" t="s">
        <v>284</v>
      </c>
      <c r="H54" s="14" t="s">
        <v>434</v>
      </c>
      <c r="I54" s="42" t="s">
        <v>629</v>
      </c>
      <c r="J54" s="14" t="s">
        <v>498</v>
      </c>
      <c r="K54" s="45" t="s">
        <v>484</v>
      </c>
      <c r="L54" s="14">
        <v>1</v>
      </c>
      <c r="M54" s="14">
        <f>L54*5</f>
        <v>5</v>
      </c>
      <c r="N54" s="20">
        <v>10</v>
      </c>
      <c r="O54" s="48" t="s">
        <v>623</v>
      </c>
      <c r="P54" s="21">
        <v>0.1066</v>
      </c>
      <c r="Q54" s="15">
        <f>P54*N54</f>
        <v>1.0660000000000001</v>
      </c>
      <c r="R54" s="14"/>
    </row>
    <row r="55" spans="1:18" ht="24" x14ac:dyDescent="0.25">
      <c r="A55" s="1"/>
      <c r="B55" s="17">
        <f t="shared" si="0"/>
        <v>48</v>
      </c>
      <c r="C55" s="22" t="s">
        <v>15</v>
      </c>
      <c r="D55" s="20" t="s">
        <v>79</v>
      </c>
      <c r="E55" s="20" t="s">
        <v>192</v>
      </c>
      <c r="F55" s="20" t="s">
        <v>622</v>
      </c>
      <c r="G55" s="20" t="s">
        <v>285</v>
      </c>
      <c r="H55" s="20" t="s">
        <v>435</v>
      </c>
      <c r="I55" s="42" t="s">
        <v>629</v>
      </c>
      <c r="J55" s="20" t="s">
        <v>638</v>
      </c>
      <c r="K55" s="45" t="s">
        <v>484</v>
      </c>
      <c r="L55" s="20">
        <v>1</v>
      </c>
      <c r="M55" s="20">
        <f t="shared" ref="M55" si="45">L55*5</f>
        <v>5</v>
      </c>
      <c r="N55" s="20">
        <v>10</v>
      </c>
      <c r="O55" s="48" t="s">
        <v>623</v>
      </c>
      <c r="P55" s="21">
        <v>9.7199999999999995E-2</v>
      </c>
      <c r="Q55" s="21">
        <f t="shared" ref="Q55" si="46">P55*N55</f>
        <v>0.97199999999999998</v>
      </c>
      <c r="R55" s="20"/>
    </row>
    <row r="56" spans="1:18" x14ac:dyDescent="0.25">
      <c r="A56" s="1"/>
      <c r="B56" s="16">
        <f>ROW(B56) - ROW($B$7)</f>
        <v>49</v>
      </c>
      <c r="C56" s="22" t="s">
        <v>9</v>
      </c>
      <c r="D56" s="14" t="s">
        <v>80</v>
      </c>
      <c r="E56" s="14" t="s">
        <v>193</v>
      </c>
      <c r="F56" s="14" t="s">
        <v>274</v>
      </c>
      <c r="G56" s="14" t="s">
        <v>347</v>
      </c>
      <c r="H56" s="14" t="s">
        <v>412</v>
      </c>
      <c r="I56" s="42" t="s">
        <v>629</v>
      </c>
      <c r="J56" s="14" t="s">
        <v>499</v>
      </c>
      <c r="K56" s="45" t="s">
        <v>484</v>
      </c>
      <c r="L56" s="14">
        <v>5</v>
      </c>
      <c r="M56" s="14">
        <f>L56*5</f>
        <v>25</v>
      </c>
      <c r="N56" s="20">
        <v>100</v>
      </c>
      <c r="O56" s="48" t="s">
        <v>623</v>
      </c>
      <c r="P56" s="21">
        <v>3.3E-3</v>
      </c>
      <c r="Q56" s="15">
        <f>P56*N56</f>
        <v>0.33</v>
      </c>
      <c r="R56" s="14"/>
    </row>
    <row r="57" spans="1:18" ht="24" x14ac:dyDescent="0.25">
      <c r="A57" s="1"/>
      <c r="B57" s="17">
        <f t="shared" si="0"/>
        <v>50</v>
      </c>
      <c r="C57" s="23" t="s">
        <v>19</v>
      </c>
      <c r="D57" s="20" t="s">
        <v>81</v>
      </c>
      <c r="E57" s="20" t="s">
        <v>194</v>
      </c>
      <c r="F57" s="20" t="s">
        <v>622</v>
      </c>
      <c r="G57" s="20" t="s">
        <v>286</v>
      </c>
      <c r="H57" s="20" t="s">
        <v>436</v>
      </c>
      <c r="I57" s="42" t="s">
        <v>629</v>
      </c>
      <c r="J57" s="20" t="s">
        <v>500</v>
      </c>
      <c r="K57" s="45" t="s">
        <v>578</v>
      </c>
      <c r="L57" s="20">
        <v>1</v>
      </c>
      <c r="M57" s="20">
        <f t="shared" ref="M57" si="47">L57*5</f>
        <v>5</v>
      </c>
      <c r="N57" s="14">
        <v>10</v>
      </c>
      <c r="O57" s="48" t="s">
        <v>623</v>
      </c>
      <c r="P57" s="15">
        <v>0.2757</v>
      </c>
      <c r="Q57" s="21">
        <f t="shared" ref="Q57" si="48">P57*N57</f>
        <v>2.7570000000000001</v>
      </c>
      <c r="R57" s="20"/>
    </row>
    <row r="58" spans="1:18" x14ac:dyDescent="0.25">
      <c r="A58" s="1"/>
      <c r="B58" s="16">
        <f>ROW(B58) - ROW($B$7)</f>
        <v>51</v>
      </c>
      <c r="C58" s="22" t="s">
        <v>19</v>
      </c>
      <c r="D58" s="47" t="s">
        <v>82</v>
      </c>
      <c r="E58" s="49" t="s">
        <v>195</v>
      </c>
      <c r="F58" s="50" t="s">
        <v>622</v>
      </c>
      <c r="G58" s="47" t="s">
        <v>348</v>
      </c>
      <c r="H58" s="47" t="s">
        <v>410</v>
      </c>
      <c r="I58" s="43" t="s">
        <v>629</v>
      </c>
      <c r="J58" s="47" t="s">
        <v>501</v>
      </c>
      <c r="K58" s="47" t="s">
        <v>561</v>
      </c>
      <c r="L58" s="47">
        <v>4</v>
      </c>
      <c r="M58" s="47">
        <f>L58*5</f>
        <v>20</v>
      </c>
      <c r="N58" s="51" t="s">
        <v>484</v>
      </c>
      <c r="O58" s="47" t="s">
        <v>623</v>
      </c>
      <c r="P58" s="51" t="s">
        <v>484</v>
      </c>
      <c r="Q58" s="51" t="s">
        <v>484</v>
      </c>
      <c r="R58" s="52" t="s">
        <v>624</v>
      </c>
    </row>
    <row r="59" spans="1:18" ht="24" x14ac:dyDescent="0.25">
      <c r="A59" s="1"/>
      <c r="B59" s="17">
        <f t="shared" si="0"/>
        <v>52</v>
      </c>
      <c r="C59" s="23" t="s">
        <v>20</v>
      </c>
      <c r="D59" s="20" t="s">
        <v>83</v>
      </c>
      <c r="E59" s="20" t="s">
        <v>196</v>
      </c>
      <c r="F59" s="20" t="s">
        <v>287</v>
      </c>
      <c r="G59" s="20" t="s">
        <v>349</v>
      </c>
      <c r="H59" s="20" t="s">
        <v>437</v>
      </c>
      <c r="I59" s="42" t="s">
        <v>629</v>
      </c>
      <c r="J59" s="20" t="s">
        <v>502</v>
      </c>
      <c r="K59" s="45" t="s">
        <v>484</v>
      </c>
      <c r="L59" s="20">
        <v>4</v>
      </c>
      <c r="M59" s="20">
        <f t="shared" ref="M59" si="49">L59*5</f>
        <v>20</v>
      </c>
      <c r="N59" s="14">
        <v>40</v>
      </c>
      <c r="O59" s="48" t="s">
        <v>623</v>
      </c>
      <c r="P59" s="15">
        <v>2.2700000000000001E-2</v>
      </c>
      <c r="Q59" s="21">
        <f t="shared" ref="Q59" si="50">P59*N59</f>
        <v>0.90800000000000003</v>
      </c>
      <c r="R59" s="20"/>
    </row>
    <row r="60" spans="1:18" ht="72" x14ac:dyDescent="0.25">
      <c r="A60" s="1"/>
      <c r="B60" s="16">
        <f>ROW(B60) - ROW($B$7)</f>
        <v>53</v>
      </c>
      <c r="C60" s="22" t="s">
        <v>20</v>
      </c>
      <c r="D60" s="14" t="s">
        <v>84</v>
      </c>
      <c r="E60" s="14" t="s">
        <v>197</v>
      </c>
      <c r="F60" s="14" t="s">
        <v>287</v>
      </c>
      <c r="G60" s="14" t="s">
        <v>350</v>
      </c>
      <c r="H60" s="14" t="s">
        <v>437</v>
      </c>
      <c r="I60" s="42" t="s">
        <v>629</v>
      </c>
      <c r="J60" s="14" t="s">
        <v>503</v>
      </c>
      <c r="K60" s="45" t="s">
        <v>484</v>
      </c>
      <c r="L60" s="14">
        <v>24</v>
      </c>
      <c r="M60" s="14">
        <f>L60*5</f>
        <v>120</v>
      </c>
      <c r="N60" s="14">
        <v>140</v>
      </c>
      <c r="O60" s="48" t="s">
        <v>623</v>
      </c>
      <c r="P60" s="15">
        <v>3.0599999999999999E-2</v>
      </c>
      <c r="Q60" s="15">
        <f>P60*N60</f>
        <v>4.2839999999999998</v>
      </c>
      <c r="R60" s="14"/>
    </row>
    <row r="61" spans="1:18" ht="24" x14ac:dyDescent="0.25">
      <c r="A61" s="1"/>
      <c r="B61" s="17">
        <f t="shared" si="0"/>
        <v>54</v>
      </c>
      <c r="C61" s="23" t="s">
        <v>20</v>
      </c>
      <c r="D61" s="20" t="s">
        <v>85</v>
      </c>
      <c r="E61" s="20" t="s">
        <v>198</v>
      </c>
      <c r="F61" s="20" t="s">
        <v>287</v>
      </c>
      <c r="G61" s="20" t="s">
        <v>351</v>
      </c>
      <c r="H61" s="20" t="s">
        <v>437</v>
      </c>
      <c r="I61" s="42" t="s">
        <v>629</v>
      </c>
      <c r="J61" s="20" t="s">
        <v>504</v>
      </c>
      <c r="K61" s="45" t="s">
        <v>484</v>
      </c>
      <c r="L61" s="20">
        <v>1</v>
      </c>
      <c r="M61" s="20">
        <f t="shared" ref="M61" si="51">L61*5</f>
        <v>5</v>
      </c>
      <c r="N61" s="20">
        <v>20</v>
      </c>
      <c r="O61" s="48" t="s">
        <v>623</v>
      </c>
      <c r="P61" s="21">
        <v>2.3400000000000001E-2</v>
      </c>
      <c r="Q61" s="21">
        <f t="shared" ref="Q61" si="52">P61*N61</f>
        <v>0.46800000000000003</v>
      </c>
      <c r="R61" s="20"/>
    </row>
    <row r="62" spans="1:18" ht="48" x14ac:dyDescent="0.25">
      <c r="A62" s="1"/>
      <c r="B62" s="16">
        <f>ROW(B62) - ROW($B$7)</f>
        <v>55</v>
      </c>
      <c r="C62" s="22" t="s">
        <v>21</v>
      </c>
      <c r="D62" s="14" t="s">
        <v>86</v>
      </c>
      <c r="E62" s="14" t="s">
        <v>199</v>
      </c>
      <c r="F62" s="14" t="s">
        <v>288</v>
      </c>
      <c r="G62" s="14" t="s">
        <v>352</v>
      </c>
      <c r="H62" s="14" t="s">
        <v>438</v>
      </c>
      <c r="I62" s="42" t="s">
        <v>629</v>
      </c>
      <c r="J62" s="14" t="s">
        <v>505</v>
      </c>
      <c r="K62" s="45" t="s">
        <v>484</v>
      </c>
      <c r="L62" s="14">
        <v>24</v>
      </c>
      <c r="M62" s="14">
        <f>L62*5</f>
        <v>120</v>
      </c>
      <c r="N62" s="14">
        <v>121</v>
      </c>
      <c r="O62" s="48" t="s">
        <v>623</v>
      </c>
      <c r="P62" s="15">
        <v>0.81200000000000006</v>
      </c>
      <c r="Q62" s="15">
        <f>P62*N62</f>
        <v>98.25200000000001</v>
      </c>
      <c r="R62" s="14"/>
    </row>
    <row r="63" spans="1:18" x14ac:dyDescent="0.25">
      <c r="A63" s="1"/>
      <c r="B63" s="17">
        <f t="shared" si="0"/>
        <v>56</v>
      </c>
      <c r="C63" s="23" t="s">
        <v>21</v>
      </c>
      <c r="D63" s="20" t="s">
        <v>87</v>
      </c>
      <c r="E63" s="20" t="s">
        <v>200</v>
      </c>
      <c r="F63" s="20" t="s">
        <v>289</v>
      </c>
      <c r="G63" s="20" t="s">
        <v>353</v>
      </c>
      <c r="H63" s="20" t="s">
        <v>439</v>
      </c>
      <c r="I63" s="42" t="s">
        <v>629</v>
      </c>
      <c r="J63" s="20" t="s">
        <v>506</v>
      </c>
      <c r="K63" s="45" t="s">
        <v>484</v>
      </c>
      <c r="L63" s="20">
        <v>4</v>
      </c>
      <c r="M63" s="20">
        <f t="shared" ref="M63" si="53">L63*5</f>
        <v>20</v>
      </c>
      <c r="N63" s="20">
        <v>40</v>
      </c>
      <c r="O63" s="48" t="s">
        <v>623</v>
      </c>
      <c r="P63" s="21">
        <v>2.7900000000000001E-2</v>
      </c>
      <c r="Q63" s="21">
        <f t="shared" ref="Q63" si="54">P63*N63</f>
        <v>1.1160000000000001</v>
      </c>
      <c r="R63" s="20"/>
    </row>
    <row r="64" spans="1:18" ht="24" x14ac:dyDescent="0.25">
      <c r="A64" s="1"/>
      <c r="B64" s="16">
        <f>ROW(B64) - ROW($B$7)</f>
        <v>57</v>
      </c>
      <c r="C64" s="22" t="s">
        <v>22</v>
      </c>
      <c r="D64" s="14" t="s">
        <v>88</v>
      </c>
      <c r="E64" s="14" t="s">
        <v>201</v>
      </c>
      <c r="F64" s="14" t="s">
        <v>290</v>
      </c>
      <c r="G64" s="14" t="s">
        <v>354</v>
      </c>
      <c r="H64" s="14" t="s">
        <v>418</v>
      </c>
      <c r="I64" s="42" t="s">
        <v>629</v>
      </c>
      <c r="J64" s="14" t="s">
        <v>507</v>
      </c>
      <c r="K64" s="45" t="s">
        <v>484</v>
      </c>
      <c r="L64" s="14">
        <v>8</v>
      </c>
      <c r="M64" s="14">
        <f>L64*5</f>
        <v>40</v>
      </c>
      <c r="N64" s="14">
        <v>45</v>
      </c>
      <c r="O64" s="48" t="s">
        <v>623</v>
      </c>
      <c r="P64" s="15">
        <v>0.28039999999999998</v>
      </c>
      <c r="Q64" s="15">
        <f>P64*N64</f>
        <v>12.617999999999999</v>
      </c>
      <c r="R64" s="14"/>
    </row>
    <row r="65" spans="1:18" x14ac:dyDescent="0.25">
      <c r="A65" s="1"/>
      <c r="B65" s="17">
        <f t="shared" si="0"/>
        <v>58</v>
      </c>
      <c r="C65" s="23" t="s">
        <v>23</v>
      </c>
      <c r="D65" s="20" t="s">
        <v>89</v>
      </c>
      <c r="E65" s="20" t="s">
        <v>202</v>
      </c>
      <c r="F65" s="20" t="s">
        <v>291</v>
      </c>
      <c r="G65" s="20" t="s">
        <v>355</v>
      </c>
      <c r="H65" s="20" t="s">
        <v>409</v>
      </c>
      <c r="I65" s="42" t="s">
        <v>629</v>
      </c>
      <c r="J65" s="20" t="s">
        <v>508</v>
      </c>
      <c r="K65" s="45" t="s">
        <v>579</v>
      </c>
      <c r="L65" s="20">
        <v>2</v>
      </c>
      <c r="M65" s="20">
        <f t="shared" ref="M65" si="55">L65*5</f>
        <v>10</v>
      </c>
      <c r="N65" s="14">
        <v>100</v>
      </c>
      <c r="O65" s="48" t="s">
        <v>623</v>
      </c>
      <c r="P65" s="15">
        <v>6.9999999999999999E-4</v>
      </c>
      <c r="Q65" s="21">
        <f t="shared" ref="Q65" si="56">P65*N65</f>
        <v>6.9999999999999993E-2</v>
      </c>
      <c r="R65" s="20"/>
    </row>
    <row r="66" spans="1:18" ht="24" x14ac:dyDescent="0.25">
      <c r="A66" s="1"/>
      <c r="B66" s="16">
        <f>ROW(B66) - ROW($B$7)</f>
        <v>59</v>
      </c>
      <c r="C66" s="23" t="s">
        <v>23</v>
      </c>
      <c r="D66" s="14" t="s">
        <v>90</v>
      </c>
      <c r="E66" s="14" t="s">
        <v>203</v>
      </c>
      <c r="F66" s="14" t="s">
        <v>291</v>
      </c>
      <c r="G66" s="14" t="s">
        <v>356</v>
      </c>
      <c r="H66" s="14" t="s">
        <v>409</v>
      </c>
      <c r="I66" s="42" t="s">
        <v>629</v>
      </c>
      <c r="J66" s="14" t="s">
        <v>509</v>
      </c>
      <c r="K66" s="44" t="s">
        <v>580</v>
      </c>
      <c r="L66" s="14">
        <v>9</v>
      </c>
      <c r="M66" s="14">
        <f>L66*5</f>
        <v>45</v>
      </c>
      <c r="N66" s="20">
        <v>100</v>
      </c>
      <c r="O66" s="48" t="s">
        <v>623</v>
      </c>
      <c r="P66" s="21">
        <v>2.8E-3</v>
      </c>
      <c r="Q66" s="15">
        <f>P66*N66</f>
        <v>0.27999999999999997</v>
      </c>
      <c r="R66" s="14"/>
    </row>
    <row r="67" spans="1:18" ht="24" x14ac:dyDescent="0.25">
      <c r="A67" s="1"/>
      <c r="B67" s="17">
        <f t="shared" si="0"/>
        <v>60</v>
      </c>
      <c r="C67" s="23" t="s">
        <v>23</v>
      </c>
      <c r="D67" s="47" t="s">
        <v>91</v>
      </c>
      <c r="E67" s="49" t="s">
        <v>204</v>
      </c>
      <c r="F67" s="50" t="s">
        <v>292</v>
      </c>
      <c r="G67" s="47" t="s">
        <v>357</v>
      </c>
      <c r="H67" s="47" t="s">
        <v>409</v>
      </c>
      <c r="I67" s="43" t="s">
        <v>629</v>
      </c>
      <c r="J67" s="47" t="s">
        <v>510</v>
      </c>
      <c r="K67" s="47" t="s">
        <v>561</v>
      </c>
      <c r="L67" s="47">
        <v>10</v>
      </c>
      <c r="M67" s="47">
        <f t="shared" ref="M67" si="57">L67*5</f>
        <v>50</v>
      </c>
      <c r="N67" s="51" t="s">
        <v>484</v>
      </c>
      <c r="O67" s="47" t="s">
        <v>623</v>
      </c>
      <c r="P67" s="51" t="s">
        <v>484</v>
      </c>
      <c r="Q67" s="51" t="s">
        <v>484</v>
      </c>
      <c r="R67" s="52" t="s">
        <v>624</v>
      </c>
    </row>
    <row r="68" spans="1:18" ht="180" x14ac:dyDescent="0.25">
      <c r="A68" s="1"/>
      <c r="B68" s="16">
        <f>ROW(B68) - ROW($B$7)</f>
        <v>61</v>
      </c>
      <c r="C68" s="23" t="s">
        <v>23</v>
      </c>
      <c r="D68" s="14" t="s">
        <v>92</v>
      </c>
      <c r="E68" s="14" t="s">
        <v>204</v>
      </c>
      <c r="F68" s="14" t="s">
        <v>292</v>
      </c>
      <c r="G68" s="14" t="s">
        <v>357</v>
      </c>
      <c r="H68" s="14" t="s">
        <v>409</v>
      </c>
      <c r="I68" s="42" t="s">
        <v>629</v>
      </c>
      <c r="J68" s="14" t="s">
        <v>510</v>
      </c>
      <c r="K68" s="44" t="s">
        <v>581</v>
      </c>
      <c r="L68" s="14">
        <v>79</v>
      </c>
      <c r="M68" s="14">
        <f>L68*5</f>
        <v>395</v>
      </c>
      <c r="N68" s="14">
        <v>400</v>
      </c>
      <c r="O68" s="48" t="s">
        <v>623</v>
      </c>
      <c r="P68" s="15">
        <v>1E-3</v>
      </c>
      <c r="Q68" s="15">
        <f>P68*N68</f>
        <v>0.4</v>
      </c>
      <c r="R68" s="14"/>
    </row>
    <row r="69" spans="1:18" ht="36" x14ac:dyDescent="0.25">
      <c r="A69" s="1"/>
      <c r="B69" s="17">
        <f t="shared" si="0"/>
        <v>62</v>
      </c>
      <c r="C69" s="23" t="s">
        <v>23</v>
      </c>
      <c r="D69" s="20" t="s">
        <v>93</v>
      </c>
      <c r="E69" s="20" t="s">
        <v>205</v>
      </c>
      <c r="F69" s="20" t="s">
        <v>291</v>
      </c>
      <c r="G69" s="20" t="s">
        <v>358</v>
      </c>
      <c r="H69" s="20" t="s">
        <v>440</v>
      </c>
      <c r="I69" s="42" t="s">
        <v>629</v>
      </c>
      <c r="J69" s="20" t="s">
        <v>511</v>
      </c>
      <c r="K69" s="45" t="s">
        <v>582</v>
      </c>
      <c r="L69" s="20">
        <v>1</v>
      </c>
      <c r="M69" s="20">
        <f t="shared" ref="M69" si="58">L69*5</f>
        <v>5</v>
      </c>
      <c r="N69" s="14">
        <v>100</v>
      </c>
      <c r="O69" s="48" t="s">
        <v>623</v>
      </c>
      <c r="P69" s="15">
        <v>4.0000000000000002E-4</v>
      </c>
      <c r="Q69" s="21">
        <f t="shared" ref="Q69" si="59">P69*N69</f>
        <v>0.04</v>
      </c>
      <c r="R69" s="20"/>
    </row>
    <row r="70" spans="1:18" x14ac:dyDescent="0.25">
      <c r="A70" s="1"/>
      <c r="B70" s="16">
        <f>ROW(B70) - ROW($B$7)</f>
        <v>63</v>
      </c>
      <c r="C70" s="23" t="s">
        <v>23</v>
      </c>
      <c r="D70" s="14" t="s">
        <v>94</v>
      </c>
      <c r="E70" s="14" t="s">
        <v>206</v>
      </c>
      <c r="F70" s="14" t="s">
        <v>291</v>
      </c>
      <c r="G70" s="14" t="s">
        <v>359</v>
      </c>
      <c r="H70" s="14" t="s">
        <v>409</v>
      </c>
      <c r="I70" s="42" t="s">
        <v>629</v>
      </c>
      <c r="J70" s="14" t="s">
        <v>512</v>
      </c>
      <c r="K70" s="44" t="s">
        <v>583</v>
      </c>
      <c r="L70" s="14">
        <v>1</v>
      </c>
      <c r="M70" s="14">
        <f>L70*5</f>
        <v>5</v>
      </c>
      <c r="N70" s="20">
        <v>20</v>
      </c>
      <c r="O70" s="48" t="s">
        <v>623</v>
      </c>
      <c r="P70" s="21">
        <v>2.1499999999999998E-2</v>
      </c>
      <c r="Q70" s="15">
        <f>P70*N70</f>
        <v>0.42999999999999994</v>
      </c>
      <c r="R70" s="14"/>
    </row>
    <row r="71" spans="1:18" ht="84" x14ac:dyDescent="0.25">
      <c r="A71" s="1"/>
      <c r="B71" s="17">
        <f t="shared" si="0"/>
        <v>64</v>
      </c>
      <c r="C71" s="23" t="s">
        <v>23</v>
      </c>
      <c r="D71" s="20" t="s">
        <v>95</v>
      </c>
      <c r="E71" s="20" t="s">
        <v>207</v>
      </c>
      <c r="F71" s="20" t="s">
        <v>291</v>
      </c>
      <c r="G71" s="20" t="s">
        <v>360</v>
      </c>
      <c r="H71" s="20" t="s">
        <v>409</v>
      </c>
      <c r="I71" s="42" t="s">
        <v>629</v>
      </c>
      <c r="J71" s="20" t="s">
        <v>513</v>
      </c>
      <c r="K71" s="45" t="s">
        <v>584</v>
      </c>
      <c r="L71" s="20">
        <v>36</v>
      </c>
      <c r="M71" s="20">
        <f t="shared" ref="M71" si="60">L71*5</f>
        <v>180</v>
      </c>
      <c r="N71" s="14">
        <v>200</v>
      </c>
      <c r="O71" s="48" t="s">
        <v>623</v>
      </c>
      <c r="P71" s="15">
        <v>5.0000000000000001E-4</v>
      </c>
      <c r="Q71" s="21">
        <f t="shared" ref="Q71" si="61">P71*N71</f>
        <v>0.1</v>
      </c>
      <c r="R71" s="20"/>
    </row>
    <row r="72" spans="1:18" ht="36" x14ac:dyDescent="0.25">
      <c r="A72" s="1"/>
      <c r="B72" s="16">
        <f>ROW(B72) - ROW($B$7)</f>
        <v>65</v>
      </c>
      <c r="C72" s="23" t="s">
        <v>23</v>
      </c>
      <c r="D72" s="14" t="s">
        <v>96</v>
      </c>
      <c r="E72" s="14" t="s">
        <v>208</v>
      </c>
      <c r="F72" s="14" t="s">
        <v>291</v>
      </c>
      <c r="G72" s="14" t="s">
        <v>361</v>
      </c>
      <c r="H72" s="14" t="s">
        <v>441</v>
      </c>
      <c r="I72" s="42" t="s">
        <v>629</v>
      </c>
      <c r="J72" s="14" t="s">
        <v>514</v>
      </c>
      <c r="K72" s="44" t="s">
        <v>585</v>
      </c>
      <c r="L72" s="14">
        <v>1</v>
      </c>
      <c r="M72" s="14">
        <f>L72*5</f>
        <v>5</v>
      </c>
      <c r="N72" s="20">
        <v>100</v>
      </c>
      <c r="O72" s="48" t="s">
        <v>623</v>
      </c>
      <c r="P72" s="21">
        <v>1E-3</v>
      </c>
      <c r="Q72" s="15">
        <f>P72*N72</f>
        <v>0.1</v>
      </c>
      <c r="R72" s="14"/>
    </row>
    <row r="73" spans="1:18" ht="36" x14ac:dyDescent="0.25">
      <c r="A73" s="1"/>
      <c r="B73" s="17">
        <f t="shared" si="0"/>
        <v>66</v>
      </c>
      <c r="C73" s="23" t="s">
        <v>23</v>
      </c>
      <c r="D73" s="20" t="s">
        <v>97</v>
      </c>
      <c r="E73" s="20" t="s">
        <v>209</v>
      </c>
      <c r="F73" s="20" t="s">
        <v>291</v>
      </c>
      <c r="G73" s="20" t="s">
        <v>362</v>
      </c>
      <c r="H73" s="20" t="s">
        <v>442</v>
      </c>
      <c r="I73" s="42" t="s">
        <v>629</v>
      </c>
      <c r="J73" s="20" t="s">
        <v>515</v>
      </c>
      <c r="K73" s="45" t="s">
        <v>586</v>
      </c>
      <c r="L73" s="20">
        <v>1</v>
      </c>
      <c r="M73" s="20">
        <f t="shared" ref="M73" si="62">L73*5</f>
        <v>5</v>
      </c>
      <c r="N73" s="14">
        <v>100</v>
      </c>
      <c r="O73" s="48" t="s">
        <v>623</v>
      </c>
      <c r="P73" s="15">
        <v>5.0000000000000001E-4</v>
      </c>
      <c r="Q73" s="21">
        <f t="shared" ref="Q73" si="63">P73*N73</f>
        <v>0.05</v>
      </c>
      <c r="R73" s="20"/>
    </row>
    <row r="74" spans="1:18" x14ac:dyDescent="0.25">
      <c r="A74" s="1"/>
      <c r="B74" s="16">
        <f>ROW(B74) - ROW($B$7)</f>
        <v>67</v>
      </c>
      <c r="C74" s="23" t="s">
        <v>23</v>
      </c>
      <c r="D74" s="14" t="s">
        <v>98</v>
      </c>
      <c r="E74" s="14" t="s">
        <v>210</v>
      </c>
      <c r="F74" s="14" t="s">
        <v>291</v>
      </c>
      <c r="G74" s="14" t="s">
        <v>363</v>
      </c>
      <c r="H74" s="14" t="s">
        <v>409</v>
      </c>
      <c r="I74" s="42" t="s">
        <v>629</v>
      </c>
      <c r="J74" s="14" t="s">
        <v>516</v>
      </c>
      <c r="K74" s="44" t="s">
        <v>587</v>
      </c>
      <c r="L74" s="14">
        <v>5</v>
      </c>
      <c r="M74" s="14">
        <f>L74*5</f>
        <v>25</v>
      </c>
      <c r="N74" s="20">
        <v>100</v>
      </c>
      <c r="O74" s="48" t="s">
        <v>623</v>
      </c>
      <c r="P74" s="21">
        <v>5.9999999999999995E-4</v>
      </c>
      <c r="Q74" s="15">
        <f>P74*N74</f>
        <v>0.06</v>
      </c>
      <c r="R74" s="14"/>
    </row>
    <row r="75" spans="1:18" x14ac:dyDescent="0.25">
      <c r="A75" s="1"/>
      <c r="B75" s="17">
        <f t="shared" si="0"/>
        <v>68</v>
      </c>
      <c r="C75" s="23" t="s">
        <v>23</v>
      </c>
      <c r="D75" s="20" t="s">
        <v>99</v>
      </c>
      <c r="E75" s="20" t="s">
        <v>211</v>
      </c>
      <c r="F75" s="20" t="s">
        <v>291</v>
      </c>
      <c r="G75" s="20" t="s">
        <v>364</v>
      </c>
      <c r="H75" s="20" t="s">
        <v>409</v>
      </c>
      <c r="I75" s="42" t="s">
        <v>629</v>
      </c>
      <c r="J75" s="20" t="s">
        <v>517</v>
      </c>
      <c r="K75" s="45" t="s">
        <v>588</v>
      </c>
      <c r="L75" s="20">
        <v>1</v>
      </c>
      <c r="M75" s="20">
        <f t="shared" ref="M75" si="64">L75*5</f>
        <v>5</v>
      </c>
      <c r="N75" s="14">
        <v>100</v>
      </c>
      <c r="O75" s="48" t="s">
        <v>623</v>
      </c>
      <c r="P75" s="15">
        <v>6.9999999999999999E-4</v>
      </c>
      <c r="Q75" s="21">
        <f t="shared" ref="Q75" si="65">P75*N75</f>
        <v>6.9999999999999993E-2</v>
      </c>
      <c r="R75" s="20"/>
    </row>
    <row r="76" spans="1:18" x14ac:dyDescent="0.25">
      <c r="A76" s="1"/>
      <c r="B76" s="16">
        <f>ROW(B76) - ROW($B$7)</f>
        <v>69</v>
      </c>
      <c r="C76" s="23" t="s">
        <v>23</v>
      </c>
      <c r="D76" s="14" t="s">
        <v>100</v>
      </c>
      <c r="E76" s="14" t="s">
        <v>212</v>
      </c>
      <c r="F76" s="14" t="s">
        <v>291</v>
      </c>
      <c r="G76" s="14" t="s">
        <v>365</v>
      </c>
      <c r="H76" s="14" t="s">
        <v>409</v>
      </c>
      <c r="I76" s="42" t="s">
        <v>629</v>
      </c>
      <c r="J76" s="14" t="s">
        <v>518</v>
      </c>
      <c r="K76" s="44" t="s">
        <v>589</v>
      </c>
      <c r="L76" s="14">
        <v>3</v>
      </c>
      <c r="M76" s="14">
        <f>L76*5</f>
        <v>15</v>
      </c>
      <c r="N76" s="14">
        <v>100</v>
      </c>
      <c r="O76" s="48" t="s">
        <v>623</v>
      </c>
      <c r="P76" s="15">
        <v>5.9999999999999995E-4</v>
      </c>
      <c r="Q76" s="15">
        <f>P76*N76</f>
        <v>0.06</v>
      </c>
      <c r="R76" s="14"/>
    </row>
    <row r="77" spans="1:18" x14ac:dyDescent="0.25">
      <c r="A77" s="1"/>
      <c r="B77" s="17">
        <f t="shared" si="0"/>
        <v>70</v>
      </c>
      <c r="C77" s="23" t="s">
        <v>23</v>
      </c>
      <c r="D77" s="20" t="s">
        <v>101</v>
      </c>
      <c r="E77" s="20" t="s">
        <v>213</v>
      </c>
      <c r="F77" s="20" t="s">
        <v>291</v>
      </c>
      <c r="G77" s="20" t="s">
        <v>366</v>
      </c>
      <c r="H77" s="20" t="s">
        <v>443</v>
      </c>
      <c r="I77" s="42" t="s">
        <v>629</v>
      </c>
      <c r="J77" s="20" t="s">
        <v>519</v>
      </c>
      <c r="K77" s="45" t="s">
        <v>590</v>
      </c>
      <c r="L77" s="20">
        <v>1</v>
      </c>
      <c r="M77" s="20">
        <f t="shared" ref="M77" si="66">L77*5</f>
        <v>5</v>
      </c>
      <c r="N77" s="20">
        <v>100</v>
      </c>
      <c r="O77" s="48" t="s">
        <v>623</v>
      </c>
      <c r="P77" s="21">
        <v>6.9999999999999999E-4</v>
      </c>
      <c r="Q77" s="21">
        <f t="shared" ref="Q77" si="67">P77*N77</f>
        <v>6.9999999999999993E-2</v>
      </c>
      <c r="R77" s="20"/>
    </row>
    <row r="78" spans="1:18" ht="36" x14ac:dyDescent="0.25">
      <c r="A78" s="1"/>
      <c r="B78" s="16">
        <f>ROW(B78) - ROW($B$7)</f>
        <v>71</v>
      </c>
      <c r="C78" s="23" t="s">
        <v>23</v>
      </c>
      <c r="D78" s="14" t="s">
        <v>102</v>
      </c>
      <c r="E78" s="14" t="s">
        <v>214</v>
      </c>
      <c r="F78" s="14" t="s">
        <v>292</v>
      </c>
      <c r="G78" s="14" t="s">
        <v>367</v>
      </c>
      <c r="H78" s="14"/>
      <c r="I78" s="42" t="s">
        <v>629</v>
      </c>
      <c r="J78" s="14" t="s">
        <v>520</v>
      </c>
      <c r="K78" s="44" t="s">
        <v>591</v>
      </c>
      <c r="L78" s="14">
        <v>2</v>
      </c>
      <c r="M78" s="14">
        <f>L78*5</f>
        <v>10</v>
      </c>
      <c r="N78" s="14">
        <v>100</v>
      </c>
      <c r="O78" s="48" t="s">
        <v>623</v>
      </c>
      <c r="P78" s="15">
        <v>5.9999999999999995E-4</v>
      </c>
      <c r="Q78" s="15">
        <f>P78*N78</f>
        <v>0.06</v>
      </c>
      <c r="R78" s="14"/>
    </row>
    <row r="79" spans="1:18" x14ac:dyDescent="0.25">
      <c r="A79" s="1"/>
      <c r="B79" s="17">
        <f t="shared" si="0"/>
        <v>72</v>
      </c>
      <c r="C79" s="23" t="s">
        <v>23</v>
      </c>
      <c r="D79" s="20" t="s">
        <v>103</v>
      </c>
      <c r="E79" s="20" t="s">
        <v>215</v>
      </c>
      <c r="F79" s="20" t="s">
        <v>291</v>
      </c>
      <c r="G79" s="20" t="s">
        <v>368</v>
      </c>
      <c r="H79" s="20" t="s">
        <v>409</v>
      </c>
      <c r="I79" s="42" t="s">
        <v>629</v>
      </c>
      <c r="J79" s="20" t="s">
        <v>521</v>
      </c>
      <c r="K79" s="45" t="s">
        <v>592</v>
      </c>
      <c r="L79" s="20">
        <v>1</v>
      </c>
      <c r="M79" s="20">
        <f t="shared" ref="M79" si="68">L79*5</f>
        <v>5</v>
      </c>
      <c r="N79" s="20">
        <v>100</v>
      </c>
      <c r="O79" s="48" t="s">
        <v>623</v>
      </c>
      <c r="P79" s="21">
        <v>5.9999999999999995E-4</v>
      </c>
      <c r="Q79" s="21">
        <f t="shared" ref="Q79" si="69">P79*N79</f>
        <v>0.06</v>
      </c>
      <c r="R79" s="20"/>
    </row>
    <row r="80" spans="1:18" ht="36" x14ac:dyDescent="0.25">
      <c r="A80" s="1"/>
      <c r="B80" s="16">
        <f>ROW(B80) - ROW($B$7)</f>
        <v>73</v>
      </c>
      <c r="C80" s="23" t="s">
        <v>23</v>
      </c>
      <c r="D80" s="14" t="s">
        <v>104</v>
      </c>
      <c r="E80" s="14" t="s">
        <v>216</v>
      </c>
      <c r="F80" s="14" t="s">
        <v>291</v>
      </c>
      <c r="G80" s="14" t="s">
        <v>369</v>
      </c>
      <c r="H80" s="14" t="s">
        <v>409</v>
      </c>
      <c r="I80" s="42" t="s">
        <v>629</v>
      </c>
      <c r="J80" s="14" t="s">
        <v>522</v>
      </c>
      <c r="K80" s="44" t="s">
        <v>593</v>
      </c>
      <c r="L80" s="14">
        <v>15</v>
      </c>
      <c r="M80" s="14">
        <f>L80*5</f>
        <v>75</v>
      </c>
      <c r="N80" s="14">
        <v>100</v>
      </c>
      <c r="O80" s="48" t="s">
        <v>623</v>
      </c>
      <c r="P80" s="15">
        <v>6.9999999999999999E-4</v>
      </c>
      <c r="Q80" s="15">
        <f>P80*N80</f>
        <v>6.9999999999999993E-2</v>
      </c>
      <c r="R80" s="14"/>
    </row>
    <row r="81" spans="1:18" x14ac:dyDescent="0.25">
      <c r="A81" s="1"/>
      <c r="B81" s="17">
        <f t="shared" si="0"/>
        <v>74</v>
      </c>
      <c r="C81" s="23" t="s">
        <v>23</v>
      </c>
      <c r="D81" s="20" t="s">
        <v>105</v>
      </c>
      <c r="E81" s="20" t="s">
        <v>217</v>
      </c>
      <c r="F81" s="20" t="s">
        <v>293</v>
      </c>
      <c r="G81" s="20" t="s">
        <v>370</v>
      </c>
      <c r="H81" s="20" t="s">
        <v>409</v>
      </c>
      <c r="I81" s="42" t="s">
        <v>629</v>
      </c>
      <c r="J81" s="20" t="s">
        <v>523</v>
      </c>
      <c r="K81" s="45" t="s">
        <v>594</v>
      </c>
      <c r="L81" s="20">
        <v>4</v>
      </c>
      <c r="M81" s="20">
        <f t="shared" ref="M81" si="70">L81*5</f>
        <v>20</v>
      </c>
      <c r="N81" s="20">
        <v>100</v>
      </c>
      <c r="O81" s="48" t="s">
        <v>623</v>
      </c>
      <c r="P81" s="21">
        <v>8.9999999999999998E-4</v>
      </c>
      <c r="Q81" s="21">
        <f t="shared" ref="Q81" si="71">P81*N81</f>
        <v>0.09</v>
      </c>
      <c r="R81" s="20"/>
    </row>
    <row r="82" spans="1:18" x14ac:dyDescent="0.25">
      <c r="A82" s="1"/>
      <c r="B82" s="16">
        <f>ROW(B82) - ROW($B$7)</f>
        <v>75</v>
      </c>
      <c r="C82" s="23" t="s">
        <v>23</v>
      </c>
      <c r="D82" s="14" t="s">
        <v>106</v>
      </c>
      <c r="E82" s="14" t="s">
        <v>218</v>
      </c>
      <c r="F82" s="14" t="s">
        <v>292</v>
      </c>
      <c r="G82" s="14" t="s">
        <v>371</v>
      </c>
      <c r="H82" s="14" t="s">
        <v>409</v>
      </c>
      <c r="I82" s="42" t="s">
        <v>629</v>
      </c>
      <c r="J82" s="14" t="s">
        <v>524</v>
      </c>
      <c r="K82" s="44" t="s">
        <v>595</v>
      </c>
      <c r="L82" s="14">
        <v>1</v>
      </c>
      <c r="M82" s="14">
        <f>L82*5</f>
        <v>5</v>
      </c>
      <c r="N82" s="14">
        <v>100</v>
      </c>
      <c r="O82" s="48" t="s">
        <v>623</v>
      </c>
      <c r="P82" s="15">
        <v>1E-3</v>
      </c>
      <c r="Q82" s="15">
        <f>P82*N82</f>
        <v>0.1</v>
      </c>
      <c r="R82" s="14"/>
    </row>
    <row r="83" spans="1:18" ht="72" x14ac:dyDescent="0.25">
      <c r="A83" s="1"/>
      <c r="B83" s="17">
        <f t="shared" si="0"/>
        <v>76</v>
      </c>
      <c r="C83" s="23" t="s">
        <v>23</v>
      </c>
      <c r="D83" s="20" t="s">
        <v>107</v>
      </c>
      <c r="E83" s="20" t="s">
        <v>219</v>
      </c>
      <c r="F83" s="20" t="s">
        <v>291</v>
      </c>
      <c r="G83" s="20" t="s">
        <v>372</v>
      </c>
      <c r="H83" s="20" t="s">
        <v>409</v>
      </c>
      <c r="I83" s="42" t="s">
        <v>629</v>
      </c>
      <c r="J83" s="20" t="s">
        <v>525</v>
      </c>
      <c r="K83" s="45" t="s">
        <v>596</v>
      </c>
      <c r="L83" s="20">
        <v>32</v>
      </c>
      <c r="M83" s="20">
        <f t="shared" ref="M83" si="72">L83*5</f>
        <v>160</v>
      </c>
      <c r="N83" s="20">
        <v>200</v>
      </c>
      <c r="O83" s="48" t="s">
        <v>623</v>
      </c>
      <c r="P83" s="21">
        <v>6.9999999999999999E-4</v>
      </c>
      <c r="Q83" s="21">
        <f t="shared" ref="Q83" si="73">P83*N83</f>
        <v>0.13999999999999999</v>
      </c>
      <c r="R83" s="20"/>
    </row>
    <row r="84" spans="1:18" x14ac:dyDescent="0.25">
      <c r="A84" s="1"/>
      <c r="B84" s="16">
        <f>ROW(B84) - ROW($B$7)</f>
        <v>77</v>
      </c>
      <c r="C84" s="23" t="s">
        <v>23</v>
      </c>
      <c r="D84" s="14" t="s">
        <v>108</v>
      </c>
      <c r="E84" s="14" t="s">
        <v>220</v>
      </c>
      <c r="F84" s="14" t="s">
        <v>291</v>
      </c>
      <c r="G84" s="14" t="s">
        <v>373</v>
      </c>
      <c r="H84" s="14" t="s">
        <v>409</v>
      </c>
      <c r="I84" s="42" t="s">
        <v>629</v>
      </c>
      <c r="J84" s="14" t="s">
        <v>526</v>
      </c>
      <c r="K84" s="44" t="s">
        <v>594</v>
      </c>
      <c r="L84" s="14">
        <v>4</v>
      </c>
      <c r="M84" s="14">
        <f>L84*5</f>
        <v>20</v>
      </c>
      <c r="N84" s="14">
        <v>100</v>
      </c>
      <c r="O84" s="48" t="s">
        <v>623</v>
      </c>
      <c r="P84" s="15">
        <v>5.9999999999999995E-4</v>
      </c>
      <c r="Q84" s="15">
        <f>P84*N84</f>
        <v>0.06</v>
      </c>
      <c r="R84" s="14"/>
    </row>
    <row r="85" spans="1:18" x14ac:dyDescent="0.25">
      <c r="A85" s="1"/>
      <c r="B85" s="17">
        <f t="shared" si="0"/>
        <v>78</v>
      </c>
      <c r="C85" s="23" t="s">
        <v>23</v>
      </c>
      <c r="D85" s="20" t="s">
        <v>109</v>
      </c>
      <c r="E85" s="20" t="s">
        <v>221</v>
      </c>
      <c r="F85" s="20" t="s">
        <v>291</v>
      </c>
      <c r="G85" s="20" t="s">
        <v>374</v>
      </c>
      <c r="H85" s="20" t="s">
        <v>409</v>
      </c>
      <c r="I85" s="42" t="s">
        <v>629</v>
      </c>
      <c r="J85" s="20" t="s">
        <v>527</v>
      </c>
      <c r="K85" s="45" t="s">
        <v>595</v>
      </c>
      <c r="L85" s="20">
        <v>4</v>
      </c>
      <c r="M85" s="20">
        <f t="shared" ref="M85" si="74">L85*5</f>
        <v>20</v>
      </c>
      <c r="N85" s="20">
        <v>100</v>
      </c>
      <c r="O85" s="48" t="s">
        <v>623</v>
      </c>
      <c r="P85" s="21">
        <v>6.9999999999999999E-4</v>
      </c>
      <c r="Q85" s="21">
        <f t="shared" ref="Q85" si="75">P85*N85</f>
        <v>6.9999999999999993E-2</v>
      </c>
      <c r="R85" s="20"/>
    </row>
    <row r="86" spans="1:18" x14ac:dyDescent="0.25">
      <c r="A86" s="1"/>
      <c r="B86" s="16">
        <f>ROW(B86) - ROW($B$7)</f>
        <v>79</v>
      </c>
      <c r="C86" s="23" t="s">
        <v>23</v>
      </c>
      <c r="D86" s="14" t="s">
        <v>110</v>
      </c>
      <c r="E86" s="14" t="s">
        <v>222</v>
      </c>
      <c r="F86" s="14" t="s">
        <v>291</v>
      </c>
      <c r="G86" s="14" t="s">
        <v>375</v>
      </c>
      <c r="H86" s="14" t="s">
        <v>409</v>
      </c>
      <c r="I86" s="42" t="s">
        <v>629</v>
      </c>
      <c r="J86" s="14" t="s">
        <v>528</v>
      </c>
      <c r="K86" s="44" t="s">
        <v>597</v>
      </c>
      <c r="L86" s="14">
        <v>4</v>
      </c>
      <c r="M86" s="14">
        <f>L86*5</f>
        <v>20</v>
      </c>
      <c r="N86" s="14">
        <v>100</v>
      </c>
      <c r="O86" s="48" t="s">
        <v>623</v>
      </c>
      <c r="P86" s="15">
        <v>5.9999999999999995E-4</v>
      </c>
      <c r="Q86" s="15">
        <f>P86*N86</f>
        <v>0.06</v>
      </c>
      <c r="R86" s="14"/>
    </row>
    <row r="87" spans="1:18" ht="60" x14ac:dyDescent="0.25">
      <c r="A87" s="1"/>
      <c r="B87" s="17">
        <f t="shared" si="0"/>
        <v>80</v>
      </c>
      <c r="C87" s="23" t="s">
        <v>23</v>
      </c>
      <c r="D87" s="20" t="s">
        <v>111</v>
      </c>
      <c r="E87" s="20" t="s">
        <v>223</v>
      </c>
      <c r="F87" s="20" t="s">
        <v>291</v>
      </c>
      <c r="G87" s="20" t="s">
        <v>376</v>
      </c>
      <c r="H87" s="20" t="s">
        <v>409</v>
      </c>
      <c r="I87" s="42" t="s">
        <v>629</v>
      </c>
      <c r="J87" s="20" t="s">
        <v>529</v>
      </c>
      <c r="K87" s="45" t="s">
        <v>581</v>
      </c>
      <c r="L87" s="20">
        <v>27</v>
      </c>
      <c r="M87" s="20">
        <f t="shared" ref="M87" si="76">L87*5</f>
        <v>135</v>
      </c>
      <c r="N87" s="20">
        <v>200</v>
      </c>
      <c r="O87" s="48" t="s">
        <v>623</v>
      </c>
      <c r="P87" s="21">
        <v>5.9999999999999995E-4</v>
      </c>
      <c r="Q87" s="21">
        <f t="shared" ref="Q87" si="77">P87*N87</f>
        <v>0.12</v>
      </c>
      <c r="R87" s="20"/>
    </row>
    <row r="88" spans="1:18" x14ac:dyDescent="0.25">
      <c r="A88" s="1"/>
      <c r="B88" s="16">
        <f>ROW(B88) - ROW($B$7)</f>
        <v>81</v>
      </c>
      <c r="C88" s="23" t="s">
        <v>23</v>
      </c>
      <c r="D88" s="47" t="s">
        <v>112</v>
      </c>
      <c r="E88" s="49" t="s">
        <v>224</v>
      </c>
      <c r="F88" s="50" t="s">
        <v>291</v>
      </c>
      <c r="G88" s="47" t="s">
        <v>377</v>
      </c>
      <c r="H88" s="47" t="s">
        <v>409</v>
      </c>
      <c r="I88" s="43" t="s">
        <v>629</v>
      </c>
      <c r="J88" s="47" t="s">
        <v>530</v>
      </c>
      <c r="K88" s="47" t="s">
        <v>561</v>
      </c>
      <c r="L88" s="47">
        <v>4</v>
      </c>
      <c r="M88" s="47">
        <f>L88*5</f>
        <v>20</v>
      </c>
      <c r="N88" s="51" t="s">
        <v>484</v>
      </c>
      <c r="O88" s="47" t="s">
        <v>623</v>
      </c>
      <c r="P88" s="51" t="s">
        <v>484</v>
      </c>
      <c r="Q88" s="51" t="s">
        <v>484</v>
      </c>
      <c r="R88" s="52" t="s">
        <v>624</v>
      </c>
    </row>
    <row r="89" spans="1:18" x14ac:dyDescent="0.25">
      <c r="A89" s="1"/>
      <c r="B89" s="17">
        <f t="shared" si="0"/>
        <v>82</v>
      </c>
      <c r="C89" s="23" t="s">
        <v>23</v>
      </c>
      <c r="D89" s="47" t="s">
        <v>113</v>
      </c>
      <c r="E89" s="49" t="s">
        <v>225</v>
      </c>
      <c r="F89" s="50" t="s">
        <v>291</v>
      </c>
      <c r="G89" s="47" t="s">
        <v>378</v>
      </c>
      <c r="H89" s="47" t="s">
        <v>440</v>
      </c>
      <c r="I89" s="43" t="s">
        <v>629</v>
      </c>
      <c r="J89" s="47" t="s">
        <v>531</v>
      </c>
      <c r="K89" s="47" t="s">
        <v>561</v>
      </c>
      <c r="L89" s="47">
        <v>4</v>
      </c>
      <c r="M89" s="47">
        <f t="shared" ref="M89" si="78">L89*5</f>
        <v>20</v>
      </c>
      <c r="N89" s="51" t="s">
        <v>484</v>
      </c>
      <c r="O89" s="47" t="s">
        <v>623</v>
      </c>
      <c r="P89" s="51" t="s">
        <v>484</v>
      </c>
      <c r="Q89" s="51" t="s">
        <v>484</v>
      </c>
      <c r="R89" s="52" t="s">
        <v>624</v>
      </c>
    </row>
    <row r="90" spans="1:18" x14ac:dyDescent="0.25">
      <c r="A90" s="1"/>
      <c r="B90" s="16">
        <f>ROW(B90) - ROW($B$7)</f>
        <v>83</v>
      </c>
      <c r="C90" s="23" t="s">
        <v>23</v>
      </c>
      <c r="D90" s="14" t="s">
        <v>114</v>
      </c>
      <c r="E90" s="14" t="s">
        <v>226</v>
      </c>
      <c r="F90" s="14" t="s">
        <v>291</v>
      </c>
      <c r="G90" s="14" t="s">
        <v>379</v>
      </c>
      <c r="H90" s="14" t="s">
        <v>409</v>
      </c>
      <c r="I90" s="42" t="s">
        <v>629</v>
      </c>
      <c r="J90" s="14" t="s">
        <v>532</v>
      </c>
      <c r="K90" s="44" t="s">
        <v>592</v>
      </c>
      <c r="L90" s="14">
        <v>4</v>
      </c>
      <c r="M90" s="14">
        <f>L90*5</f>
        <v>20</v>
      </c>
      <c r="N90" s="14">
        <v>50</v>
      </c>
      <c r="O90" s="48" t="s">
        <v>623</v>
      </c>
      <c r="P90" s="15">
        <v>1.9699999999999999E-2</v>
      </c>
      <c r="Q90" s="15">
        <f>P90*N90</f>
        <v>0.98499999999999999</v>
      </c>
      <c r="R90" s="14"/>
    </row>
    <row r="91" spans="1:18" ht="24" x14ac:dyDescent="0.25">
      <c r="A91" s="1"/>
      <c r="B91" s="17">
        <f t="shared" si="0"/>
        <v>84</v>
      </c>
      <c r="C91" s="23" t="s">
        <v>23</v>
      </c>
      <c r="D91" s="20" t="s">
        <v>115</v>
      </c>
      <c r="E91" s="20" t="s">
        <v>227</v>
      </c>
      <c r="F91" s="20" t="s">
        <v>294</v>
      </c>
      <c r="G91" s="47" t="s">
        <v>380</v>
      </c>
      <c r="H91" s="20" t="s">
        <v>444</v>
      </c>
      <c r="I91" s="20" t="s">
        <v>641</v>
      </c>
      <c r="J91" s="20" t="s">
        <v>642</v>
      </c>
      <c r="K91" s="45" t="s">
        <v>598</v>
      </c>
      <c r="L91" s="20">
        <v>12</v>
      </c>
      <c r="M91" s="20">
        <f t="shared" ref="M91" si="79">L91*5</f>
        <v>60</v>
      </c>
      <c r="N91" s="20">
        <v>70</v>
      </c>
      <c r="O91" s="48" t="s">
        <v>623</v>
      </c>
      <c r="P91" s="21">
        <v>4.3999999999999997E-2</v>
      </c>
      <c r="Q91" s="21">
        <f t="shared" ref="Q91" si="80">P91*N91</f>
        <v>3.0799999999999996</v>
      </c>
      <c r="R91" s="20"/>
    </row>
    <row r="92" spans="1:18" ht="24" x14ac:dyDescent="0.25">
      <c r="A92" s="1"/>
      <c r="B92" s="16">
        <f>ROW(B92) - ROW($B$7)</f>
        <v>85</v>
      </c>
      <c r="C92" s="22" t="s">
        <v>23</v>
      </c>
      <c r="D92" s="14" t="s">
        <v>116</v>
      </c>
      <c r="E92" s="14" t="s">
        <v>228</v>
      </c>
      <c r="F92" s="14" t="s">
        <v>292</v>
      </c>
      <c r="G92" s="14" t="s">
        <v>381</v>
      </c>
      <c r="H92" s="14" t="s">
        <v>409</v>
      </c>
      <c r="I92" s="42" t="s">
        <v>629</v>
      </c>
      <c r="J92" s="14" t="s">
        <v>533</v>
      </c>
      <c r="K92" s="44" t="s">
        <v>599</v>
      </c>
      <c r="L92" s="14">
        <v>8</v>
      </c>
      <c r="M92" s="14">
        <f>L92*5</f>
        <v>40</v>
      </c>
      <c r="N92" s="14">
        <v>100</v>
      </c>
      <c r="O92" s="48" t="s">
        <v>623</v>
      </c>
      <c r="P92" s="15">
        <v>1.1999999999999999E-3</v>
      </c>
      <c r="Q92" s="15">
        <f>P92*N92</f>
        <v>0.12</v>
      </c>
      <c r="R92" s="14"/>
    </row>
    <row r="93" spans="1:18" x14ac:dyDescent="0.25">
      <c r="A93" s="1"/>
      <c r="B93" s="17">
        <f t="shared" si="0"/>
        <v>86</v>
      </c>
      <c r="C93" s="23" t="s">
        <v>23</v>
      </c>
      <c r="D93" s="20" t="s">
        <v>117</v>
      </c>
      <c r="E93" s="20" t="s">
        <v>229</v>
      </c>
      <c r="F93" s="20" t="s">
        <v>291</v>
      </c>
      <c r="G93" s="20" t="s">
        <v>382</v>
      </c>
      <c r="H93" s="20" t="s">
        <v>409</v>
      </c>
      <c r="I93" s="42" t="s">
        <v>629</v>
      </c>
      <c r="J93" s="20" t="s">
        <v>534</v>
      </c>
      <c r="K93" s="45" t="s">
        <v>581</v>
      </c>
      <c r="L93" s="20">
        <v>2</v>
      </c>
      <c r="M93" s="20">
        <f t="shared" ref="M93" si="81">L93*5</f>
        <v>10</v>
      </c>
      <c r="N93" s="20">
        <v>100</v>
      </c>
      <c r="O93" s="48" t="s">
        <v>623</v>
      </c>
      <c r="P93" s="21"/>
      <c r="Q93" s="21">
        <f t="shared" ref="Q93" si="82">P93*N93</f>
        <v>0</v>
      </c>
      <c r="R93" s="20"/>
    </row>
    <row r="94" spans="1:18" x14ac:dyDescent="0.25">
      <c r="A94" s="1"/>
      <c r="B94" s="16">
        <f>ROW(B94) - ROW($B$7)</f>
        <v>87</v>
      </c>
      <c r="C94" s="22" t="s">
        <v>23</v>
      </c>
      <c r="D94" s="14" t="s">
        <v>118</v>
      </c>
      <c r="E94" s="14" t="s">
        <v>230</v>
      </c>
      <c r="F94" s="14" t="s">
        <v>291</v>
      </c>
      <c r="G94" s="14" t="s">
        <v>383</v>
      </c>
      <c r="H94" s="14" t="s">
        <v>409</v>
      </c>
      <c r="I94" s="42" t="s">
        <v>629</v>
      </c>
      <c r="J94" s="14" t="s">
        <v>535</v>
      </c>
      <c r="K94" s="44" t="s">
        <v>600</v>
      </c>
      <c r="L94" s="14">
        <v>1</v>
      </c>
      <c r="M94" s="14">
        <f>L94*5</f>
        <v>5</v>
      </c>
      <c r="N94" s="20">
        <v>50</v>
      </c>
      <c r="O94" s="48" t="s">
        <v>623</v>
      </c>
      <c r="P94" s="21">
        <v>2.0400000000000001E-2</v>
      </c>
      <c r="Q94" s="15">
        <f>P94*N94</f>
        <v>1.02</v>
      </c>
      <c r="R94" s="14"/>
    </row>
    <row r="95" spans="1:18" x14ac:dyDescent="0.25">
      <c r="A95" s="1"/>
      <c r="B95" s="17">
        <f t="shared" si="0"/>
        <v>88</v>
      </c>
      <c r="C95" s="23" t="s">
        <v>23</v>
      </c>
      <c r="D95" s="50" t="s">
        <v>119</v>
      </c>
      <c r="E95" s="50" t="s">
        <v>216</v>
      </c>
      <c r="F95" s="47" t="s">
        <v>291</v>
      </c>
      <c r="G95" s="50" t="s">
        <v>369</v>
      </c>
      <c r="H95" s="50" t="s">
        <v>409</v>
      </c>
      <c r="I95" s="42" t="s">
        <v>629</v>
      </c>
      <c r="J95" s="50" t="s">
        <v>522</v>
      </c>
      <c r="K95" s="46" t="s">
        <v>561</v>
      </c>
      <c r="L95" s="50">
        <v>1</v>
      </c>
      <c r="M95" s="50">
        <f t="shared" ref="M95" si="83">L95*5</f>
        <v>5</v>
      </c>
      <c r="N95" s="51" t="s">
        <v>484</v>
      </c>
      <c r="O95" s="47" t="s">
        <v>623</v>
      </c>
      <c r="P95" s="51" t="s">
        <v>484</v>
      </c>
      <c r="Q95" s="51" t="s">
        <v>484</v>
      </c>
      <c r="R95" s="52" t="s">
        <v>624</v>
      </c>
    </row>
    <row r="96" spans="1:18" x14ac:dyDescent="0.25">
      <c r="A96" s="1"/>
      <c r="B96" s="16">
        <f>ROW(B96) - ROW($B$7)</f>
        <v>89</v>
      </c>
      <c r="C96" s="22" t="s">
        <v>23</v>
      </c>
      <c r="D96" s="14" t="s">
        <v>120</v>
      </c>
      <c r="E96" s="14" t="s">
        <v>231</v>
      </c>
      <c r="F96" s="14" t="s">
        <v>292</v>
      </c>
      <c r="G96" s="14" t="s">
        <v>384</v>
      </c>
      <c r="H96" s="14" t="s">
        <v>409</v>
      </c>
      <c r="I96" s="42" t="s">
        <v>629</v>
      </c>
      <c r="J96" s="14" t="s">
        <v>536</v>
      </c>
      <c r="K96" s="44" t="s">
        <v>601</v>
      </c>
      <c r="L96" s="14">
        <v>2</v>
      </c>
      <c r="M96" s="14">
        <f>L96*5</f>
        <v>10</v>
      </c>
      <c r="N96" s="14">
        <v>100</v>
      </c>
      <c r="O96" s="48" t="s">
        <v>623</v>
      </c>
      <c r="P96" s="15">
        <v>1E-3</v>
      </c>
      <c r="Q96" s="15">
        <f>P96*N96</f>
        <v>0.1</v>
      </c>
      <c r="R96" s="14"/>
    </row>
    <row r="97" spans="1:18" x14ac:dyDescent="0.25">
      <c r="A97" s="1"/>
      <c r="B97" s="17">
        <f t="shared" si="0"/>
        <v>90</v>
      </c>
      <c r="C97" s="23" t="s">
        <v>23</v>
      </c>
      <c r="D97" s="20" t="s">
        <v>121</v>
      </c>
      <c r="E97" s="20" t="s">
        <v>232</v>
      </c>
      <c r="F97" s="20" t="s">
        <v>292</v>
      </c>
      <c r="G97" s="20" t="s">
        <v>385</v>
      </c>
      <c r="H97" s="20" t="s">
        <v>409</v>
      </c>
      <c r="I97" s="42" t="s">
        <v>629</v>
      </c>
      <c r="J97" s="20" t="s">
        <v>537</v>
      </c>
      <c r="K97" s="45" t="s">
        <v>596</v>
      </c>
      <c r="L97" s="20">
        <v>4</v>
      </c>
      <c r="M97" s="20">
        <f t="shared" ref="M97" si="84">L97*5</f>
        <v>20</v>
      </c>
      <c r="N97" s="20">
        <v>100</v>
      </c>
      <c r="O97" s="48" t="s">
        <v>623</v>
      </c>
      <c r="P97" s="21">
        <v>1E-3</v>
      </c>
      <c r="Q97" s="21">
        <f t="shared" ref="Q97" si="85">P97*N97</f>
        <v>0.1</v>
      </c>
      <c r="R97" s="20"/>
    </row>
    <row r="98" spans="1:18" ht="24" x14ac:dyDescent="0.25">
      <c r="A98" s="1"/>
      <c r="B98" s="16">
        <f>ROW(B98) - ROW($B$7)</f>
        <v>91</v>
      </c>
      <c r="C98" s="22" t="s">
        <v>23</v>
      </c>
      <c r="D98" s="14" t="s">
        <v>122</v>
      </c>
      <c r="E98" s="14" t="s">
        <v>233</v>
      </c>
      <c r="F98" s="14" t="s">
        <v>292</v>
      </c>
      <c r="G98" s="14" t="s">
        <v>386</v>
      </c>
      <c r="H98" s="14" t="s">
        <v>409</v>
      </c>
      <c r="I98" s="42" t="s">
        <v>629</v>
      </c>
      <c r="J98" s="14" t="s">
        <v>538</v>
      </c>
      <c r="K98" s="44" t="s">
        <v>602</v>
      </c>
      <c r="L98" s="14">
        <v>8</v>
      </c>
      <c r="M98" s="14">
        <f>L98*5</f>
        <v>40</v>
      </c>
      <c r="N98" s="14">
        <v>60</v>
      </c>
      <c r="O98" s="48" t="s">
        <v>623</v>
      </c>
      <c r="P98" s="15">
        <v>2.3300000000000001E-2</v>
      </c>
      <c r="Q98" s="15">
        <f>P98*N98</f>
        <v>1.3980000000000001</v>
      </c>
      <c r="R98" s="14"/>
    </row>
    <row r="99" spans="1:18" ht="84" x14ac:dyDescent="0.25">
      <c r="A99" s="1"/>
      <c r="B99" s="17">
        <f t="shared" si="0"/>
        <v>92</v>
      </c>
      <c r="C99" s="23" t="s">
        <v>23</v>
      </c>
      <c r="D99" s="20" t="s">
        <v>123</v>
      </c>
      <c r="E99" s="20" t="s">
        <v>234</v>
      </c>
      <c r="F99" s="20" t="s">
        <v>291</v>
      </c>
      <c r="G99" s="20" t="s">
        <v>387</v>
      </c>
      <c r="H99" s="20" t="s">
        <v>409</v>
      </c>
      <c r="I99" s="42" t="s">
        <v>629</v>
      </c>
      <c r="J99" s="20" t="s">
        <v>539</v>
      </c>
      <c r="K99" s="45" t="s">
        <v>603</v>
      </c>
      <c r="L99" s="20">
        <v>36</v>
      </c>
      <c r="M99" s="20">
        <f t="shared" ref="M99" si="86">L99*5</f>
        <v>180</v>
      </c>
      <c r="N99" s="20">
        <v>200</v>
      </c>
      <c r="O99" s="48" t="s">
        <v>623</v>
      </c>
      <c r="P99" s="21">
        <v>6.9999999999999999E-4</v>
      </c>
      <c r="Q99" s="21">
        <f t="shared" ref="Q99" si="87">P99*N99</f>
        <v>0.13999999999999999</v>
      </c>
      <c r="R99" s="20"/>
    </row>
    <row r="100" spans="1:18" ht="60" x14ac:dyDescent="0.25">
      <c r="A100" s="1"/>
      <c r="B100" s="16">
        <f>ROW(B100) - ROW($B$7)</f>
        <v>93</v>
      </c>
      <c r="C100" s="22" t="s">
        <v>23</v>
      </c>
      <c r="D100" s="14" t="s">
        <v>124</v>
      </c>
      <c r="E100" s="14" t="s">
        <v>235</v>
      </c>
      <c r="F100" s="14" t="s">
        <v>292</v>
      </c>
      <c r="G100" s="50" t="s">
        <v>388</v>
      </c>
      <c r="H100" s="14" t="s">
        <v>409</v>
      </c>
      <c r="I100" s="14" t="s">
        <v>643</v>
      </c>
      <c r="J100" s="14" t="s">
        <v>644</v>
      </c>
      <c r="K100" s="44" t="s">
        <v>604</v>
      </c>
      <c r="L100" s="14">
        <v>24</v>
      </c>
      <c r="M100" s="14">
        <f>L100*5</f>
        <v>120</v>
      </c>
      <c r="N100" s="14">
        <v>200</v>
      </c>
      <c r="O100" s="48" t="s">
        <v>623</v>
      </c>
      <c r="P100" s="15">
        <v>4.4000000000000003E-3</v>
      </c>
      <c r="Q100" s="15">
        <f>P100*N100</f>
        <v>0.88</v>
      </c>
      <c r="R100" s="14"/>
    </row>
    <row r="101" spans="1:18" s="59" customFormat="1" ht="36" x14ac:dyDescent="0.25">
      <c r="A101" s="58"/>
      <c r="B101" s="17">
        <f t="shared" si="0"/>
        <v>94</v>
      </c>
      <c r="C101" s="23" t="s">
        <v>24</v>
      </c>
      <c r="D101" s="20" t="s">
        <v>125</v>
      </c>
      <c r="E101" s="20" t="s">
        <v>236</v>
      </c>
      <c r="F101" s="20" t="s">
        <v>291</v>
      </c>
      <c r="G101" s="20" t="s">
        <v>389</v>
      </c>
      <c r="H101" s="20" t="s">
        <v>445</v>
      </c>
      <c r="I101" s="42" t="s">
        <v>629</v>
      </c>
      <c r="J101" s="20" t="s">
        <v>540</v>
      </c>
      <c r="K101" s="45" t="s">
        <v>605</v>
      </c>
      <c r="L101" s="20">
        <v>12</v>
      </c>
      <c r="M101" s="20">
        <f t="shared" ref="M101" si="88">L101*5</f>
        <v>60</v>
      </c>
      <c r="N101" s="20">
        <v>100</v>
      </c>
      <c r="O101" s="48" t="s">
        <v>623</v>
      </c>
      <c r="P101" s="21">
        <v>4.8999999999999998E-3</v>
      </c>
      <c r="Q101" s="21">
        <f t="shared" ref="Q101" si="89">P101*N101</f>
        <v>0.49</v>
      </c>
      <c r="R101" s="20"/>
    </row>
    <row r="102" spans="1:18" x14ac:dyDescent="0.25">
      <c r="A102" s="1"/>
      <c r="B102" s="16">
        <f>ROW(B102) - ROW($B$7)</f>
        <v>95</v>
      </c>
      <c r="C102" s="23" t="s">
        <v>24</v>
      </c>
      <c r="D102" s="14" t="s">
        <v>126</v>
      </c>
      <c r="E102" s="14" t="s">
        <v>237</v>
      </c>
      <c r="F102" s="14" t="s">
        <v>291</v>
      </c>
      <c r="G102" s="14" t="s">
        <v>390</v>
      </c>
      <c r="H102" s="14" t="s">
        <v>409</v>
      </c>
      <c r="I102" s="42" t="s">
        <v>629</v>
      </c>
      <c r="J102" s="14" t="s">
        <v>541</v>
      </c>
      <c r="K102" s="44" t="s">
        <v>606</v>
      </c>
      <c r="L102" s="14">
        <v>4</v>
      </c>
      <c r="M102" s="14">
        <f>L102*5</f>
        <v>20</v>
      </c>
      <c r="N102" s="14">
        <v>100</v>
      </c>
      <c r="O102" s="48" t="s">
        <v>623</v>
      </c>
      <c r="P102" s="15">
        <v>5.9999999999999995E-4</v>
      </c>
      <c r="Q102" s="15">
        <f>P102*N102</f>
        <v>0.06</v>
      </c>
      <c r="R102" s="14"/>
    </row>
    <row r="103" spans="1:18" x14ac:dyDescent="0.25">
      <c r="A103" s="1"/>
      <c r="B103" s="17">
        <f t="shared" si="0"/>
        <v>96</v>
      </c>
      <c r="C103" s="23" t="s">
        <v>23</v>
      </c>
      <c r="D103" s="20" t="s">
        <v>127</v>
      </c>
      <c r="E103" s="20" t="s">
        <v>238</v>
      </c>
      <c r="F103" s="20" t="s">
        <v>291</v>
      </c>
      <c r="G103" s="20" t="s">
        <v>391</v>
      </c>
      <c r="H103" s="20" t="s">
        <v>409</v>
      </c>
      <c r="I103" s="42" t="s">
        <v>629</v>
      </c>
      <c r="J103" s="20" t="s">
        <v>542</v>
      </c>
      <c r="K103" s="45" t="s">
        <v>607</v>
      </c>
      <c r="L103" s="20">
        <v>4</v>
      </c>
      <c r="M103" s="20">
        <f t="shared" ref="M103" si="90">L103*5</f>
        <v>20</v>
      </c>
      <c r="N103" s="20">
        <v>100</v>
      </c>
      <c r="O103" s="48" t="s">
        <v>623</v>
      </c>
      <c r="P103" s="21">
        <v>6.9999999999999999E-4</v>
      </c>
      <c r="Q103" s="21">
        <f t="shared" ref="Q103" si="91">P103*N103</f>
        <v>6.9999999999999993E-2</v>
      </c>
      <c r="R103" s="20"/>
    </row>
    <row r="104" spans="1:18" x14ac:dyDescent="0.25">
      <c r="A104" s="1"/>
      <c r="B104" s="16">
        <f>ROW(B104) - ROW($B$7)</f>
        <v>97</v>
      </c>
      <c r="C104" s="22" t="s">
        <v>25</v>
      </c>
      <c r="D104" s="14" t="s">
        <v>128</v>
      </c>
      <c r="E104" s="14" t="s">
        <v>239</v>
      </c>
      <c r="F104" s="20" t="s">
        <v>622</v>
      </c>
      <c r="G104" s="14" t="s">
        <v>295</v>
      </c>
      <c r="H104" s="14" t="s">
        <v>446</v>
      </c>
      <c r="I104" s="42" t="s">
        <v>629</v>
      </c>
      <c r="J104" s="14" t="s">
        <v>543</v>
      </c>
      <c r="K104" s="44" t="s">
        <v>484</v>
      </c>
      <c r="L104" s="14">
        <v>6</v>
      </c>
      <c r="M104" s="14">
        <f>L104*5</f>
        <v>30</v>
      </c>
      <c r="N104" s="14">
        <v>35</v>
      </c>
      <c r="O104" s="48" t="s">
        <v>623</v>
      </c>
      <c r="P104" s="15">
        <v>0.1552</v>
      </c>
      <c r="Q104" s="15">
        <f>P104*N104</f>
        <v>5.4320000000000004</v>
      </c>
      <c r="R104" s="14"/>
    </row>
    <row r="105" spans="1:18" x14ac:dyDescent="0.25">
      <c r="A105" s="1"/>
      <c r="B105" s="17">
        <f t="shared" si="0"/>
        <v>98</v>
      </c>
      <c r="C105" s="23" t="s">
        <v>26</v>
      </c>
      <c r="D105" s="20" t="s">
        <v>129</v>
      </c>
      <c r="E105" s="20" t="s">
        <v>240</v>
      </c>
      <c r="F105" s="20" t="s">
        <v>296</v>
      </c>
      <c r="G105" s="20" t="s">
        <v>392</v>
      </c>
      <c r="H105" s="20" t="s">
        <v>447</v>
      </c>
      <c r="I105" s="42" t="s">
        <v>629</v>
      </c>
      <c r="J105" s="20" t="s">
        <v>544</v>
      </c>
      <c r="K105" s="44" t="s">
        <v>484</v>
      </c>
      <c r="L105" s="20">
        <v>1</v>
      </c>
      <c r="M105" s="20">
        <f t="shared" ref="M105" si="92">L105*5</f>
        <v>5</v>
      </c>
      <c r="N105" s="20">
        <v>6</v>
      </c>
      <c r="O105" s="48" t="s">
        <v>623</v>
      </c>
      <c r="P105" s="21">
        <v>2.6966000000000001</v>
      </c>
      <c r="Q105" s="21">
        <f t="shared" ref="Q105" si="93">P105*N105</f>
        <v>16.179600000000001</v>
      </c>
      <c r="R105" s="20"/>
    </row>
    <row r="106" spans="1:18" x14ac:dyDescent="0.25">
      <c r="A106" s="1"/>
      <c r="B106" s="16">
        <f>ROW(B106) - ROW($B$7)</f>
        <v>99</v>
      </c>
      <c r="C106" s="22" t="s">
        <v>27</v>
      </c>
      <c r="D106" s="14" t="s">
        <v>130</v>
      </c>
      <c r="E106" s="14" t="s">
        <v>241</v>
      </c>
      <c r="F106" s="14" t="s">
        <v>297</v>
      </c>
      <c r="G106" s="14" t="s">
        <v>393</v>
      </c>
      <c r="H106" s="14" t="s">
        <v>448</v>
      </c>
      <c r="I106" s="42" t="s">
        <v>629</v>
      </c>
      <c r="J106" s="14" t="s">
        <v>484</v>
      </c>
      <c r="K106" s="44" t="s">
        <v>484</v>
      </c>
      <c r="L106" s="14">
        <v>4</v>
      </c>
      <c r="M106" s="14">
        <f>L106*5</f>
        <v>20</v>
      </c>
      <c r="N106" s="14">
        <v>21</v>
      </c>
      <c r="O106" s="48" t="s">
        <v>623</v>
      </c>
      <c r="P106" s="15">
        <v>3.07789</v>
      </c>
      <c r="Q106" s="15">
        <f>P106*N106</f>
        <v>64.635689999999997</v>
      </c>
      <c r="R106" s="14"/>
    </row>
    <row r="107" spans="1:18" x14ac:dyDescent="0.25">
      <c r="A107" s="1"/>
      <c r="B107" s="17">
        <f t="shared" si="0"/>
        <v>100</v>
      </c>
      <c r="C107" s="23" t="s">
        <v>27</v>
      </c>
      <c r="D107" s="20" t="s">
        <v>131</v>
      </c>
      <c r="E107" s="20" t="s">
        <v>242</v>
      </c>
      <c r="F107" s="20" t="s">
        <v>298</v>
      </c>
      <c r="G107" s="20" t="s">
        <v>394</v>
      </c>
      <c r="H107" s="20" t="s">
        <v>449</v>
      </c>
      <c r="I107" s="42" t="s">
        <v>629</v>
      </c>
      <c r="J107" s="20" t="s">
        <v>545</v>
      </c>
      <c r="K107" s="44" t="s">
        <v>484</v>
      </c>
      <c r="L107" s="20">
        <v>1</v>
      </c>
      <c r="M107" s="20">
        <f t="shared" ref="M107" si="94">L107*5</f>
        <v>5</v>
      </c>
      <c r="N107" s="14">
        <v>6</v>
      </c>
      <c r="O107" s="48" t="s">
        <v>623</v>
      </c>
      <c r="P107" s="15">
        <v>1.5093000000000001</v>
      </c>
      <c r="Q107" s="21">
        <f t="shared" ref="Q107" si="95">P107*N107</f>
        <v>9.0558000000000014</v>
      </c>
      <c r="R107" s="20"/>
    </row>
    <row r="108" spans="1:18" ht="36" x14ac:dyDescent="0.25">
      <c r="A108" s="1"/>
      <c r="B108" s="16">
        <f>ROW(B108) - ROW($B$7)</f>
        <v>101</v>
      </c>
      <c r="C108" s="22" t="s">
        <v>27</v>
      </c>
      <c r="D108" s="14" t="s">
        <v>132</v>
      </c>
      <c r="E108" s="14" t="s">
        <v>243</v>
      </c>
      <c r="F108" s="14" t="s">
        <v>299</v>
      </c>
      <c r="G108" s="14" t="s">
        <v>395</v>
      </c>
      <c r="H108" s="14" t="s">
        <v>450</v>
      </c>
      <c r="I108" s="42" t="s">
        <v>629</v>
      </c>
      <c r="J108" s="14" t="s">
        <v>546</v>
      </c>
      <c r="K108" s="44" t="s">
        <v>484</v>
      </c>
      <c r="L108" s="14">
        <v>1</v>
      </c>
      <c r="M108" s="14">
        <f>L108*5</f>
        <v>5</v>
      </c>
      <c r="N108" s="20">
        <v>10</v>
      </c>
      <c r="O108" s="48" t="s">
        <v>623</v>
      </c>
      <c r="P108" s="21">
        <v>0.28899999999999998</v>
      </c>
      <c r="Q108" s="15">
        <f>P108*N108</f>
        <v>2.8899999999999997</v>
      </c>
      <c r="R108" s="14"/>
    </row>
    <row r="109" spans="1:18" x14ac:dyDescent="0.25">
      <c r="A109" s="1"/>
      <c r="B109" s="17">
        <f t="shared" si="0"/>
        <v>102</v>
      </c>
      <c r="C109" s="23" t="s">
        <v>27</v>
      </c>
      <c r="D109" s="20" t="s">
        <v>133</v>
      </c>
      <c r="E109" s="20" t="s">
        <v>244</v>
      </c>
      <c r="F109" s="20" t="s">
        <v>300</v>
      </c>
      <c r="G109" s="20" t="s">
        <v>396</v>
      </c>
      <c r="H109" s="20" t="s">
        <v>449</v>
      </c>
      <c r="I109" s="42" t="s">
        <v>629</v>
      </c>
      <c r="J109" s="20" t="s">
        <v>547</v>
      </c>
      <c r="K109" s="44" t="s">
        <v>484</v>
      </c>
      <c r="L109" s="20">
        <v>1</v>
      </c>
      <c r="M109" s="20">
        <f t="shared" ref="M109" si="96">L109*5</f>
        <v>5</v>
      </c>
      <c r="N109" s="14">
        <v>6</v>
      </c>
      <c r="O109" s="48" t="s">
        <v>623</v>
      </c>
      <c r="P109" s="15">
        <v>2.9133</v>
      </c>
      <c r="Q109" s="21">
        <f t="shared" ref="Q109" si="97">P109*N109</f>
        <v>17.479800000000001</v>
      </c>
      <c r="R109" s="20"/>
    </row>
    <row r="110" spans="1:18" ht="24" x14ac:dyDescent="0.25">
      <c r="A110" s="1"/>
      <c r="B110" s="16">
        <f>ROW(B110) - ROW($B$7)</f>
        <v>103</v>
      </c>
      <c r="C110" s="22" t="s">
        <v>27</v>
      </c>
      <c r="D110" s="14" t="s">
        <v>134</v>
      </c>
      <c r="E110" s="14" t="s">
        <v>245</v>
      </c>
      <c r="F110" s="14" t="s">
        <v>301</v>
      </c>
      <c r="G110" s="14" t="s">
        <v>397</v>
      </c>
      <c r="H110" s="14" t="s">
        <v>451</v>
      </c>
      <c r="I110" s="42" t="s">
        <v>629</v>
      </c>
      <c r="J110" s="14" t="s">
        <v>548</v>
      </c>
      <c r="K110" s="44" t="s">
        <v>484</v>
      </c>
      <c r="L110" s="14">
        <v>1</v>
      </c>
      <c r="M110" s="14">
        <f>L110*5</f>
        <v>5</v>
      </c>
      <c r="N110" s="20">
        <v>6</v>
      </c>
      <c r="O110" s="48" t="s">
        <v>623</v>
      </c>
      <c r="P110" s="21">
        <v>0.33610000000000001</v>
      </c>
      <c r="Q110" s="15">
        <f>P110*N110</f>
        <v>2.0165999999999999</v>
      </c>
      <c r="R110" s="14"/>
    </row>
    <row r="111" spans="1:18" x14ac:dyDescent="0.25">
      <c r="A111" s="1"/>
      <c r="B111" s="17">
        <f t="shared" si="0"/>
        <v>104</v>
      </c>
      <c r="C111" s="23" t="s">
        <v>27</v>
      </c>
      <c r="D111" s="20" t="s">
        <v>135</v>
      </c>
      <c r="E111" s="20" t="s">
        <v>246</v>
      </c>
      <c r="F111" s="20" t="s">
        <v>302</v>
      </c>
      <c r="G111" s="20" t="s">
        <v>398</v>
      </c>
      <c r="H111" s="20" t="s">
        <v>449</v>
      </c>
      <c r="I111" s="42" t="s">
        <v>629</v>
      </c>
      <c r="J111" s="20" t="s">
        <v>549</v>
      </c>
      <c r="K111" s="44" t="s">
        <v>484</v>
      </c>
      <c r="L111" s="20">
        <v>5</v>
      </c>
      <c r="M111" s="20">
        <f t="shared" ref="M111" si="98">L111*5</f>
        <v>25</v>
      </c>
      <c r="N111" s="20">
        <v>26</v>
      </c>
      <c r="O111" s="48" t="s">
        <v>623</v>
      </c>
      <c r="P111" s="21">
        <v>3.4409999999999998</v>
      </c>
      <c r="Q111" s="21">
        <f t="shared" ref="Q111" si="99">P111*N111</f>
        <v>89.465999999999994</v>
      </c>
      <c r="R111" s="20"/>
    </row>
    <row r="112" spans="1:18" x14ac:dyDescent="0.25">
      <c r="A112" s="1"/>
      <c r="B112" s="16">
        <f>ROW(B112) - ROW($B$7)</f>
        <v>105</v>
      </c>
      <c r="C112" s="22" t="s">
        <v>27</v>
      </c>
      <c r="D112" s="14" t="s">
        <v>136</v>
      </c>
      <c r="E112" s="14" t="s">
        <v>247</v>
      </c>
      <c r="F112" s="14" t="s">
        <v>303</v>
      </c>
      <c r="G112" s="14" t="s">
        <v>399</v>
      </c>
      <c r="H112" s="14" t="s">
        <v>449</v>
      </c>
      <c r="I112" s="42" t="s">
        <v>629</v>
      </c>
      <c r="J112" s="14" t="s">
        <v>550</v>
      </c>
      <c r="K112" s="44" t="s">
        <v>484</v>
      </c>
      <c r="L112" s="14">
        <v>4</v>
      </c>
      <c r="M112" s="14">
        <f>L112*5</f>
        <v>20</v>
      </c>
      <c r="N112" s="14">
        <v>21</v>
      </c>
      <c r="O112" s="48" t="s">
        <v>623</v>
      </c>
      <c r="P112" s="15">
        <v>0.31219999999999998</v>
      </c>
      <c r="Q112" s="15">
        <f>P112*N112</f>
        <v>6.5561999999999996</v>
      </c>
      <c r="R112" s="14"/>
    </row>
    <row r="113" spans="1:18" x14ac:dyDescent="0.25">
      <c r="A113" s="1"/>
      <c r="B113" s="17">
        <f t="shared" si="0"/>
        <v>106</v>
      </c>
      <c r="C113" s="23" t="s">
        <v>27</v>
      </c>
      <c r="D113" s="20" t="s">
        <v>137</v>
      </c>
      <c r="E113" s="20" t="s">
        <v>248</v>
      </c>
      <c r="F113" s="20" t="s">
        <v>304</v>
      </c>
      <c r="G113" s="20" t="s">
        <v>400</v>
      </c>
      <c r="H113" s="20" t="s">
        <v>447</v>
      </c>
      <c r="I113" s="42" t="s">
        <v>629</v>
      </c>
      <c r="J113" s="20" t="s">
        <v>551</v>
      </c>
      <c r="K113" s="44" t="s">
        <v>484</v>
      </c>
      <c r="L113" s="20">
        <v>4</v>
      </c>
      <c r="M113" s="20">
        <f t="shared" ref="M113" si="100">L113*5</f>
        <v>20</v>
      </c>
      <c r="N113" s="20">
        <v>21</v>
      </c>
      <c r="O113" s="48" t="s">
        <v>623</v>
      </c>
      <c r="P113" s="21">
        <v>1.4966999999999999</v>
      </c>
      <c r="Q113" s="21">
        <f t="shared" ref="Q113" si="101">P113*N113</f>
        <v>31.430699999999998</v>
      </c>
      <c r="R113" s="20"/>
    </row>
    <row r="114" spans="1:18" x14ac:dyDescent="0.25">
      <c r="A114" s="1"/>
      <c r="B114" s="16">
        <f>ROW(B114) - ROW($B$7)</f>
        <v>107</v>
      </c>
      <c r="C114" s="22" t="s">
        <v>27</v>
      </c>
      <c r="D114" s="14" t="s">
        <v>138</v>
      </c>
      <c r="E114" s="14" t="s">
        <v>249</v>
      </c>
      <c r="F114" s="14" t="s">
        <v>305</v>
      </c>
      <c r="G114" s="14" t="s">
        <v>401</v>
      </c>
      <c r="H114" s="14" t="s">
        <v>449</v>
      </c>
      <c r="I114" s="42" t="s">
        <v>629</v>
      </c>
      <c r="J114" s="14" t="s">
        <v>645</v>
      </c>
      <c r="K114" s="44" t="s">
        <v>484</v>
      </c>
      <c r="L114" s="14">
        <v>4</v>
      </c>
      <c r="M114" s="14">
        <f>L114*5</f>
        <v>20</v>
      </c>
      <c r="N114" s="14">
        <v>21</v>
      </c>
      <c r="O114" s="48" t="s">
        <v>623</v>
      </c>
      <c r="P114" s="15">
        <v>1.944</v>
      </c>
      <c r="Q114" s="15">
        <f>P114*N114</f>
        <v>40.823999999999998</v>
      </c>
      <c r="R114" s="14"/>
    </row>
    <row r="115" spans="1:18" x14ac:dyDescent="0.25">
      <c r="A115" s="1"/>
      <c r="B115" s="17">
        <f t="shared" si="0"/>
        <v>108</v>
      </c>
      <c r="C115" s="23" t="s">
        <v>27</v>
      </c>
      <c r="D115" s="20" t="s">
        <v>139</v>
      </c>
      <c r="E115" s="20" t="s">
        <v>250</v>
      </c>
      <c r="F115" s="20" t="s">
        <v>306</v>
      </c>
      <c r="G115" s="20" t="s">
        <v>402</v>
      </c>
      <c r="H115" s="20" t="s">
        <v>452</v>
      </c>
      <c r="I115" s="42" t="s">
        <v>629</v>
      </c>
      <c r="J115" s="14" t="s">
        <v>639</v>
      </c>
      <c r="K115" s="44" t="s">
        <v>484</v>
      </c>
      <c r="L115" s="20">
        <v>1</v>
      </c>
      <c r="M115" s="20">
        <f t="shared" ref="M115" si="102">L115*5</f>
        <v>5</v>
      </c>
      <c r="N115" s="14">
        <v>6</v>
      </c>
      <c r="O115" s="48" t="s">
        <v>623</v>
      </c>
      <c r="P115" s="15">
        <v>8.6266999999999996</v>
      </c>
      <c r="Q115" s="21">
        <f t="shared" ref="Q115" si="103">P115*N115</f>
        <v>51.760199999999998</v>
      </c>
      <c r="R115" s="20"/>
    </row>
    <row r="116" spans="1:18" ht="24" x14ac:dyDescent="0.25">
      <c r="A116" s="1"/>
      <c r="B116" s="16">
        <f>ROW(B116) - ROW($B$7)</f>
        <v>109</v>
      </c>
      <c r="C116" s="22" t="s">
        <v>27</v>
      </c>
      <c r="D116" s="14" t="s">
        <v>140</v>
      </c>
      <c r="E116" s="14" t="s">
        <v>251</v>
      </c>
      <c r="F116" s="14" t="s">
        <v>307</v>
      </c>
      <c r="G116" s="14" t="s">
        <v>403</v>
      </c>
      <c r="H116" s="14" t="s">
        <v>452</v>
      </c>
      <c r="I116" s="42" t="s">
        <v>629</v>
      </c>
      <c r="J116" s="14" t="s">
        <v>552</v>
      </c>
      <c r="K116" s="44" t="s">
        <v>484</v>
      </c>
      <c r="L116" s="14">
        <v>8</v>
      </c>
      <c r="M116" s="14">
        <f>L116*5</f>
        <v>40</v>
      </c>
      <c r="N116" s="14">
        <v>41</v>
      </c>
      <c r="O116" s="48" t="s">
        <v>623</v>
      </c>
      <c r="P116" s="15">
        <v>1.1592</v>
      </c>
      <c r="Q116" s="15">
        <f>P116*N116</f>
        <v>47.527200000000001</v>
      </c>
      <c r="R116" s="14"/>
    </row>
    <row r="117" spans="1:18" ht="24" x14ac:dyDescent="0.25">
      <c r="A117" s="1"/>
      <c r="B117" s="17">
        <f t="shared" si="0"/>
        <v>110</v>
      </c>
      <c r="C117" s="23" t="s">
        <v>28</v>
      </c>
      <c r="D117" s="20" t="s">
        <v>141</v>
      </c>
      <c r="E117" s="20" t="s">
        <v>252</v>
      </c>
      <c r="F117" s="20" t="s">
        <v>308</v>
      </c>
      <c r="G117" s="20" t="s">
        <v>404</v>
      </c>
      <c r="H117" s="20" t="s">
        <v>453</v>
      </c>
      <c r="I117" s="42" t="s">
        <v>629</v>
      </c>
      <c r="J117" s="20" t="s">
        <v>553</v>
      </c>
      <c r="K117" s="44" t="s">
        <v>484</v>
      </c>
      <c r="L117" s="20">
        <v>8</v>
      </c>
      <c r="M117" s="20">
        <f t="shared" ref="M117" si="104">L117*5</f>
        <v>40</v>
      </c>
      <c r="N117" s="20">
        <v>41</v>
      </c>
      <c r="O117" s="48" t="s">
        <v>623</v>
      </c>
      <c r="P117" s="21">
        <v>0.3</v>
      </c>
      <c r="Q117" s="21">
        <f t="shared" ref="Q117" si="105">P117*N117</f>
        <v>12.299999999999999</v>
      </c>
      <c r="R117" s="20"/>
    </row>
    <row r="118" spans="1:18" x14ac:dyDescent="0.25">
      <c r="A118" s="1"/>
      <c r="B118" s="16">
        <f>ROW(B118) - ROW($B$7)</f>
        <v>111</v>
      </c>
      <c r="C118" s="22" t="s">
        <v>27</v>
      </c>
      <c r="D118" s="14" t="s">
        <v>142</v>
      </c>
      <c r="E118" s="14" t="s">
        <v>253</v>
      </c>
      <c r="F118" s="20" t="s">
        <v>622</v>
      </c>
      <c r="G118" s="14" t="s">
        <v>309</v>
      </c>
      <c r="H118" s="14" t="s">
        <v>454</v>
      </c>
      <c r="I118" s="42" t="s">
        <v>629</v>
      </c>
      <c r="J118" s="14" t="s">
        <v>554</v>
      </c>
      <c r="K118" s="44" t="s">
        <v>484</v>
      </c>
      <c r="L118" s="14">
        <v>4</v>
      </c>
      <c r="M118" s="14">
        <f>L118*5</f>
        <v>20</v>
      </c>
      <c r="N118" s="14">
        <v>25</v>
      </c>
      <c r="O118" s="48" t="s">
        <v>623</v>
      </c>
      <c r="P118" s="15">
        <v>6.83E-2</v>
      </c>
      <c r="Q118" s="15">
        <f>P118*N118</f>
        <v>1.7075</v>
      </c>
      <c r="R118" s="14"/>
    </row>
    <row r="119" spans="1:18" ht="36" x14ac:dyDescent="0.25">
      <c r="A119" s="1"/>
      <c r="B119" s="17">
        <f t="shared" si="0"/>
        <v>112</v>
      </c>
      <c r="C119" s="23" t="s">
        <v>29</v>
      </c>
      <c r="D119" s="20" t="s">
        <v>143</v>
      </c>
      <c r="E119" s="20" t="s">
        <v>254</v>
      </c>
      <c r="F119" s="20" t="s">
        <v>622</v>
      </c>
      <c r="G119" s="20" t="s">
        <v>310</v>
      </c>
      <c r="H119" s="20" t="s">
        <v>455</v>
      </c>
      <c r="I119" s="42" t="s">
        <v>629</v>
      </c>
      <c r="J119" s="20" t="s">
        <v>555</v>
      </c>
      <c r="K119" s="45" t="s">
        <v>584</v>
      </c>
      <c r="L119" s="20">
        <v>16</v>
      </c>
      <c r="M119" s="20">
        <f t="shared" ref="M119" si="106">L119*5</f>
        <v>80</v>
      </c>
      <c r="N119" s="20">
        <v>85</v>
      </c>
      <c r="O119" s="48" t="s">
        <v>623</v>
      </c>
      <c r="P119" s="21">
        <v>0.11260000000000001</v>
      </c>
      <c r="Q119" s="21">
        <f t="shared" ref="Q119" si="107">P119*N119</f>
        <v>9.5709999999999997</v>
      </c>
      <c r="R119" s="20"/>
    </row>
    <row r="120" spans="1:18" ht="24" x14ac:dyDescent="0.25">
      <c r="A120" s="1"/>
      <c r="B120" s="16">
        <f>ROW(B120) - ROW($B$7)</f>
        <v>113</v>
      </c>
      <c r="C120" s="22" t="s">
        <v>30</v>
      </c>
      <c r="D120" s="50" t="s">
        <v>144</v>
      </c>
      <c r="E120" s="50" t="s">
        <v>255</v>
      </c>
      <c r="F120" s="47" t="s">
        <v>311</v>
      </c>
      <c r="G120" s="50" t="s">
        <v>405</v>
      </c>
      <c r="H120" s="50" t="s">
        <v>456</v>
      </c>
      <c r="I120" s="42" t="s">
        <v>629</v>
      </c>
      <c r="J120" s="50" t="s">
        <v>556</v>
      </c>
      <c r="K120" s="46" t="s">
        <v>561</v>
      </c>
      <c r="L120" s="50">
        <v>5</v>
      </c>
      <c r="M120" s="50">
        <f>L120*5</f>
        <v>25</v>
      </c>
      <c r="N120" s="51" t="s">
        <v>484</v>
      </c>
      <c r="O120" s="47" t="s">
        <v>623</v>
      </c>
      <c r="P120" s="51" t="s">
        <v>484</v>
      </c>
      <c r="Q120" s="51" t="s">
        <v>484</v>
      </c>
      <c r="R120" s="52" t="s">
        <v>624</v>
      </c>
    </row>
    <row r="121" spans="1:18" ht="24" x14ac:dyDescent="0.25">
      <c r="A121" s="1"/>
      <c r="B121" s="17">
        <f t="shared" si="0"/>
        <v>114</v>
      </c>
      <c r="C121" s="23" t="s">
        <v>30</v>
      </c>
      <c r="D121" s="20" t="s">
        <v>145</v>
      </c>
      <c r="E121" s="20" t="s">
        <v>256</v>
      </c>
      <c r="F121" s="20" t="s">
        <v>622</v>
      </c>
      <c r="G121" s="20" t="s">
        <v>406</v>
      </c>
      <c r="H121" s="20" t="s">
        <v>457</v>
      </c>
      <c r="I121" s="42" t="s">
        <v>629</v>
      </c>
      <c r="J121" s="20" t="s">
        <v>557</v>
      </c>
      <c r="K121" s="45" t="s">
        <v>608</v>
      </c>
      <c r="L121" s="20">
        <v>5</v>
      </c>
      <c r="M121" s="20">
        <f t="shared" ref="M121" si="108">L121*5</f>
        <v>25</v>
      </c>
      <c r="N121" s="20">
        <v>10</v>
      </c>
      <c r="O121" s="48" t="s">
        <v>623</v>
      </c>
      <c r="P121" s="21">
        <v>0.30080000000000001</v>
      </c>
      <c r="Q121" s="21">
        <f t="shared" ref="Q121" si="109">P121*N121</f>
        <v>3.008</v>
      </c>
      <c r="R121" s="20"/>
    </row>
    <row r="122" spans="1:18" ht="24.75" thickBot="1" x14ac:dyDescent="0.3">
      <c r="A122" s="1"/>
      <c r="B122" s="16">
        <f>ROW(B122) - ROW($B$7)</f>
        <v>115</v>
      </c>
      <c r="C122" s="22" t="s">
        <v>30</v>
      </c>
      <c r="D122" s="14" t="s">
        <v>146</v>
      </c>
      <c r="E122" s="14" t="s">
        <v>257</v>
      </c>
      <c r="F122" s="14" t="s">
        <v>312</v>
      </c>
      <c r="G122" s="14" t="s">
        <v>407</v>
      </c>
      <c r="H122" s="14" t="s">
        <v>458</v>
      </c>
      <c r="I122" s="42" t="s">
        <v>629</v>
      </c>
      <c r="J122" s="14" t="s">
        <v>558</v>
      </c>
      <c r="K122" s="44" t="s">
        <v>609</v>
      </c>
      <c r="L122" s="14">
        <v>1</v>
      </c>
      <c r="M122" s="14">
        <f>L122*5</f>
        <v>5</v>
      </c>
      <c r="N122" s="14">
        <v>10</v>
      </c>
      <c r="O122" s="48" t="s">
        <v>623</v>
      </c>
      <c r="P122" s="15">
        <v>6.5600000000000006E-2</v>
      </c>
      <c r="Q122" s="15">
        <f>P122*N122</f>
        <v>0.65600000000000003</v>
      </c>
      <c r="R122" s="14"/>
    </row>
    <row r="123" spans="1:18" ht="19.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56" t="s">
        <v>3</v>
      </c>
      <c r="O123" s="57"/>
      <c r="P123" s="57"/>
      <c r="Q123" s="18">
        <f>SUM(Q8:Q122)</f>
        <v>641.17748999999992</v>
      </c>
      <c r="R123" s="1"/>
    </row>
    <row r="124" spans="1:18" ht="19.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56" t="s">
        <v>4</v>
      </c>
      <c r="O124" s="57"/>
      <c r="P124" s="57"/>
      <c r="Q124" s="19">
        <f>Q123/5</f>
        <v>128.23549799999998</v>
      </c>
      <c r="R124" s="1"/>
    </row>
    <row r="136" spans="13:13" x14ac:dyDescent="0.25">
      <c r="M136" s="38"/>
    </row>
  </sheetData>
  <mergeCells count="3">
    <mergeCell ref="K1:R1"/>
    <mergeCell ref="N123:P123"/>
    <mergeCell ref="N124:P124"/>
  </mergeCells>
  <hyperlinks>
    <hyperlink ref="O8" r:id="rId1"/>
    <hyperlink ref="O9" r:id="rId2"/>
    <hyperlink ref="O11" r:id="rId3"/>
    <hyperlink ref="O12" r:id="rId4"/>
    <hyperlink ref="O13" r:id="rId5"/>
    <hyperlink ref="O14" r:id="rId6"/>
    <hyperlink ref="O15" r:id="rId7"/>
    <hyperlink ref="O16" r:id="rId8"/>
    <hyperlink ref="O17" r:id="rId9"/>
    <hyperlink ref="O18" r:id="rId10"/>
    <hyperlink ref="O19" r:id="rId11"/>
    <hyperlink ref="O28" r:id="rId12"/>
    <hyperlink ref="O29" r:id="rId13"/>
    <hyperlink ref="O30" r:id="rId14"/>
    <hyperlink ref="O31" r:id="rId15"/>
    <hyperlink ref="O34" r:id="rId16"/>
    <hyperlink ref="O36" r:id="rId17"/>
    <hyperlink ref="O35" r:id="rId18"/>
    <hyperlink ref="O37" r:id="rId19"/>
    <hyperlink ref="O38" r:id="rId20"/>
    <hyperlink ref="O39" r:id="rId21"/>
    <hyperlink ref="O41" r:id="rId22"/>
    <hyperlink ref="O42" r:id="rId23"/>
    <hyperlink ref="O43" r:id="rId24"/>
    <hyperlink ref="O44" r:id="rId25"/>
    <hyperlink ref="O45" r:id="rId26"/>
    <hyperlink ref="O46" r:id="rId27"/>
    <hyperlink ref="O47" r:id="rId28"/>
    <hyperlink ref="O49" r:id="rId29"/>
    <hyperlink ref="O50" r:id="rId30"/>
    <hyperlink ref="O51" r:id="rId31"/>
    <hyperlink ref="O54" r:id="rId32"/>
    <hyperlink ref="O55" r:id="rId33"/>
    <hyperlink ref="O56" r:id="rId34"/>
    <hyperlink ref="O57" r:id="rId35"/>
    <hyperlink ref="O59" r:id="rId36"/>
    <hyperlink ref="O61" r:id="rId37"/>
    <hyperlink ref="O65" r:id="rId38"/>
    <hyperlink ref="O66" r:id="rId39"/>
    <hyperlink ref="O68" r:id="rId40"/>
    <hyperlink ref="O69" r:id="rId41"/>
    <hyperlink ref="O70" r:id="rId42"/>
    <hyperlink ref="O71" r:id="rId43"/>
    <hyperlink ref="O72" r:id="rId44"/>
    <hyperlink ref="O73" r:id="rId45"/>
    <hyperlink ref="O74" r:id="rId46"/>
    <hyperlink ref="O75" r:id="rId47"/>
    <hyperlink ref="O77" r:id="rId48"/>
    <hyperlink ref="O76" r:id="rId49"/>
    <hyperlink ref="O78" r:id="rId50"/>
    <hyperlink ref="O79" r:id="rId51"/>
    <hyperlink ref="O80" r:id="rId52"/>
    <hyperlink ref="O81" r:id="rId53"/>
    <hyperlink ref="O82" r:id="rId54"/>
    <hyperlink ref="O94" r:id="rId55"/>
    <hyperlink ref="O105" r:id="rId56"/>
    <hyperlink ref="O104" r:id="rId57"/>
    <hyperlink ref="O107" r:id="rId58"/>
    <hyperlink ref="O108" r:id="rId59"/>
    <hyperlink ref="O109" r:id="rId60"/>
    <hyperlink ref="O110" r:id="rId61"/>
    <hyperlink ref="O115" r:id="rId62"/>
    <hyperlink ref="O121" r:id="rId63"/>
    <hyperlink ref="O122" r:id="rId64"/>
    <hyperlink ref="O20" r:id="rId65"/>
    <hyperlink ref="O21" r:id="rId66"/>
    <hyperlink ref="O22" r:id="rId67"/>
    <hyperlink ref="O25" r:id="rId68"/>
    <hyperlink ref="O26" r:id="rId69"/>
    <hyperlink ref="O32" r:id="rId70"/>
    <hyperlink ref="O33" r:id="rId71"/>
    <hyperlink ref="O48" r:id="rId72"/>
    <hyperlink ref="O52" r:id="rId73"/>
    <hyperlink ref="O53" r:id="rId74"/>
    <hyperlink ref="O60" r:id="rId75"/>
    <hyperlink ref="O62" r:id="rId76"/>
    <hyperlink ref="O63" r:id="rId77"/>
    <hyperlink ref="O64" r:id="rId78"/>
    <hyperlink ref="O83" r:id="rId79"/>
    <hyperlink ref="O84" r:id="rId80"/>
    <hyperlink ref="O85" r:id="rId81"/>
    <hyperlink ref="O86" r:id="rId82"/>
    <hyperlink ref="O87" r:id="rId83"/>
    <hyperlink ref="O90" r:id="rId84"/>
    <hyperlink ref="O91" r:id="rId85"/>
    <hyperlink ref="O92" r:id="rId86"/>
    <hyperlink ref="O93" r:id="rId87"/>
    <hyperlink ref="O96" r:id="rId88"/>
    <hyperlink ref="O97" r:id="rId89"/>
    <hyperlink ref="O98" r:id="rId90"/>
    <hyperlink ref="O99" r:id="rId91"/>
    <hyperlink ref="O100" r:id="rId92"/>
    <hyperlink ref="O101" r:id="rId93"/>
    <hyperlink ref="O102" r:id="rId94"/>
    <hyperlink ref="O103" r:id="rId95"/>
    <hyperlink ref="O106" r:id="rId96"/>
    <hyperlink ref="O111" r:id="rId97"/>
    <hyperlink ref="O112" r:id="rId98"/>
    <hyperlink ref="O113" r:id="rId99"/>
    <hyperlink ref="O114" r:id="rId100"/>
    <hyperlink ref="O116" r:id="rId101"/>
    <hyperlink ref="O117" r:id="rId102"/>
    <hyperlink ref="O118" r:id="rId103"/>
    <hyperlink ref="O119" r:id="rId104"/>
  </hyperlinks>
  <pageMargins left="0.7" right="0.7" top="0.75" bottom="0.75" header="0.3" footer="0.3"/>
  <pageSetup paperSize="9" orientation="portrait" r:id="rId10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2024-08-29T06:13:15Z</dcterms:modified>
</cp:coreProperties>
</file>