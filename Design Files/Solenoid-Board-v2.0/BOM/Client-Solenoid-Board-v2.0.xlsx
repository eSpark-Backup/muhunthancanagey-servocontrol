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Solenoid-Board-v2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60" i="1" l="1"/>
  <c r="B59" i="1"/>
  <c r="B58" i="1"/>
  <c r="B57" i="1"/>
  <c r="B56" i="1" l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<sst xmlns="http://schemas.openxmlformats.org/spreadsheetml/2006/main" count="418" uniqueCount="280">
  <si>
    <t>#</t>
  </si>
  <si>
    <t>Item Type</t>
  </si>
  <si>
    <t>Capacitor</t>
  </si>
  <si>
    <t>Capacitors</t>
  </si>
  <si>
    <t>Diode</t>
  </si>
  <si>
    <t>(TVS/ESD)</t>
  </si>
  <si>
    <t>TVS Diodes</t>
  </si>
  <si>
    <t>Diodes</t>
  </si>
  <si>
    <t>Fuses</t>
  </si>
  <si>
    <t>Fuse Holder</t>
  </si>
  <si>
    <t>Terminal Block</t>
  </si>
  <si>
    <t>Ethernet Connectors</t>
  </si>
  <si>
    <t>Male Header</t>
  </si>
  <si>
    <t>Inductor</t>
  </si>
  <si>
    <t>Ferrite Bead</t>
  </si>
  <si>
    <t>LED</t>
  </si>
  <si>
    <t>RGB LED</t>
  </si>
  <si>
    <t>MOSFETs</t>
  </si>
  <si>
    <t>Mosfet</t>
  </si>
  <si>
    <t>Resistor</t>
  </si>
  <si>
    <t>Resistors</t>
  </si>
  <si>
    <t>Switch</t>
  </si>
  <si>
    <t>IC</t>
  </si>
  <si>
    <t>Designator</t>
  </si>
  <si>
    <t>C1</t>
  </si>
  <si>
    <t>C2</t>
  </si>
  <si>
    <t>C3</t>
  </si>
  <si>
    <t>C4, C10</t>
  </si>
  <si>
    <t>C5, C7</t>
  </si>
  <si>
    <t>C6, C8, C13, C30, C31, C32, C33, C36, C37, C38, C39</t>
  </si>
  <si>
    <t>C9, C14, C15</t>
  </si>
  <si>
    <t>C11, C12</t>
  </si>
  <si>
    <t>C16, C18, C19, C20, C21, C22, C23, C24, C25, C26, C27</t>
  </si>
  <si>
    <t>C17</t>
  </si>
  <si>
    <t>C28, C29, C34, C35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</si>
  <si>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</si>
  <si>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</si>
  <si>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</si>
  <si>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</si>
  <si>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</si>
  <si>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</si>
  <si>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</si>
  <si>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</si>
  <si>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</si>
  <si>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D10, D11, D12, D13</t>
  </si>
  <si>
    <t>F1</t>
  </si>
  <si>
    <t>J1</t>
  </si>
  <si>
    <t>J2</t>
  </si>
  <si>
    <t>J3</t>
  </si>
  <si>
    <t>J4, J5</t>
  </si>
  <si>
    <t>J7</t>
  </si>
  <si>
    <t>J8, J9, J10, J11</t>
  </si>
  <si>
    <t>L1</t>
  </si>
  <si>
    <t>L2</t>
  </si>
  <si>
    <t>LED1, LED2, LED3, LED9, LED10, LED11, LED12</t>
  </si>
  <si>
    <t>LED4, LED5, LED6, LED7, LED8</t>
  </si>
  <si>
    <t>Q1</t>
  </si>
  <si>
    <t>Q2</t>
  </si>
  <si>
    <t>R1</t>
  </si>
  <si>
    <t>R2</t>
  </si>
  <si>
    <t>R3</t>
  </si>
  <si>
    <t>R4</t>
  </si>
  <si>
    <t>R5</t>
  </si>
  <si>
    <t>R6, R61, R62, R69, R70</t>
  </si>
  <si>
    <t>R7, R18, R22, R41, R42, R51, R52, R53, R55, R58, R63, R66</t>
  </si>
  <si>
    <t>R8, R9, R10, R12, R13, R14, R15, R17, R19, R20, R26, R27, R28, R29, R30, R31, R32, R33, R34, R35, R36, R37, R38, R39, R40, R43, R44, R45, R46, R47, R48, R49, R50</t>
  </si>
  <si>
    <t>R11, R23, R24, R25, R54</t>
  </si>
  <si>
    <t>R16, R21</t>
  </si>
  <si>
    <t>R56, R57, R59, R60, R64, R65, R67, R68</t>
  </si>
  <si>
    <t>SW1, SW3</t>
  </si>
  <si>
    <t>SW2</t>
  </si>
  <si>
    <t>U1</t>
  </si>
  <si>
    <t>U2</t>
  </si>
  <si>
    <t>U3</t>
  </si>
  <si>
    <t>U4</t>
  </si>
  <si>
    <t>U5</t>
  </si>
  <si>
    <t>U6</t>
  </si>
  <si>
    <t>U7, U8, U9, U10</t>
  </si>
  <si>
    <t>Description</t>
  </si>
  <si>
    <t>CAP ALUM 220UF 20% 50V SMD</t>
  </si>
  <si>
    <t>47uF 50V 66mA@120Hz ±20% SMD,D6.3xL7.7mm Aluminum Electrolytic Capacitors - SMD ROHS</t>
  </si>
  <si>
    <t>CAP CER 0.022UF 100V X7R 0805</t>
  </si>
  <si>
    <t>CAP CER 10UF 50V X5R 0805</t>
  </si>
  <si>
    <t>CAP CER 1UF 50V X5R 0603</t>
  </si>
  <si>
    <t>CAP CER 0.1UF 50V X7R 0603</t>
  </si>
  <si>
    <t>CAP CER 4.7UF 50V X7R 1206</t>
  </si>
  <si>
    <t>CAP CER 22UF 10V X7R 0805</t>
  </si>
  <si>
    <t>CAP CER 0.1UF 16V X7R 0402</t>
  </si>
  <si>
    <t>CAP CER 4.7UF 10V X5R 0402</t>
  </si>
  <si>
    <t>CAP ALUM POLY 10UF 20% 50V SMD</t>
  </si>
  <si>
    <t>TVS DIODE 58VWM 93.6VC SMB</t>
  </si>
  <si>
    <t>26.7V 24V SOD-123 ESD and Surge Protection (TVS/ESD) ROHS</t>
  </si>
  <si>
    <t>TVS DIODE 26VWM 42.1VC SMB</t>
  </si>
  <si>
    <t>6V 5V SOD-123 ESD and Surge Protection (TVS/ESD) ROHS</t>
  </si>
  <si>
    <t>TVS SURGE PROTECTOR 1-CH 3.3V</t>
  </si>
  <si>
    <t>TVS DIODE 24VWM 40VC SOT23-3</t>
  </si>
  <si>
    <t>SOT-23 TVS ROHS</t>
  </si>
  <si>
    <t>DIODE BIDIR ESD X4DFN2</t>
  </si>
  <si>
    <t>TVS DIODE 3VWM SOT323-5</t>
  </si>
  <si>
    <t>SMC(DO-214AB) Diodes - Fast Recovery Rectifiers ROHS</t>
  </si>
  <si>
    <t>PTC RESET FUSE 6V 1.1A 0805</t>
  </si>
  <si>
    <t>FUSE HOLDER BLADE 80V PCB</t>
  </si>
  <si>
    <t>1x2P 18A -40℃~+105℃ 250V Orange 12~30 Straight 5.08mm 2.5 1 2 Plugin,P=5.08mm Screw terminal ROHS</t>
  </si>
  <si>
    <t>RJ45Receptacle Unshielded 1 Bend-in Gold Phosphor Bronze Without LED Plugin Ethernet Connectors / Modular Connectors (RJ45 RJ11) ROHS</t>
  </si>
  <si>
    <t>Gold 250V 3A Straight Square Pins 2.5mm 2P 260℃ 6mm -40℃~+105℃ 3mm 2.54mm Plugin Black Brass 1x2P Plugin,P=2.54mm Pin Headers ROHS</t>
  </si>
  <si>
    <t>Gold 250V 3A Straight Square Pins 2.5mm 3P 260℃ 6mm -40℃~+105℃ 3mm 2.54mm Plugin Black Brass 1x3P Plugin,P=2.54mm Pin Headers ROHS</t>
  </si>
  <si>
    <t>1x2P 20A -40℃~+105℃ 300V Gray 12~30 Straight 5.08mm 1~2.5 1 2 Plugin,P=5.08mm Screw terminal ROHS</t>
  </si>
  <si>
    <t>2.26A 4.7uH ±20% SMD,7.3x7.3mm Power Inductors ROHS</t>
  </si>
  <si>
    <t>FERRITE BEAD 600 OHM 0402 1LN</t>
  </si>
  <si>
    <t>RED LED 0603 Light Emitting Diodes</t>
  </si>
  <si>
    <t>Plugin,D=5mm RGB LEDs ROHS</t>
  </si>
  <si>
    <t>MOSFET N-CH 60V 15A PWRDI3333</t>
  </si>
  <si>
    <t>N-CHANNEL 20-V (D-S) MOSFET</t>
  </si>
  <si>
    <t>RES 100K OHM 5% 1/10W 0603</t>
  </si>
  <si>
    <t>RES 3.9K OHM 1% 1/16W 0402</t>
  </si>
  <si>
    <t>RES SMD 698K OHM 0.1% 1/8W 0805</t>
  </si>
  <si>
    <t>RES SMD 51.1K OHM 0.1% 1/8W 0805</t>
  </si>
  <si>
    <t>RES 499 OHM 1% 1/16W 0402</t>
  </si>
  <si>
    <t>RES 240 OHM 1% 1/16W 0402</t>
  </si>
  <si>
    <t>RES 10K OHM 1% 1/16W 0402</t>
  </si>
  <si>
    <t>RES 0 OHM JUMPER 1/16W 0402</t>
  </si>
  <si>
    <t>RES 75 OHM 5% 1/16W 0402</t>
  </si>
  <si>
    <t>RES 120 OHM 1% 1/10W 0603</t>
  </si>
  <si>
    <t>RES 1M OHM 1% 1/16W 0402</t>
  </si>
  <si>
    <t>SWITCH TACTILE SPST-NO 0.05A 12V</t>
  </si>
  <si>
    <t>2 positions SPST Black Flat Toggle, Raised Style SMD-4P,5.1x6mm DIP Switches ROHS</t>
  </si>
  <si>
    <t>OR Controller N+1 ORing Controller N-Channel 1:1 SOT-23-6</t>
  </si>
  <si>
    <t>IC REG BUCK 5V 2A TSOT26</t>
  </si>
  <si>
    <t>IC REG LINEAR 3.3V 1.3A 6DFN</t>
  </si>
  <si>
    <t>IC TRANSCEIVER HALF 1/1 8SOIC</t>
  </si>
  <si>
    <t>IC MCU 32BIT 32KB FLASH 28UFQFPN</t>
  </si>
  <si>
    <t>IC PWR DRVR N-CHAN 1:1 8SOPWRPAD</t>
  </si>
  <si>
    <t>Footprint</t>
  </si>
  <si>
    <t>UCD-220uF-10mmDia</t>
  </si>
  <si>
    <t>RVT1H470M0607</t>
  </si>
  <si>
    <t>Cap-0805</t>
  </si>
  <si>
    <t>Cap-0603</t>
  </si>
  <si>
    <t>Cap-1206</t>
  </si>
  <si>
    <t>Cap-0402</t>
  </si>
  <si>
    <t>50SVPF10M</t>
  </si>
  <si>
    <t>SMB_</t>
  </si>
  <si>
    <t>SOD-123</t>
  </si>
  <si>
    <t>SOT-23</t>
  </si>
  <si>
    <t>DFN-2(0.3x0.6)</t>
  </si>
  <si>
    <t>SOT-323-5</t>
  </si>
  <si>
    <t>SMC</t>
  </si>
  <si>
    <t>Fuse-0805</t>
  </si>
  <si>
    <t>178.6165.0002</t>
  </si>
  <si>
    <t>DB128L-5.08-2P-OG-S</t>
  </si>
  <si>
    <t>HC-RJ45-5622-1-6-Y</t>
  </si>
  <si>
    <t>HDR1X2_</t>
  </si>
  <si>
    <t>HDR1X3_</t>
  </si>
  <si>
    <t>DB128L-5.08-2P-GY-S</t>
  </si>
  <si>
    <t>YPRH0703-4R7M</t>
  </si>
  <si>
    <t>IND-0402</t>
  </si>
  <si>
    <t>LED-0603</t>
  </si>
  <si>
    <t>WS2812D-F5</t>
  </si>
  <si>
    <t>PowerDI-3333-8</t>
  </si>
  <si>
    <t>Sot-23</t>
  </si>
  <si>
    <t>Res-0603</t>
  </si>
  <si>
    <t>Res-0402</t>
  </si>
  <si>
    <t>RES-0805</t>
  </si>
  <si>
    <t>B3U-1000P</t>
  </si>
  <si>
    <t>DSIC02LSGET</t>
  </si>
  <si>
    <t>SOT-23-6</t>
  </si>
  <si>
    <t>TSOT-23-6</t>
  </si>
  <si>
    <t>DFN-6(3x3)</t>
  </si>
  <si>
    <t>SOIC-8(0.154", 3.90mm Width)</t>
  </si>
  <si>
    <t>28-UFQFPN (4x4)</t>
  </si>
  <si>
    <t>8-SO PowerPad</t>
  </si>
  <si>
    <t>Manufacturer Part Number</t>
  </si>
  <si>
    <t>UCD1H221MNL1GS</t>
  </si>
  <si>
    <t>CC0805JRX7R0BB223</t>
  </si>
  <si>
    <t>GRM21BR61H106ME43L</t>
  </si>
  <si>
    <t>CL10A105KB8NNNC</t>
  </si>
  <si>
    <t>UMK316AB7475KL-T</t>
  </si>
  <si>
    <t>GRM21BZ71A226ME15L</t>
  </si>
  <si>
    <t>CC0402JRX7R7BB104</t>
  </si>
  <si>
    <t>CC0402KRX5R6BB475</t>
  </si>
  <si>
    <t>SMBJ58A-13-F</t>
  </si>
  <si>
    <t>AZ4024-01G</t>
  </si>
  <si>
    <t>SMBJ26A-13-F</t>
  </si>
  <si>
    <t>AZ3005-01G</t>
  </si>
  <si>
    <t>AZ3003-01G</t>
  </si>
  <si>
    <t>CDSOT23-T24CAN-Q</t>
  </si>
  <si>
    <t>SM712</t>
  </si>
  <si>
    <t>ESDM2033MX4T5G</t>
  </si>
  <si>
    <t>ESDALC6V1W5</t>
  </si>
  <si>
    <t>MURS360T3G</t>
  </si>
  <si>
    <t>0805L110SLYR</t>
  </si>
  <si>
    <t>X6511WV-02H-C60D30</t>
  </si>
  <si>
    <t>X6511WV-03H-C60D30</t>
  </si>
  <si>
    <t>BLM15AG601SN1D</t>
  </si>
  <si>
    <t>NCD0603R3</t>
  </si>
  <si>
    <t>DMT6007LFG-7</t>
  </si>
  <si>
    <t>SI2302CDS</t>
  </si>
  <si>
    <t>RC0603JR-07100KL</t>
  </si>
  <si>
    <t>RC0402FR-073K9L</t>
  </si>
  <si>
    <t>RT0805BRD07698KL</t>
  </si>
  <si>
    <t>RT0805BRD0751K1L</t>
  </si>
  <si>
    <t>RC0402FR-07499RL</t>
  </si>
  <si>
    <t>RC0402FR-07240RL</t>
  </si>
  <si>
    <t>RC0402FR-0710KL</t>
  </si>
  <si>
    <t>RC0402FR-070RL</t>
  </si>
  <si>
    <t>RC0402JR-0775RL</t>
  </si>
  <si>
    <t>RC0603FR-07120RL</t>
  </si>
  <si>
    <t>RC0402FR-071ML</t>
  </si>
  <si>
    <t>LM74700QDBVRQ1</t>
  </si>
  <si>
    <t>AP63205WU-7</t>
  </si>
  <si>
    <t>ST1L05APU33R</t>
  </si>
  <si>
    <t>TCAN3414DR</t>
  </si>
  <si>
    <t>THVD1449DR</t>
  </si>
  <si>
    <t>STM32F042G6U6</t>
  </si>
  <si>
    <t>DRV103H/2K5</t>
  </si>
  <si>
    <t>Manufacturer</t>
  </si>
  <si>
    <t>Nichicon</t>
  </si>
  <si>
    <t>ROQANG</t>
  </si>
  <si>
    <t>Yageo</t>
  </si>
  <si>
    <t>Murata</t>
  </si>
  <si>
    <t>Samsung</t>
  </si>
  <si>
    <t>Taiyo Yuden</t>
  </si>
  <si>
    <t>Panasonic</t>
  </si>
  <si>
    <t>AMAZING</t>
  </si>
  <si>
    <t>Amazing</t>
  </si>
  <si>
    <t>Bourns</t>
  </si>
  <si>
    <t>TECH PUBLIC</t>
  </si>
  <si>
    <t>ON Semiconductor</t>
  </si>
  <si>
    <t>STMicroelectronics</t>
  </si>
  <si>
    <t>FUXINSEMI</t>
  </si>
  <si>
    <t>Littelfuse</t>
  </si>
  <si>
    <t>Littelfuse Wickmann</t>
  </si>
  <si>
    <t>DORABO</t>
  </si>
  <si>
    <t>HCTL</t>
  </si>
  <si>
    <t>XKB</t>
  </si>
  <si>
    <t>YJYCOIN</t>
  </si>
  <si>
    <t>Foshan NationStar Optoelectronics</t>
  </si>
  <si>
    <t>Worldsemi</t>
  </si>
  <si>
    <t>Omron</t>
  </si>
  <si>
    <t>DongGuan</t>
  </si>
  <si>
    <t>Texas Instruments</t>
  </si>
  <si>
    <t>220uF</t>
  </si>
  <si>
    <t>47uF</t>
  </si>
  <si>
    <t>22nF</t>
  </si>
  <si>
    <t>10uF</t>
  </si>
  <si>
    <t>1uF</t>
  </si>
  <si>
    <t>0.1uF</t>
  </si>
  <si>
    <t>4.7uF</t>
  </si>
  <si>
    <t>22uF</t>
  </si>
  <si>
    <t>4.7uH</t>
  </si>
  <si>
    <t>100K</t>
  </si>
  <si>
    <t>3.9K</t>
  </si>
  <si>
    <t>698K</t>
  </si>
  <si>
    <t>51.1K</t>
  </si>
  <si>
    <t>499R</t>
  </si>
  <si>
    <t>240R</t>
  </si>
  <si>
    <t>10K</t>
  </si>
  <si>
    <t>0R</t>
  </si>
  <si>
    <t>75R</t>
  </si>
  <si>
    <t>120R</t>
  </si>
  <si>
    <t>1M</t>
  </si>
  <si>
    <t>Quantity</t>
  </si>
  <si>
    <t>Value</t>
  </si>
  <si>
    <t>Remarks</t>
  </si>
  <si>
    <t>-</t>
  </si>
  <si>
    <t>Custom</t>
  </si>
  <si>
    <t>CL10B104KB8WPNC</t>
  </si>
  <si>
    <t>Peripheral</t>
  </si>
  <si>
    <t>Fuse</t>
  </si>
  <si>
    <t>Shunt Jumper</t>
  </si>
  <si>
    <t>Open top 3A 2.54mm P=2.54mm Shunts, Jumpers ROHS</t>
  </si>
  <si>
    <t>X2541-A1NIB</t>
  </si>
  <si>
    <t>XKB Connection</t>
  </si>
  <si>
    <t>Should be provided by Client</t>
  </si>
  <si>
    <t>Tag Connect Cable</t>
  </si>
  <si>
    <t>TC2030-CTX 6-Pin Cable for ARM Cortex ATMEL</t>
  </si>
  <si>
    <t>TC2030-CTX</t>
  </si>
  <si>
    <t>Qty: 2 cables per whole order</t>
  </si>
  <si>
    <t>0287001.PXCN</t>
  </si>
  <si>
    <t>32V 1kA Blade fuse 1A Automotive Fuses ROHS</t>
  </si>
  <si>
    <t xml:space="preserve">Solenoid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</si>
</sst>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60"/>
  <sheetViews>
    <sheetView tabSelected="1" topLeftCell="A22" workbookViewId="0">
      <selection activeCell="G32" sqref="G32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3.85546875" bestFit="1" customWidth="1"/>
    <col min="7" max="7" width="25.285156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14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5"/>
      <c r="J1" s="15"/>
      <c r="K1" s="15"/>
    </row>
    <row r="2" spans="1:11" ht="15.75" thickBot="1" x14ac:dyDescent="0.3">
      <c r="A2" s="1"/>
      <c r="B2" s="5" t="s">
        <v>0</v>
      </c>
      <c r="C2" s="5" t="s">
        <v>1</v>
      </c>
      <c r="D2" s="5" t="s">
        <v>23</v>
      </c>
      <c r="E2" s="6" t="s">
        <v>78</v>
      </c>
      <c r="F2" s="5" t="s">
        <v>132</v>
      </c>
      <c r="G2" s="6" t="s">
        <v>170</v>
      </c>
      <c r="H2" s="5" t="s">
        <v>214</v>
      </c>
      <c r="I2" s="6" t="s">
        <v>261</v>
      </c>
      <c r="J2" s="5" t="s">
        <v>260</v>
      </c>
      <c r="K2" s="5" t="s">
        <v>262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24</v>
      </c>
      <c r="E3" s="8" t="s">
        <v>79</v>
      </c>
      <c r="F3" s="7" t="s">
        <v>133</v>
      </c>
      <c r="G3" s="8" t="s">
        <v>171</v>
      </c>
      <c r="H3" s="7" t="s">
        <v>215</v>
      </c>
      <c r="I3" s="8" t="s">
        <v>240</v>
      </c>
      <c r="J3" s="7">
        <v>1</v>
      </c>
      <c r="K3" s="7"/>
    </row>
    <row r="4" spans="1:11" ht="36.75" thickBot="1" x14ac:dyDescent="0.3">
      <c r="A4" s="1"/>
      <c r="B4" s="11">
        <f t="shared" ref="B4:B55" si="0">ROW(B4) - ROW($B$2)</f>
        <v>2</v>
      </c>
      <c r="C4" s="13" t="s">
        <v>2</v>
      </c>
      <c r="D4" s="9" t="s">
        <v>25</v>
      </c>
      <c r="E4" s="10" t="s">
        <v>80</v>
      </c>
      <c r="F4" s="9" t="s">
        <v>264</v>
      </c>
      <c r="G4" s="10" t="s">
        <v>134</v>
      </c>
      <c r="H4" s="9" t="s">
        <v>216</v>
      </c>
      <c r="I4" s="10" t="s">
        <v>241</v>
      </c>
      <c r="J4" s="9">
        <v>1</v>
      </c>
      <c r="K4" s="9"/>
    </row>
    <row r="5" spans="1:11" ht="15.75" thickBot="1" x14ac:dyDescent="0.3">
      <c r="A5" s="1"/>
      <c r="B5" s="11">
        <f>ROW(B5) - ROW($B$2)</f>
        <v>3</v>
      </c>
      <c r="C5" s="12" t="s">
        <v>3</v>
      </c>
      <c r="D5" s="7" t="s">
        <v>26</v>
      </c>
      <c r="E5" s="8" t="s">
        <v>81</v>
      </c>
      <c r="F5" s="7" t="s">
        <v>135</v>
      </c>
      <c r="G5" s="8" t="s">
        <v>172</v>
      </c>
      <c r="H5" s="7" t="s">
        <v>217</v>
      </c>
      <c r="I5" s="8" t="s">
        <v>242</v>
      </c>
      <c r="J5" s="7">
        <v>1</v>
      </c>
      <c r="K5" s="7"/>
    </row>
    <row r="6" spans="1:11" ht="15.75" thickBot="1" x14ac:dyDescent="0.3">
      <c r="A6" s="1"/>
      <c r="B6" s="11">
        <f t="shared" si="0"/>
        <v>4</v>
      </c>
      <c r="C6" s="12" t="s">
        <v>3</v>
      </c>
      <c r="D6" s="9" t="s">
        <v>27</v>
      </c>
      <c r="E6" s="10" t="s">
        <v>82</v>
      </c>
      <c r="F6" s="9" t="s">
        <v>135</v>
      </c>
      <c r="G6" s="10" t="s">
        <v>173</v>
      </c>
      <c r="H6" s="9" t="s">
        <v>218</v>
      </c>
      <c r="I6" s="10" t="s">
        <v>243</v>
      </c>
      <c r="J6" s="9">
        <v>2</v>
      </c>
      <c r="K6" s="9"/>
    </row>
    <row r="7" spans="1:11" ht="15.75" thickBot="1" x14ac:dyDescent="0.3">
      <c r="A7" s="1"/>
      <c r="B7" s="11">
        <f>ROW(B7) - ROW($B$2)</f>
        <v>5</v>
      </c>
      <c r="C7" s="12" t="s">
        <v>2</v>
      </c>
      <c r="D7" s="7" t="s">
        <v>28</v>
      </c>
      <c r="E7" s="8" t="s">
        <v>83</v>
      </c>
      <c r="F7" s="7" t="s">
        <v>136</v>
      </c>
      <c r="G7" s="8" t="s">
        <v>174</v>
      </c>
      <c r="H7" s="7" t="s">
        <v>219</v>
      </c>
      <c r="I7" s="8" t="s">
        <v>244</v>
      </c>
      <c r="J7" s="7">
        <v>2</v>
      </c>
      <c r="K7" s="7"/>
    </row>
    <row r="8" spans="1:11" ht="24.75" thickBot="1" x14ac:dyDescent="0.3">
      <c r="A8" s="1"/>
      <c r="B8" s="11">
        <f t="shared" si="0"/>
        <v>6</v>
      </c>
      <c r="C8" s="13" t="s">
        <v>2</v>
      </c>
      <c r="D8" s="9" t="s">
        <v>29</v>
      </c>
      <c r="E8" s="10" t="s">
        <v>84</v>
      </c>
      <c r="F8" s="9" t="s">
        <v>136</v>
      </c>
      <c r="G8" s="10" t="s">
        <v>265</v>
      </c>
      <c r="H8" s="7" t="s">
        <v>219</v>
      </c>
      <c r="I8" s="10" t="s">
        <v>245</v>
      </c>
      <c r="J8" s="9">
        <v>11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30</v>
      </c>
      <c r="E9" s="8" t="s">
        <v>85</v>
      </c>
      <c r="F9" s="7" t="s">
        <v>137</v>
      </c>
      <c r="G9" s="8" t="s">
        <v>175</v>
      </c>
      <c r="H9" s="7" t="s">
        <v>220</v>
      </c>
      <c r="I9" s="8" t="s">
        <v>246</v>
      </c>
      <c r="J9" s="7">
        <v>3</v>
      </c>
      <c r="K9" s="7"/>
    </row>
    <row r="10" spans="1:11" ht="15.75" thickBot="1" x14ac:dyDescent="0.3">
      <c r="A10" s="1"/>
      <c r="B10" s="11">
        <f t="shared" si="0"/>
        <v>8</v>
      </c>
      <c r="C10" s="13" t="s">
        <v>2</v>
      </c>
      <c r="D10" s="9" t="s">
        <v>31</v>
      </c>
      <c r="E10" s="10" t="s">
        <v>86</v>
      </c>
      <c r="F10" s="9" t="s">
        <v>135</v>
      </c>
      <c r="G10" s="10" t="s">
        <v>176</v>
      </c>
      <c r="H10" s="9" t="s">
        <v>218</v>
      </c>
      <c r="I10" s="10" t="s">
        <v>247</v>
      </c>
      <c r="J10" s="9">
        <v>2</v>
      </c>
      <c r="K10" s="9"/>
    </row>
    <row r="11" spans="1:11" ht="24.75" thickBot="1" x14ac:dyDescent="0.3">
      <c r="A11" s="1"/>
      <c r="B11" s="11">
        <f>ROW(B11) - ROW($B$2)</f>
        <v>9</v>
      </c>
      <c r="C11" s="12" t="s">
        <v>2</v>
      </c>
      <c r="D11" s="7" t="s">
        <v>32</v>
      </c>
      <c r="E11" s="8" t="s">
        <v>87</v>
      </c>
      <c r="F11" s="7" t="s">
        <v>138</v>
      </c>
      <c r="G11" s="8" t="s">
        <v>177</v>
      </c>
      <c r="H11" s="7" t="s">
        <v>217</v>
      </c>
      <c r="I11" s="8" t="s">
        <v>245</v>
      </c>
      <c r="J11" s="7">
        <v>11</v>
      </c>
      <c r="K11" s="7"/>
    </row>
    <row r="12" spans="1:11" ht="15.75" thickBot="1" x14ac:dyDescent="0.3">
      <c r="A12" s="1"/>
      <c r="B12" s="11">
        <f t="shared" si="0"/>
        <v>10</v>
      </c>
      <c r="C12" s="12" t="s">
        <v>2</v>
      </c>
      <c r="D12" s="9" t="s">
        <v>33</v>
      </c>
      <c r="E12" s="10" t="s">
        <v>88</v>
      </c>
      <c r="F12" s="9" t="s">
        <v>138</v>
      </c>
      <c r="G12" s="10" t="s">
        <v>178</v>
      </c>
      <c r="H12" s="9" t="s">
        <v>217</v>
      </c>
      <c r="I12" s="10" t="s">
        <v>246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2</v>
      </c>
      <c r="D13" s="7" t="s">
        <v>34</v>
      </c>
      <c r="E13" s="8" t="s">
        <v>89</v>
      </c>
      <c r="F13" s="7" t="s">
        <v>264</v>
      </c>
      <c r="G13" s="8" t="s">
        <v>139</v>
      </c>
      <c r="H13" s="7" t="s">
        <v>221</v>
      </c>
      <c r="I13" s="8" t="s">
        <v>243</v>
      </c>
      <c r="J13" s="7">
        <v>4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4</v>
      </c>
      <c r="D14" s="9" t="s">
        <v>35</v>
      </c>
      <c r="E14" s="10" t="s">
        <v>90</v>
      </c>
      <c r="F14" s="9" t="s">
        <v>140</v>
      </c>
      <c r="G14" s="10" t="s">
        <v>179</v>
      </c>
      <c r="H14" s="9" t="s">
        <v>7</v>
      </c>
      <c r="I14" s="10" t="s">
        <v>263</v>
      </c>
      <c r="J14" s="9">
        <v>1</v>
      </c>
      <c r="K14" s="9"/>
    </row>
    <row r="15" spans="1:11" ht="24.75" thickBot="1" x14ac:dyDescent="0.3">
      <c r="A15" s="1"/>
      <c r="B15" s="11">
        <f>ROW(B15) - ROW($B$2)</f>
        <v>13</v>
      </c>
      <c r="C15" s="12" t="s">
        <v>5</v>
      </c>
      <c r="D15" s="7" t="s">
        <v>36</v>
      </c>
      <c r="E15" s="8" t="s">
        <v>91</v>
      </c>
      <c r="F15" s="7" t="s">
        <v>141</v>
      </c>
      <c r="G15" s="8" t="s">
        <v>180</v>
      </c>
      <c r="H15" s="7" t="s">
        <v>222</v>
      </c>
      <c r="I15" s="10" t="s">
        <v>263</v>
      </c>
      <c r="J15" s="7">
        <v>1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6</v>
      </c>
      <c r="D16" s="9" t="s">
        <v>37</v>
      </c>
      <c r="E16" s="10" t="s">
        <v>92</v>
      </c>
      <c r="F16" s="9" t="s">
        <v>140</v>
      </c>
      <c r="G16" s="10" t="s">
        <v>181</v>
      </c>
      <c r="H16" s="9" t="s">
        <v>7</v>
      </c>
      <c r="I16" s="10" t="s">
        <v>263</v>
      </c>
      <c r="J16" s="9">
        <v>1</v>
      </c>
      <c r="K16" s="9"/>
    </row>
    <row r="17" spans="1:11" ht="24.75" thickBot="1" x14ac:dyDescent="0.3">
      <c r="A17" s="1"/>
      <c r="B17" s="11">
        <f>ROW(B17) - ROW($B$2)</f>
        <v>15</v>
      </c>
      <c r="C17" s="12" t="s">
        <v>5</v>
      </c>
      <c r="D17" s="7" t="s">
        <v>38</v>
      </c>
      <c r="E17" s="8" t="s">
        <v>93</v>
      </c>
      <c r="F17" s="7" t="s">
        <v>141</v>
      </c>
      <c r="G17" s="8" t="s">
        <v>182</v>
      </c>
      <c r="H17" s="7" t="s">
        <v>222</v>
      </c>
      <c r="I17" s="10" t="s">
        <v>263</v>
      </c>
      <c r="J17" s="7">
        <v>1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4</v>
      </c>
      <c r="D18" s="9" t="s">
        <v>39</v>
      </c>
      <c r="E18" s="10" t="s">
        <v>94</v>
      </c>
      <c r="F18" s="9" t="s">
        <v>141</v>
      </c>
      <c r="G18" s="10" t="s">
        <v>183</v>
      </c>
      <c r="H18" s="9" t="s">
        <v>223</v>
      </c>
      <c r="I18" s="10" t="s">
        <v>263</v>
      </c>
      <c r="J18" s="9">
        <v>1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6</v>
      </c>
      <c r="D19" s="7" t="s">
        <v>40</v>
      </c>
      <c r="E19" s="8" t="s">
        <v>95</v>
      </c>
      <c r="F19" s="7" t="s">
        <v>142</v>
      </c>
      <c r="G19" s="8" t="s">
        <v>184</v>
      </c>
      <c r="H19" s="7" t="s">
        <v>224</v>
      </c>
      <c r="I19" s="10" t="s">
        <v>263</v>
      </c>
      <c r="J19" s="7">
        <v>1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4</v>
      </c>
      <c r="D20" s="9" t="s">
        <v>41</v>
      </c>
      <c r="E20" s="10" t="s">
        <v>96</v>
      </c>
      <c r="F20" s="9" t="s">
        <v>142</v>
      </c>
      <c r="G20" s="10" t="s">
        <v>185</v>
      </c>
      <c r="H20" s="9" t="s">
        <v>225</v>
      </c>
      <c r="I20" s="10" t="s">
        <v>263</v>
      </c>
      <c r="J20" s="9">
        <v>1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5</v>
      </c>
      <c r="D21" s="7" t="s">
        <v>42</v>
      </c>
      <c r="E21" s="8" t="s">
        <v>97</v>
      </c>
      <c r="F21" s="7" t="s">
        <v>143</v>
      </c>
      <c r="G21" s="8" t="s">
        <v>186</v>
      </c>
      <c r="H21" s="7" t="s">
        <v>226</v>
      </c>
      <c r="I21" s="10" t="s">
        <v>263</v>
      </c>
      <c r="J21" s="7">
        <v>1</v>
      </c>
      <c r="K21" s="7"/>
    </row>
    <row r="22" spans="1:11" ht="15.75" thickBot="1" x14ac:dyDescent="0.3">
      <c r="A22" s="1"/>
      <c r="B22" s="11">
        <f t="shared" si="0"/>
        <v>20</v>
      </c>
      <c r="C22" s="13" t="s">
        <v>6</v>
      </c>
      <c r="D22" s="9" t="s">
        <v>43</v>
      </c>
      <c r="E22" s="10" t="s">
        <v>98</v>
      </c>
      <c r="F22" s="9" t="s">
        <v>144</v>
      </c>
      <c r="G22" s="10" t="s">
        <v>187</v>
      </c>
      <c r="H22" s="9" t="s">
        <v>227</v>
      </c>
      <c r="I22" s="10" t="s">
        <v>263</v>
      </c>
      <c r="J22" s="9">
        <v>1</v>
      </c>
      <c r="K22" s="9"/>
    </row>
    <row r="23" spans="1:11" ht="24.75" thickBot="1" x14ac:dyDescent="0.3">
      <c r="A23" s="1"/>
      <c r="B23" s="11">
        <f>ROW(B23) - ROW($B$2)</f>
        <v>21</v>
      </c>
      <c r="C23" s="12" t="s">
        <v>7</v>
      </c>
      <c r="D23" s="7" t="s">
        <v>44</v>
      </c>
      <c r="E23" s="8" t="s">
        <v>99</v>
      </c>
      <c r="F23" s="7" t="s">
        <v>145</v>
      </c>
      <c r="G23" s="8" t="s">
        <v>188</v>
      </c>
      <c r="H23" s="7" t="s">
        <v>228</v>
      </c>
      <c r="I23" s="10" t="s">
        <v>263</v>
      </c>
      <c r="J23" s="7">
        <v>4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8</v>
      </c>
      <c r="D24" s="9" t="s">
        <v>45</v>
      </c>
      <c r="E24" s="10" t="s">
        <v>100</v>
      </c>
      <c r="F24" s="9" t="s">
        <v>146</v>
      </c>
      <c r="G24" s="10" t="s">
        <v>189</v>
      </c>
      <c r="H24" s="9" t="s">
        <v>229</v>
      </c>
      <c r="I24" s="10" t="s">
        <v>263</v>
      </c>
      <c r="J24" s="9">
        <v>1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9</v>
      </c>
      <c r="D25" s="7" t="s">
        <v>46</v>
      </c>
      <c r="E25" s="8" t="s">
        <v>101</v>
      </c>
      <c r="F25" s="7" t="s">
        <v>264</v>
      </c>
      <c r="G25" s="8" t="s">
        <v>147</v>
      </c>
      <c r="H25" s="7" t="s">
        <v>230</v>
      </c>
      <c r="I25" s="10" t="s">
        <v>263</v>
      </c>
      <c r="J25" s="7">
        <v>1</v>
      </c>
      <c r="K25" s="7"/>
    </row>
    <row r="26" spans="1:11" ht="48.75" thickBot="1" x14ac:dyDescent="0.3">
      <c r="A26" s="1"/>
      <c r="B26" s="11">
        <f t="shared" si="0"/>
        <v>24</v>
      </c>
      <c r="C26" s="13" t="s">
        <v>10</v>
      </c>
      <c r="D26" s="9" t="s">
        <v>47</v>
      </c>
      <c r="E26" s="10" t="s">
        <v>102</v>
      </c>
      <c r="F26" s="7" t="s">
        <v>264</v>
      </c>
      <c r="G26" s="10" t="s">
        <v>148</v>
      </c>
      <c r="H26" s="9" t="s">
        <v>231</v>
      </c>
      <c r="I26" s="10" t="s">
        <v>263</v>
      </c>
      <c r="J26" s="9">
        <v>1</v>
      </c>
      <c r="K26" s="9"/>
    </row>
    <row r="27" spans="1:11" ht="60.75" thickBot="1" x14ac:dyDescent="0.3">
      <c r="A27" s="1"/>
      <c r="B27" s="11">
        <f>ROW(B27) - ROW($B$2)</f>
        <v>25</v>
      </c>
      <c r="C27" s="12" t="s">
        <v>11</v>
      </c>
      <c r="D27" s="7" t="s">
        <v>48</v>
      </c>
      <c r="E27" s="8" t="s">
        <v>103</v>
      </c>
      <c r="F27" s="7" t="s">
        <v>264</v>
      </c>
      <c r="G27" s="8" t="s">
        <v>149</v>
      </c>
      <c r="H27" s="7" t="s">
        <v>232</v>
      </c>
      <c r="I27" s="10" t="s">
        <v>263</v>
      </c>
      <c r="J27" s="7">
        <v>1</v>
      </c>
      <c r="K27" s="7"/>
    </row>
    <row r="28" spans="1:11" ht="48.75" thickBot="1" x14ac:dyDescent="0.3">
      <c r="A28" s="1"/>
      <c r="B28" s="11">
        <f t="shared" si="0"/>
        <v>26</v>
      </c>
      <c r="C28" s="13" t="s">
        <v>12</v>
      </c>
      <c r="D28" s="9" t="s">
        <v>49</v>
      </c>
      <c r="E28" s="10" t="s">
        <v>104</v>
      </c>
      <c r="F28" s="9" t="s">
        <v>150</v>
      </c>
      <c r="G28" s="10" t="s">
        <v>190</v>
      </c>
      <c r="H28" s="9" t="s">
        <v>233</v>
      </c>
      <c r="I28" s="10" t="s">
        <v>263</v>
      </c>
      <c r="J28" s="9">
        <v>2</v>
      </c>
      <c r="K28" s="9"/>
    </row>
    <row r="29" spans="1:11" ht="48.75" thickBot="1" x14ac:dyDescent="0.3">
      <c r="A29" s="1"/>
      <c r="B29" s="11">
        <f t="shared" si="0"/>
        <v>27</v>
      </c>
      <c r="C29" s="13" t="s">
        <v>12</v>
      </c>
      <c r="D29" s="9" t="s">
        <v>50</v>
      </c>
      <c r="E29" s="10" t="s">
        <v>105</v>
      </c>
      <c r="F29" s="9" t="s">
        <v>151</v>
      </c>
      <c r="G29" s="10" t="s">
        <v>191</v>
      </c>
      <c r="H29" s="9" t="s">
        <v>233</v>
      </c>
      <c r="I29" s="10" t="s">
        <v>263</v>
      </c>
      <c r="J29" s="9">
        <v>1</v>
      </c>
      <c r="K29" s="9"/>
    </row>
    <row r="30" spans="1:11" ht="48.75" thickBot="1" x14ac:dyDescent="0.3">
      <c r="A30" s="1"/>
      <c r="B30" s="11">
        <f>ROW(B30) - ROW($B$2)</f>
        <v>28</v>
      </c>
      <c r="C30" s="12" t="s">
        <v>10</v>
      </c>
      <c r="D30" s="7" t="s">
        <v>51</v>
      </c>
      <c r="E30" s="8" t="s">
        <v>106</v>
      </c>
      <c r="F30" s="7" t="s">
        <v>264</v>
      </c>
      <c r="G30" s="8" t="s">
        <v>152</v>
      </c>
      <c r="H30" s="7" t="s">
        <v>231</v>
      </c>
      <c r="I30" s="10" t="s">
        <v>263</v>
      </c>
      <c r="J30" s="7">
        <v>4</v>
      </c>
      <c r="K30" s="7"/>
    </row>
    <row r="31" spans="1:11" ht="24.75" thickBot="1" x14ac:dyDescent="0.3">
      <c r="A31" s="1"/>
      <c r="B31" s="11">
        <f t="shared" si="0"/>
        <v>29</v>
      </c>
      <c r="C31" s="13" t="s">
        <v>13</v>
      </c>
      <c r="D31" s="9" t="s">
        <v>52</v>
      </c>
      <c r="E31" s="10" t="s">
        <v>107</v>
      </c>
      <c r="F31" s="7" t="s">
        <v>264</v>
      </c>
      <c r="G31" s="10" t="s">
        <v>153</v>
      </c>
      <c r="H31" s="9" t="s">
        <v>234</v>
      </c>
      <c r="I31" s="10" t="s">
        <v>248</v>
      </c>
      <c r="J31" s="9">
        <v>1</v>
      </c>
      <c r="K31" s="9"/>
    </row>
    <row r="32" spans="1:11" ht="15.75" thickBot="1" x14ac:dyDescent="0.3">
      <c r="A32" s="1"/>
      <c r="B32" s="11">
        <f>ROW(B32) - ROW($B$2)</f>
        <v>30</v>
      </c>
      <c r="C32" s="12" t="s">
        <v>14</v>
      </c>
      <c r="D32" s="7" t="s">
        <v>53</v>
      </c>
      <c r="E32" s="8" t="s">
        <v>108</v>
      </c>
      <c r="F32" s="7" t="s">
        <v>154</v>
      </c>
      <c r="G32" s="8" t="s">
        <v>192</v>
      </c>
      <c r="H32" s="7" t="s">
        <v>218</v>
      </c>
      <c r="I32" s="8" t="s">
        <v>263</v>
      </c>
      <c r="J32" s="7">
        <v>1</v>
      </c>
      <c r="K32" s="7"/>
    </row>
    <row r="33" spans="1:11" ht="24.75" thickBot="1" x14ac:dyDescent="0.3">
      <c r="A33" s="1"/>
      <c r="B33" s="11">
        <f t="shared" si="0"/>
        <v>31</v>
      </c>
      <c r="C33" s="13" t="s">
        <v>15</v>
      </c>
      <c r="D33" s="9" t="s">
        <v>54</v>
      </c>
      <c r="E33" s="10" t="s">
        <v>109</v>
      </c>
      <c r="F33" s="9" t="s">
        <v>155</v>
      </c>
      <c r="G33" s="10" t="s">
        <v>193</v>
      </c>
      <c r="H33" s="9" t="s">
        <v>235</v>
      </c>
      <c r="I33" s="8" t="s">
        <v>263</v>
      </c>
      <c r="J33" s="9">
        <v>7</v>
      </c>
      <c r="K33" s="9"/>
    </row>
    <row r="34" spans="1:11" ht="15.75" thickBot="1" x14ac:dyDescent="0.3">
      <c r="A34" s="1"/>
      <c r="B34" s="11">
        <f>ROW(B34) - ROW($B$2)</f>
        <v>32</v>
      </c>
      <c r="C34" s="12" t="s">
        <v>16</v>
      </c>
      <c r="D34" s="7" t="s">
        <v>55</v>
      </c>
      <c r="E34" s="8" t="s">
        <v>110</v>
      </c>
      <c r="F34" s="7" t="s">
        <v>264</v>
      </c>
      <c r="G34" s="8" t="s">
        <v>156</v>
      </c>
      <c r="H34" s="7" t="s">
        <v>236</v>
      </c>
      <c r="I34" s="8" t="s">
        <v>263</v>
      </c>
      <c r="J34" s="7">
        <v>5</v>
      </c>
      <c r="K34" s="7"/>
    </row>
    <row r="35" spans="1:11" ht="15.75" thickBot="1" x14ac:dyDescent="0.3">
      <c r="A35" s="1"/>
      <c r="B35" s="11">
        <f t="shared" si="0"/>
        <v>33</v>
      </c>
      <c r="C35" s="13" t="s">
        <v>17</v>
      </c>
      <c r="D35" s="9" t="s">
        <v>56</v>
      </c>
      <c r="E35" s="10" t="s">
        <v>111</v>
      </c>
      <c r="F35" s="9" t="s">
        <v>157</v>
      </c>
      <c r="G35" s="10" t="s">
        <v>194</v>
      </c>
      <c r="H35" s="9" t="s">
        <v>7</v>
      </c>
      <c r="I35" s="8" t="s">
        <v>263</v>
      </c>
      <c r="J35" s="9">
        <v>1</v>
      </c>
      <c r="K35" s="9"/>
    </row>
    <row r="36" spans="1:11" ht="15.75" thickBot="1" x14ac:dyDescent="0.3">
      <c r="A36" s="1"/>
      <c r="B36" s="11">
        <f>ROW(B36) - ROW($B$2)</f>
        <v>34</v>
      </c>
      <c r="C36" s="12" t="s">
        <v>18</v>
      </c>
      <c r="D36" s="7" t="s">
        <v>57</v>
      </c>
      <c r="E36" s="8" t="s">
        <v>112</v>
      </c>
      <c r="F36" s="7" t="s">
        <v>158</v>
      </c>
      <c r="G36" s="8" t="s">
        <v>195</v>
      </c>
      <c r="H36" s="7" t="s">
        <v>225</v>
      </c>
      <c r="I36" s="8" t="s">
        <v>263</v>
      </c>
      <c r="J36" s="7">
        <v>1</v>
      </c>
      <c r="K36" s="7"/>
    </row>
    <row r="37" spans="1:11" ht="15.75" thickBot="1" x14ac:dyDescent="0.3">
      <c r="A37" s="1"/>
      <c r="B37" s="11">
        <f t="shared" si="0"/>
        <v>35</v>
      </c>
      <c r="C37" s="13" t="s">
        <v>19</v>
      </c>
      <c r="D37" s="9" t="s">
        <v>58</v>
      </c>
      <c r="E37" s="10" t="s">
        <v>113</v>
      </c>
      <c r="F37" s="9" t="s">
        <v>159</v>
      </c>
      <c r="G37" s="10" t="s">
        <v>196</v>
      </c>
      <c r="H37" s="9" t="s">
        <v>217</v>
      </c>
      <c r="I37" s="10" t="s">
        <v>249</v>
      </c>
      <c r="J37" s="9">
        <v>1</v>
      </c>
      <c r="K37" s="9"/>
    </row>
    <row r="38" spans="1:11" ht="15.75" thickBot="1" x14ac:dyDescent="0.3">
      <c r="A38" s="1"/>
      <c r="B38" s="11">
        <f>ROW(B38) - ROW($B$2)</f>
        <v>36</v>
      </c>
      <c r="C38" s="12" t="s">
        <v>19</v>
      </c>
      <c r="D38" s="7" t="s">
        <v>59</v>
      </c>
      <c r="E38" s="8" t="s">
        <v>114</v>
      </c>
      <c r="F38" s="7" t="s">
        <v>160</v>
      </c>
      <c r="G38" s="8" t="s">
        <v>197</v>
      </c>
      <c r="H38" s="7" t="s">
        <v>217</v>
      </c>
      <c r="I38" s="8" t="s">
        <v>250</v>
      </c>
      <c r="J38" s="7">
        <v>1</v>
      </c>
      <c r="K38" s="7"/>
    </row>
    <row r="39" spans="1:11" ht="15.75" thickBot="1" x14ac:dyDescent="0.3">
      <c r="A39" s="1"/>
      <c r="B39" s="11">
        <f t="shared" si="0"/>
        <v>37</v>
      </c>
      <c r="C39" s="13" t="s">
        <v>19</v>
      </c>
      <c r="D39" s="9" t="s">
        <v>60</v>
      </c>
      <c r="E39" s="10" t="s">
        <v>115</v>
      </c>
      <c r="F39" s="9" t="s">
        <v>161</v>
      </c>
      <c r="G39" s="10" t="s">
        <v>198</v>
      </c>
      <c r="H39" s="9" t="s">
        <v>217</v>
      </c>
      <c r="I39" s="10" t="s">
        <v>251</v>
      </c>
      <c r="J39" s="9">
        <v>1</v>
      </c>
      <c r="K39" s="9"/>
    </row>
    <row r="40" spans="1:11" ht="15.75" thickBot="1" x14ac:dyDescent="0.3">
      <c r="A40" s="1"/>
      <c r="B40" s="11">
        <f>ROW(B40) - ROW($B$2)</f>
        <v>38</v>
      </c>
      <c r="C40" s="12" t="s">
        <v>20</v>
      </c>
      <c r="D40" s="7" t="s">
        <v>61</v>
      </c>
      <c r="E40" s="8" t="s">
        <v>116</v>
      </c>
      <c r="F40" s="7" t="s">
        <v>161</v>
      </c>
      <c r="G40" s="8" t="s">
        <v>199</v>
      </c>
      <c r="H40" s="7" t="s">
        <v>217</v>
      </c>
      <c r="I40" s="8" t="s">
        <v>252</v>
      </c>
      <c r="J40" s="7">
        <v>1</v>
      </c>
      <c r="K40" s="7"/>
    </row>
    <row r="41" spans="1:11" ht="15.75" thickBot="1" x14ac:dyDescent="0.3">
      <c r="A41" s="1"/>
      <c r="B41" s="11">
        <f t="shared" si="0"/>
        <v>39</v>
      </c>
      <c r="C41" s="13"/>
      <c r="D41" s="9" t="s">
        <v>62</v>
      </c>
      <c r="E41" s="10" t="s">
        <v>117</v>
      </c>
      <c r="F41" s="9" t="s">
        <v>160</v>
      </c>
      <c r="G41" s="10" t="s">
        <v>200</v>
      </c>
      <c r="H41" s="9" t="s">
        <v>217</v>
      </c>
      <c r="I41" s="10" t="s">
        <v>253</v>
      </c>
      <c r="J41" s="9">
        <v>1</v>
      </c>
      <c r="K41" s="9"/>
    </row>
    <row r="42" spans="1:11" ht="15.75" thickBot="1" x14ac:dyDescent="0.3">
      <c r="A42" s="1"/>
      <c r="B42" s="11">
        <f>ROW(B42) - ROW($B$2)</f>
        <v>40</v>
      </c>
      <c r="C42" s="12" t="s">
        <v>20</v>
      </c>
      <c r="D42" s="7" t="s">
        <v>63</v>
      </c>
      <c r="E42" s="8" t="s">
        <v>118</v>
      </c>
      <c r="F42" s="7" t="s">
        <v>160</v>
      </c>
      <c r="G42" s="8" t="s">
        <v>201</v>
      </c>
      <c r="H42" s="7" t="s">
        <v>217</v>
      </c>
      <c r="I42" s="8" t="s">
        <v>254</v>
      </c>
      <c r="J42" s="7">
        <v>5</v>
      </c>
      <c r="K42" s="7"/>
    </row>
    <row r="43" spans="1:11" ht="24.75" thickBot="1" x14ac:dyDescent="0.3">
      <c r="A43" s="1"/>
      <c r="B43" s="11">
        <f t="shared" si="0"/>
        <v>41</v>
      </c>
      <c r="C43" s="13" t="s">
        <v>19</v>
      </c>
      <c r="D43" s="9" t="s">
        <v>64</v>
      </c>
      <c r="E43" s="10" t="s">
        <v>119</v>
      </c>
      <c r="F43" s="9" t="s">
        <v>160</v>
      </c>
      <c r="G43" s="10" t="s">
        <v>202</v>
      </c>
      <c r="H43" s="9" t="s">
        <v>217</v>
      </c>
      <c r="I43" s="10" t="s">
        <v>255</v>
      </c>
      <c r="J43" s="9">
        <v>12</v>
      </c>
      <c r="K43" s="9"/>
    </row>
    <row r="44" spans="1:11" ht="48.75" thickBot="1" x14ac:dyDescent="0.3">
      <c r="A44" s="1"/>
      <c r="B44" s="11">
        <f>ROW(B44) - ROW($B$2)</f>
        <v>42</v>
      </c>
      <c r="C44" s="12" t="s">
        <v>20</v>
      </c>
      <c r="D44" s="7" t="s">
        <v>65</v>
      </c>
      <c r="E44" s="8" t="s">
        <v>120</v>
      </c>
      <c r="F44" s="7" t="s">
        <v>160</v>
      </c>
      <c r="G44" s="8" t="s">
        <v>203</v>
      </c>
      <c r="H44" s="7" t="s">
        <v>217</v>
      </c>
      <c r="I44" s="8" t="s">
        <v>256</v>
      </c>
      <c r="J44" s="7">
        <v>33</v>
      </c>
      <c r="K44" s="7"/>
    </row>
    <row r="45" spans="1:11" ht="15.75" thickBot="1" x14ac:dyDescent="0.3">
      <c r="A45" s="1"/>
      <c r="B45" s="11">
        <f t="shared" si="0"/>
        <v>43</v>
      </c>
      <c r="C45" s="13" t="s">
        <v>19</v>
      </c>
      <c r="D45" s="9" t="s">
        <v>66</v>
      </c>
      <c r="E45" s="10" t="s">
        <v>121</v>
      </c>
      <c r="F45" s="9" t="s">
        <v>160</v>
      </c>
      <c r="G45" s="10" t="s">
        <v>204</v>
      </c>
      <c r="H45" s="9" t="s">
        <v>217</v>
      </c>
      <c r="I45" s="10" t="s">
        <v>257</v>
      </c>
      <c r="J45" s="9">
        <v>5</v>
      </c>
      <c r="K45" s="9"/>
    </row>
    <row r="46" spans="1:11" ht="15.75" thickBot="1" x14ac:dyDescent="0.3">
      <c r="A46" s="1"/>
      <c r="B46" s="11">
        <f>ROW(B46) - ROW($B$2)</f>
        <v>44</v>
      </c>
      <c r="C46" s="12" t="s">
        <v>19</v>
      </c>
      <c r="D46" s="7" t="s">
        <v>67</v>
      </c>
      <c r="E46" s="8" t="s">
        <v>122</v>
      </c>
      <c r="F46" s="7" t="s">
        <v>159</v>
      </c>
      <c r="G46" s="8" t="s">
        <v>205</v>
      </c>
      <c r="H46" s="7" t="s">
        <v>217</v>
      </c>
      <c r="I46" s="8" t="s">
        <v>258</v>
      </c>
      <c r="J46" s="7">
        <v>2</v>
      </c>
      <c r="K46" s="7"/>
    </row>
    <row r="47" spans="1:11" ht="15.75" thickBot="1" x14ac:dyDescent="0.3">
      <c r="A47" s="1"/>
      <c r="B47" s="11">
        <f t="shared" si="0"/>
        <v>45</v>
      </c>
      <c r="C47" s="13" t="s">
        <v>19</v>
      </c>
      <c r="D47" s="9" t="s">
        <v>68</v>
      </c>
      <c r="E47" s="10" t="s">
        <v>123</v>
      </c>
      <c r="F47" s="9" t="s">
        <v>160</v>
      </c>
      <c r="G47" s="10" t="s">
        <v>206</v>
      </c>
      <c r="H47" s="9" t="s">
        <v>217</v>
      </c>
      <c r="I47" s="10" t="s">
        <v>259</v>
      </c>
      <c r="J47" s="9">
        <v>8</v>
      </c>
      <c r="K47" s="9"/>
    </row>
    <row r="48" spans="1:11" ht="15.75" thickBot="1" x14ac:dyDescent="0.3">
      <c r="A48" s="1"/>
      <c r="B48" s="11">
        <f>ROW(B48) - ROW($B$2)</f>
        <v>46</v>
      </c>
      <c r="C48" s="12" t="s">
        <v>21</v>
      </c>
      <c r="D48" s="7" t="s">
        <v>69</v>
      </c>
      <c r="E48" s="8" t="s">
        <v>124</v>
      </c>
      <c r="F48" s="7" t="s">
        <v>264</v>
      </c>
      <c r="G48" s="8" t="s">
        <v>162</v>
      </c>
      <c r="H48" s="7" t="s">
        <v>237</v>
      </c>
      <c r="I48" s="8" t="s">
        <v>263</v>
      </c>
      <c r="J48" s="7">
        <v>2</v>
      </c>
      <c r="K48" s="7"/>
    </row>
    <row r="49" spans="1:11" ht="36.75" thickBot="1" x14ac:dyDescent="0.3">
      <c r="A49" s="1"/>
      <c r="B49" s="11">
        <f t="shared" si="0"/>
        <v>47</v>
      </c>
      <c r="C49" s="13" t="s">
        <v>21</v>
      </c>
      <c r="D49" s="9" t="s">
        <v>70</v>
      </c>
      <c r="E49" s="10" t="s">
        <v>125</v>
      </c>
      <c r="F49" s="7" t="s">
        <v>264</v>
      </c>
      <c r="G49" s="10" t="s">
        <v>163</v>
      </c>
      <c r="H49" s="9" t="s">
        <v>238</v>
      </c>
      <c r="I49" s="8" t="s">
        <v>263</v>
      </c>
      <c r="J49" s="9">
        <v>1</v>
      </c>
      <c r="K49" s="9"/>
    </row>
    <row r="50" spans="1:11" ht="24.75" thickBot="1" x14ac:dyDescent="0.3">
      <c r="A50" s="1"/>
      <c r="B50" s="11">
        <f>ROW(B50) - ROW($B$2)</f>
        <v>48</v>
      </c>
      <c r="C50" s="12" t="s">
        <v>22</v>
      </c>
      <c r="D50" s="7" t="s">
        <v>71</v>
      </c>
      <c r="E50" s="8" t="s">
        <v>126</v>
      </c>
      <c r="F50" s="7" t="s">
        <v>164</v>
      </c>
      <c r="G50" s="8" t="s">
        <v>207</v>
      </c>
      <c r="H50" s="7" t="s">
        <v>239</v>
      </c>
      <c r="I50" s="8" t="s">
        <v>263</v>
      </c>
      <c r="J50" s="7">
        <v>1</v>
      </c>
      <c r="K50" s="7"/>
    </row>
    <row r="51" spans="1:11" ht="15.75" thickBot="1" x14ac:dyDescent="0.3">
      <c r="A51" s="1"/>
      <c r="B51" s="11">
        <f t="shared" si="0"/>
        <v>49</v>
      </c>
      <c r="C51" s="13" t="s">
        <v>22</v>
      </c>
      <c r="D51" s="9" t="s">
        <v>72</v>
      </c>
      <c r="E51" s="10" t="s">
        <v>127</v>
      </c>
      <c r="F51" s="9" t="s">
        <v>165</v>
      </c>
      <c r="G51" s="10" t="s">
        <v>208</v>
      </c>
      <c r="H51" s="9" t="s">
        <v>7</v>
      </c>
      <c r="I51" s="8" t="s">
        <v>263</v>
      </c>
      <c r="J51" s="9">
        <v>1</v>
      </c>
      <c r="K51" s="9"/>
    </row>
    <row r="52" spans="1:11" ht="15.75" thickBot="1" x14ac:dyDescent="0.3">
      <c r="A52" s="1"/>
      <c r="B52" s="11">
        <f>ROW(B52) - ROW($B$2)</f>
        <v>50</v>
      </c>
      <c r="C52" s="12" t="s">
        <v>22</v>
      </c>
      <c r="D52" s="7" t="s">
        <v>73</v>
      </c>
      <c r="E52" s="8" t="s">
        <v>128</v>
      </c>
      <c r="F52" s="7" t="s">
        <v>166</v>
      </c>
      <c r="G52" s="8" t="s">
        <v>209</v>
      </c>
      <c r="H52" s="7" t="s">
        <v>227</v>
      </c>
      <c r="I52" s="8" t="s">
        <v>263</v>
      </c>
      <c r="J52" s="7">
        <v>1</v>
      </c>
      <c r="K52" s="7"/>
    </row>
    <row r="53" spans="1:11" ht="15.75" thickBot="1" x14ac:dyDescent="0.3">
      <c r="A53" s="1"/>
      <c r="B53" s="11">
        <f t="shared" si="0"/>
        <v>51</v>
      </c>
      <c r="C53" s="13" t="s">
        <v>22</v>
      </c>
      <c r="D53" s="9" t="s">
        <v>74</v>
      </c>
      <c r="E53" s="10" t="s">
        <v>129</v>
      </c>
      <c r="F53" s="9" t="s">
        <v>167</v>
      </c>
      <c r="G53" s="10" t="s">
        <v>210</v>
      </c>
      <c r="H53" s="9" t="s">
        <v>239</v>
      </c>
      <c r="I53" s="8" t="s">
        <v>263</v>
      </c>
      <c r="J53" s="9">
        <v>1</v>
      </c>
      <c r="K53" s="9"/>
    </row>
    <row r="54" spans="1:11" ht="15.75" thickBot="1" x14ac:dyDescent="0.3">
      <c r="A54" s="1"/>
      <c r="B54" s="11">
        <f>ROW(B54) - ROW($B$2)</f>
        <v>52</v>
      </c>
      <c r="C54" s="12" t="s">
        <v>22</v>
      </c>
      <c r="D54" s="7" t="s">
        <v>75</v>
      </c>
      <c r="E54" s="8" t="s">
        <v>129</v>
      </c>
      <c r="F54" s="7" t="s">
        <v>167</v>
      </c>
      <c r="G54" s="8" t="s">
        <v>211</v>
      </c>
      <c r="H54" s="7" t="s">
        <v>239</v>
      </c>
      <c r="I54" s="8" t="s">
        <v>263</v>
      </c>
      <c r="J54" s="7">
        <v>1</v>
      </c>
      <c r="K54" s="7"/>
    </row>
    <row r="55" spans="1:11" ht="15.75" thickBot="1" x14ac:dyDescent="0.3">
      <c r="A55" s="1"/>
      <c r="B55" s="11">
        <f t="shared" si="0"/>
        <v>53</v>
      </c>
      <c r="C55" s="13" t="s">
        <v>22</v>
      </c>
      <c r="D55" s="9" t="s">
        <v>76</v>
      </c>
      <c r="E55" s="10" t="s">
        <v>130</v>
      </c>
      <c r="F55" s="9" t="s">
        <v>168</v>
      </c>
      <c r="G55" s="10" t="s">
        <v>212</v>
      </c>
      <c r="H55" s="9" t="s">
        <v>227</v>
      </c>
      <c r="I55" s="8" t="s">
        <v>263</v>
      </c>
      <c r="J55" s="9">
        <v>1</v>
      </c>
      <c r="K55" s="9"/>
    </row>
    <row r="56" spans="1:11" ht="24.75" thickBot="1" x14ac:dyDescent="0.3">
      <c r="A56" s="1"/>
      <c r="B56" s="11">
        <f>ROW(B56) - ROW($B$2)</f>
        <v>54</v>
      </c>
      <c r="C56" s="12" t="s">
        <v>22</v>
      </c>
      <c r="D56" s="7" t="s">
        <v>77</v>
      </c>
      <c r="E56" s="8" t="s">
        <v>131</v>
      </c>
      <c r="F56" s="7" t="s">
        <v>169</v>
      </c>
      <c r="G56" s="8" t="s">
        <v>213</v>
      </c>
      <c r="H56" s="7" t="s">
        <v>239</v>
      </c>
      <c r="I56" s="8" t="s">
        <v>263</v>
      </c>
      <c r="J56" s="7">
        <v>4</v>
      </c>
      <c r="K56" s="7"/>
    </row>
    <row r="57" spans="1:11" ht="24.75" thickBot="1" x14ac:dyDescent="0.3">
      <c r="B57" s="11">
        <f t="shared" ref="B57" si="1">ROW(B57) - ROW($B$2)</f>
        <v>55</v>
      </c>
      <c r="C57" s="13" t="s">
        <v>266</v>
      </c>
      <c r="D57" s="9" t="s">
        <v>267</v>
      </c>
      <c r="E57" s="10" t="s">
        <v>278</v>
      </c>
      <c r="F57" s="9" t="s">
        <v>264</v>
      </c>
      <c r="G57" s="10" t="s">
        <v>277</v>
      </c>
      <c r="H57" s="9" t="s">
        <v>229</v>
      </c>
      <c r="I57" s="10" t="s">
        <v>263</v>
      </c>
      <c r="J57" s="9">
        <v>1</v>
      </c>
      <c r="K57" s="9"/>
    </row>
    <row r="58" spans="1:11" ht="24.75" thickBot="1" x14ac:dyDescent="0.3">
      <c r="B58" s="11">
        <f>ROW(B58) - ROW($B$2)</f>
        <v>56</v>
      </c>
      <c r="C58" s="13" t="s">
        <v>266</v>
      </c>
      <c r="D58" s="7" t="s">
        <v>268</v>
      </c>
      <c r="E58" s="8" t="s">
        <v>269</v>
      </c>
      <c r="F58" s="9" t="s">
        <v>264</v>
      </c>
      <c r="G58" s="8" t="s">
        <v>270</v>
      </c>
      <c r="H58" s="7" t="s">
        <v>271</v>
      </c>
      <c r="I58" s="10" t="s">
        <v>263</v>
      </c>
      <c r="J58" s="7">
        <v>2</v>
      </c>
      <c r="K58" s="7"/>
    </row>
    <row r="59" spans="1:11" ht="39" thickBot="1" x14ac:dyDescent="0.3">
      <c r="B59" s="11">
        <f t="shared" ref="B59" si="2">ROW(B59) - ROW($B$2)</f>
        <v>57</v>
      </c>
      <c r="C59" s="13" t="s">
        <v>266</v>
      </c>
      <c r="D59" s="7" t="s">
        <v>279</v>
      </c>
      <c r="E59" s="8" t="s">
        <v>263</v>
      </c>
      <c r="F59" s="9" t="s">
        <v>264</v>
      </c>
      <c r="G59" s="8" t="s">
        <v>263</v>
      </c>
      <c r="H59" s="7" t="s">
        <v>263</v>
      </c>
      <c r="I59" s="8" t="s">
        <v>263</v>
      </c>
      <c r="J59" s="7" t="s">
        <v>263</v>
      </c>
      <c r="K59" s="14" t="s">
        <v>272</v>
      </c>
    </row>
    <row r="60" spans="1:11" ht="26.25" thickBot="1" x14ac:dyDescent="0.3">
      <c r="B60" s="11">
        <f>ROW(B60) - ROW($B$2)</f>
        <v>58</v>
      </c>
      <c r="C60" s="13" t="s">
        <v>266</v>
      </c>
      <c r="D60" s="7" t="s">
        <v>273</v>
      </c>
      <c r="E60" s="8" t="s">
        <v>274</v>
      </c>
      <c r="F60" s="9" t="s">
        <v>264</v>
      </c>
      <c r="G60" s="8" t="s">
        <v>275</v>
      </c>
      <c r="H60" s="7" t="s">
        <v>263</v>
      </c>
      <c r="I60" s="8" t="s">
        <v>263</v>
      </c>
      <c r="J60" s="7">
        <v>1</v>
      </c>
      <c r="K60" s="14" t="s">
        <v>276</v>
      </c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2025-01-23T09:09:17Z</dcterms:modified>
</cp:coreProperties>
</file>