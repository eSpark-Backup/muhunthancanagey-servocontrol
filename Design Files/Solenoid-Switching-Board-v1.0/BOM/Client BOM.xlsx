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muhunthancanagey-servocontrol\Design Files\Solenoid-Switching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83" i="1" l="1"/>
  <c r="B82" i="1" l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<sst xmlns="http://schemas.openxmlformats.org/spreadsheetml/2006/main" count="568" uniqueCount="375">
  <si>
    <t>#</t>
  </si>
  <si>
    <t>Item Type</t>
  </si>
  <si>
    <t>Capacitor</t>
  </si>
  <si>
    <t>Diode</t>
  </si>
  <si>
    <t>Fuse</t>
  </si>
  <si>
    <t>Ferrite Bead</t>
  </si>
  <si>
    <t>Terminal Blocks</t>
  </si>
  <si>
    <t>USB Connector</t>
  </si>
  <si>
    <t>Male Header</t>
  </si>
  <si>
    <t>Terminal Block</t>
  </si>
  <si>
    <t>RJ45 Connector</t>
  </si>
  <si>
    <t>Inductor</t>
  </si>
  <si>
    <t>LED</t>
  </si>
  <si>
    <t>MOSFET</t>
  </si>
  <si>
    <t>Resistor</t>
  </si>
  <si>
    <t>Resistors</t>
  </si>
  <si>
    <t>Switch</t>
  </si>
  <si>
    <t>IC</t>
  </si>
  <si>
    <t>Microcontrollers</t>
  </si>
  <si>
    <t>Crystal</t>
  </si>
  <si>
    <t>Designator</t>
  </si>
  <si>
    <t>C1, C3, C17, C31, C32, C34, C35, C38, C39, C40, C42</t>
  </si>
  <si>
    <t>C2, C6</t>
  </si>
  <si>
    <t>C4, C5</t>
  </si>
  <si>
    <t>C7</t>
  </si>
  <si>
    <t>C8, C21</t>
  </si>
  <si>
    <t>C9, C10</t>
  </si>
  <si>
    <t>C11</t>
  </si>
  <si>
    <t>C12, C15, C18, C19, C20</t>
  </si>
  <si>
    <t>C13, C14</t>
  </si>
  <si>
    <t>C16, C29</t>
  </si>
  <si>
    <t>C22, C23, C24, C25, C26, C27, C28</t>
  </si>
  <si>
    <t>C30, C33, C36, C41</t>
  </si>
  <si>
    <t>C37</t>
  </si>
  <si>
    <t>C43, C44</t>
  </si>
  <si>
    <t>C45, C46, C47, C48, C51, C52, C53, C54</t>
  </si>
  <si>
    <t>C49, C55</t>
  </si>
  <si>
    <t>C50, C56, C57</t>
  </si>
  <si>
    <t>D1</t>
  </si>
  <si>
    <t>D2, D13</t>
  </si>
  <si>
    <t>D3, D34</t>
  </si>
  <si>
    <t>D4, D5</t>
  </si>
  <si>
    <t>D6</t>
  </si>
  <si>
    <t>D7, D8</t>
  </si>
  <si>
    <t>D9, D10</t>
  </si>
  <si>
    <t>D17, D19, D20, D21, D22, D23, D24, D25, D26, D27, D28, D29, D30, D31, D32, D33</t>
  </si>
  <si>
    <t>F1, F2, F3, F4, F5, F6</t>
  </si>
  <si>
    <t>FB1, FB2</t>
  </si>
  <si>
    <t>J1, J11, J14, J15</t>
  </si>
  <si>
    <t>J2</t>
  </si>
  <si>
    <t>J3</t>
  </si>
  <si>
    <t>J4</t>
  </si>
  <si>
    <t>J5</t>
  </si>
  <si>
    <t>J6</t>
  </si>
  <si>
    <t>J7, J8, J13, J18</t>
  </si>
  <si>
    <t>J9, J10</t>
  </si>
  <si>
    <t>J12</t>
  </si>
  <si>
    <t>J16</t>
  </si>
  <si>
    <t>J17</t>
  </si>
  <si>
    <t>L1</t>
  </si>
  <si>
    <t>L2</t>
  </si>
  <si>
    <t>LED1, LED2, LED3, LED5</t>
  </si>
  <si>
    <t>LED4</t>
  </si>
  <si>
    <t>LED6, LED7, LED8, LED9, LED10, LED11, LED12, LED13, LED14, LED15, LED16, LED17, LED18, LED19, LED20, LED21</t>
  </si>
  <si>
    <t>Q1, Q2, Q3, Q4, Q5, Q6, Q7, Q8, Q9, Q10, Q11, Q12, Q13, Q14, Q15, Q16</t>
  </si>
  <si>
    <t>R1</t>
  </si>
  <si>
    <t>R2</t>
  </si>
  <si>
    <t>R3</t>
  </si>
  <si>
    <t>R4</t>
  </si>
  <si>
    <t>R5</t>
  </si>
  <si>
    <t>R6</t>
  </si>
  <si>
    <t>R7, R64, R65, R66, R99, R100, R101, R102, R103, R104, R105, R106, R107, R108, R109, R110, R111</t>
  </si>
  <si>
    <t>R8, R9</t>
  </si>
  <si>
    <t>R10, R11</t>
  </si>
  <si>
    <t>R12</t>
  </si>
  <si>
    <t>R13, R14</t>
  </si>
  <si>
    <t>R15, R16, R42, R43, R45, R46, R47, R56, R71, R72, R73, R74, R79, R80, R81, R82, R87, R88, R89, R90, R95, R96, R97, R98</t>
  </si>
  <si>
    <t>R17</t>
  </si>
  <si>
    <t>R18, R20</t>
  </si>
  <si>
    <t>R19</t>
  </si>
  <si>
    <t>R21, R22, R23, R24, R25, R28, R32, R33, R34, R35, R36, R39, R50</t>
  </si>
  <si>
    <t>R26, R27, R30, R31, R37, R38</t>
  </si>
  <si>
    <t>R29, R40</t>
  </si>
  <si>
    <t>R41, R44</t>
  </si>
  <si>
    <t>R48</t>
  </si>
  <si>
    <t>R49</t>
  </si>
  <si>
    <t>R51, R52, R53, R54, R59, R60, R61, R62</t>
  </si>
  <si>
    <t>R55, R63</t>
  </si>
  <si>
    <t>R57, R58</t>
  </si>
  <si>
    <t>R67, R68, R69, R70, R75, R76, R77, R78, R83, R84, R85, R86, R91, R92, R93, R94</t>
  </si>
  <si>
    <t>SW1, SW2</t>
  </si>
  <si>
    <t>U1</t>
  </si>
  <si>
    <t>U2</t>
  </si>
  <si>
    <t>U3</t>
  </si>
  <si>
    <t>U4</t>
  </si>
  <si>
    <t>U5, U7</t>
  </si>
  <si>
    <t>U6</t>
  </si>
  <si>
    <t>U8</t>
  </si>
  <si>
    <t>X1</t>
  </si>
  <si>
    <t>X2</t>
  </si>
  <si>
    <t>X3</t>
  </si>
  <si>
    <t>Description</t>
  </si>
  <si>
    <t>CAP CER 0.1UF 50V X7R 0402</t>
  </si>
  <si>
    <t>100uF 10V 55mA@120Hz ±20% SMD,D6.3xL5.4mm Aluminum Electrolytic Capacitors - SMD ROHS</t>
  </si>
  <si>
    <t>CAP CER 10UF 25V X5R 0603</t>
  </si>
  <si>
    <t>CAP CER 6.8PF 50V C0G/NPO 0402</t>
  </si>
  <si>
    <t>CAP CER 4700PF 50V X7R 0402</t>
  </si>
  <si>
    <t>CAP CER 4700PF 50V C0G/NPO 0603</t>
  </si>
  <si>
    <t>CAP CER 0.1UF 16V X7R 0402</t>
  </si>
  <si>
    <t>CAP CER 20PF 50V C0G/NPO 0402</t>
  </si>
  <si>
    <t>CAP CER 4.7UF 10V X5R 0402</t>
  </si>
  <si>
    <t>CAP CER 0.1UF 100V X5R 0402</t>
  </si>
  <si>
    <t>CAP CER 1UF 10V X5R 0402</t>
  </si>
  <si>
    <t>CAP CER 470PF 50V X7R 0603</t>
  </si>
  <si>
    <t>CAP CER 18PF 50V C0G/NP0 0402</t>
  </si>
  <si>
    <t>CAP CER 10PF 50V C0G/NP0 0402</t>
  </si>
  <si>
    <t>CAP CER 0.022UF 16V X7R 0402</t>
  </si>
  <si>
    <t>CAP ALUM 220UF 20% 50V SMD</t>
  </si>
  <si>
    <t>DIODE SCHOTTKY 60V 5A SMA</t>
  </si>
  <si>
    <t>TVS DIODE 28VWM 45.4VC SMB</t>
  </si>
  <si>
    <t>TVS DIODE 5V 9.8V SOD923</t>
  </si>
  <si>
    <t>TVS SURGE PROTECTOR 1-CH 3.3V</t>
  </si>
  <si>
    <t>TVS DIODE 5VWM 6.3VC DSN0603-2</t>
  </si>
  <si>
    <t>SOT-23 TVS ROHS</t>
  </si>
  <si>
    <t>SMB(DO-214AA) TVS ROHS</t>
  </si>
  <si>
    <t>DIODE SCHOTTKY 50V 1A SMA</t>
  </si>
  <si>
    <t>9V 200mA 100A 500mA 0805 Resettable Fuses ROHS</t>
  </si>
  <si>
    <t>FERRITE BEAD 10 OHM 0402 1LN</t>
  </si>
  <si>
    <t>TERM BLK 2P SIDE ENT 5.08MM PCB</t>
  </si>
  <si>
    <t>5A 1 16P Female Type-C SMD USB Connectors ROHS</t>
  </si>
  <si>
    <t>Gold 250V 3A Square Pins 2.5mm 8P 260℃ 6mm -40℃~+105℃ 3mm 2.54mm Plugin Black Brass 2.54mm 1x8P Plugin,P=2.54mm Pin Headers ROHS</t>
  </si>
  <si>
    <t>Gold 250V 3A Straight Square Pins 2.5mm 4P 260℃ 6mm -40℃~+105℃ 3mm 2.54mm Plugin Black Brass 1x4P Plugin,P=2.54mm Pin Headers ROHS</t>
  </si>
  <si>
    <t>CONN HEADER VERT 3POS 2.54MM</t>
  </si>
  <si>
    <t>Gold 250V 3A Straight Square Pins 2.5mm 6P 260℃ 6mm -40℃~+105℃ 3mm 2.54mm Plugin Black Brass 1x6P Plugin,P=2.54mm Pin Headers ROHS</t>
  </si>
  <si>
    <t>1x12P 20A -40℃~+105℃ 300V Green 12~30 Direct Insert 5mm 2.5 1 12 Plugin,P=5mm Screw Terminal Blocks ROHS</t>
  </si>
  <si>
    <t>RJ45 RJReceptacle 1 WithLED Plugin Ethernet Connectors/Modular Connectors (RJ45 RJ11) ROHS</t>
  </si>
  <si>
    <t>1x3P 18A -40℃~+105℃ 250V Green 14~30 Straight pin 5.08mm 2.5 1 3 Plugin,P=5.08mm Screw terminal ROHS</t>
  </si>
  <si>
    <t>Tin 1x2P Corner pin Three sides 2 1 9.5mm -40℃~+105℃ 20A 300V Black 10~22 Copper Alloy 0.5~4 Plugin,P=9.5mm Barrier Terminal Blocks ROHS</t>
  </si>
  <si>
    <t>M4 Plugin PCB Welding Terminal ROHS</t>
  </si>
  <si>
    <t>8A 4.7uH ±20% SMD,10x10.1mm Power Inductors ROHS</t>
  </si>
  <si>
    <t>FERRITE BEAD 600 OHM 0402 1LN</t>
  </si>
  <si>
    <t>RED LED 0603 Light Emitting Diodes</t>
  </si>
  <si>
    <t>Emerald 0603 Light Emitting Diodes (LED) ROHS</t>
  </si>
  <si>
    <t>blue 0603 Light Emitting Diodes (LED) ROHS</t>
  </si>
  <si>
    <t>MOSFET N-CH 55V 5.5A SOT223</t>
  </si>
  <si>
    <t>60.4kΩ 50V 62.5mW Thick Film Resistors ±1% 0402 Chip Resistor - Surface Mount ROHS</t>
  </si>
  <si>
    <t>62.5mW Thick Film Resistors 50V ±100ppm/℃ ±1% 25.5kΩ 0402 Chip Resistor - Surface Mount ROHS</t>
  </si>
  <si>
    <t>RES SMD 137K OHM 0.1% 1/16W 0402</t>
  </si>
  <si>
    <t>11.5kΩ 50V 62.5mW Thick Film Resistors ±100ppm/℃ ±1%  0402 Chip Resistor - Surface Mount ROHS</t>
  </si>
  <si>
    <t>RES 3.9K OHM 1% 1/16W 0402</t>
  </si>
  <si>
    <t>RES 470 OHM 1% 1/16W 0402</t>
  </si>
  <si>
    <t>RES 200 OHM 1% 1/16W 0402</t>
  </si>
  <si>
    <t>RES 0 OHM JUMPER 1/10W 0603</t>
  </si>
  <si>
    <t>RES 5.1K OHM 1% 1/16W 0402</t>
  </si>
  <si>
    <t>RES SMD 1M OHM 5% 1/16W 0402</t>
  </si>
  <si>
    <t>RES 10K OHM 1% 1/16W 0402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</si>
  <si>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</si>
  <si>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</si>
  <si>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</si>
  <si>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</si>
  <si>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</si>
  <si>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</si>
  <si>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 SMD 330R 100 mW 0603</t>
  </si>
  <si>
    <t>RES SMD 12.1KOHM 0.1% 1/16W 0402</t>
  </si>
  <si>
    <t>RES 49.9 OHM 1% 1/10W 0603</t>
  </si>
  <si>
    <t>RESISTOR 0402 JUMPER ZERO OHM</t>
  </si>
  <si>
    <t>RES 33 OHM 1% 1/16W 0402</t>
  </si>
  <si>
    <t>RES 1K OHM 1% 1/16W 0402</t>
  </si>
  <si>
    <t>SWITCH TACTILE SPST-NO 0.05A 12V</t>
  </si>
  <si>
    <t>IC REG BCK SPLIT RAIL ADJ 8SOPWR</t>
  </si>
  <si>
    <t>72dB@(120Hz) 5A Fixed 3.3V~3.3V Positive 12V TO-263-3 Linear Voltage Regulators (LDO) ROHS</t>
  </si>
  <si>
    <t>IC MCU 32BIT 512KB FLASH 64LQFP</t>
  </si>
  <si>
    <t>IC TRANSCEIVER HALF 1/1 14VSON</t>
  </si>
  <si>
    <t>IC TRANSCEIVER HALF 1/1 8SON</t>
  </si>
  <si>
    <t>250Kbps transceiver 2/2 SOP-16 RS232 ICs ROHS</t>
  </si>
  <si>
    <t>2/3-PORT ETHERCAT SLAVE CTLR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</si>
  <si>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</si>
  <si>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</si>
  <si>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</si>
  <si>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</si>
  <si>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</si>
  <si>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RVT1A101M0605</t>
  </si>
  <si>
    <t>Cap-0603</t>
  </si>
  <si>
    <t>Cap-0402</t>
  </si>
  <si>
    <t>UCD-220uF-10mmDia</t>
  </si>
  <si>
    <t>SMA</t>
  </si>
  <si>
    <t>SMB_</t>
  </si>
  <si>
    <t>SOD-923.</t>
  </si>
  <si>
    <t>SOD-123</t>
  </si>
  <si>
    <t>DSN0603-2</t>
  </si>
  <si>
    <t>SOT-23</t>
  </si>
  <si>
    <t>SMB Bi Directional</t>
  </si>
  <si>
    <t>Fuse-0805</t>
  </si>
  <si>
    <t>IND-0402</t>
  </si>
  <si>
    <t>TYPE-C-31-M-12_</t>
  </si>
  <si>
    <t>HDR 1x8 TH male</t>
  </si>
  <si>
    <t>HDR1X4_</t>
  </si>
  <si>
    <t>HDR1X3_</t>
  </si>
  <si>
    <t>HDR1X6_</t>
  </si>
  <si>
    <t>DB128V-5.0-12P-GN-S</t>
  </si>
  <si>
    <t>HR911105A</t>
  </si>
  <si>
    <t>WJ500V-5.08-3P</t>
  </si>
  <si>
    <t>MXHB9500-9.5-02P-BK01-Cu-S-A</t>
  </si>
  <si>
    <t>T44001</t>
  </si>
  <si>
    <t>YSPI1050-4R7M</t>
  </si>
  <si>
    <t>LED-0603</t>
  </si>
  <si>
    <t>SOT- 223</t>
  </si>
  <si>
    <t>Res-0402</t>
  </si>
  <si>
    <t>Res-0603</t>
  </si>
  <si>
    <t>Res-0201</t>
  </si>
  <si>
    <t>B3U-1000P</t>
  </si>
  <si>
    <t>8-SO PowerPad</t>
  </si>
  <si>
    <t>TO263-3_</t>
  </si>
  <si>
    <t>LQFP-64(10x10)</t>
  </si>
  <si>
    <t>VSON-14(3x4.5)</t>
  </si>
  <si>
    <t>SON-8-EP(3x3)</t>
  </si>
  <si>
    <t>SOP-16</t>
  </si>
  <si>
    <t>QFN-64-EP(9x9)</t>
  </si>
  <si>
    <t>MC-306</t>
  </si>
  <si>
    <t>5TJ480000XYLBC_</t>
  </si>
  <si>
    <t>SMD3225-4P</t>
  </si>
  <si>
    <t>Manufacturer Part Number</t>
  </si>
  <si>
    <t>C1005X7R1H104KT000F</t>
  </si>
  <si>
    <t>C1608X5R1E106M080AC</t>
  </si>
  <si>
    <t>CC0402CRNPO9BN6R8</t>
  </si>
  <si>
    <t>CC0402KRX7R9BB472</t>
  </si>
  <si>
    <t>CC0603JRNPO9BN472</t>
  </si>
  <si>
    <t>CC0402JRX7R7BB104</t>
  </si>
  <si>
    <t>CC0402JRNPO9BN200</t>
  </si>
  <si>
    <t>CC0402KRX5R6BB475</t>
  </si>
  <si>
    <t>GRM155R62A104KE14D</t>
  </si>
  <si>
    <t>CC0402KRX5R6BB105</t>
  </si>
  <si>
    <t>0603B471K500CT</t>
  </si>
  <si>
    <t>GCM1555C1H180GA16D</t>
  </si>
  <si>
    <t>GRM1555C1H100JA01D</t>
  </si>
  <si>
    <t>CC0402JRX7R7BB223</t>
  </si>
  <si>
    <t>UCD1H221MNL1GS</t>
  </si>
  <si>
    <t>SS56</t>
  </si>
  <si>
    <t>SMBJ28A-13-F</t>
  </si>
  <si>
    <t>ESD9L5.0ST5G</t>
  </si>
  <si>
    <t>AZ3003-01G</t>
  </si>
  <si>
    <t>PESD5V0H1BSFYL</t>
  </si>
  <si>
    <t>SM712</t>
  </si>
  <si>
    <t>SMBJ26CA</t>
  </si>
  <si>
    <t>B150-13-F</t>
  </si>
  <si>
    <t>SMD0805P020TF</t>
  </si>
  <si>
    <t>BLM15PG100SN1D</t>
  </si>
  <si>
    <t>TYPE-C-31-M-12</t>
  </si>
  <si>
    <t>X6511WV-08H-C60D30</t>
  </si>
  <si>
    <t>X6511WV-04H-C60D30</t>
  </si>
  <si>
    <t>X6511WV-06H-C60D30</t>
  </si>
  <si>
    <t>BLM15AG601SN1D</t>
  </si>
  <si>
    <t>NCD0603R3</t>
  </si>
  <si>
    <t>NCD0603G2</t>
  </si>
  <si>
    <t>NCD0603B3</t>
  </si>
  <si>
    <t>BUK98150-55A/CUF</t>
  </si>
  <si>
    <t>SCR0402F60K4</t>
  </si>
  <si>
    <t>0402WGF2552TCE</t>
  </si>
  <si>
    <t>RT0402BRD07137KL</t>
  </si>
  <si>
    <t>FRC0402F1152TS</t>
  </si>
  <si>
    <t>RC0402FR-073K9L</t>
  </si>
  <si>
    <t>RC0402FR-07470RL</t>
  </si>
  <si>
    <t>RC0402FR-07200RL</t>
  </si>
  <si>
    <t>RC0603JR-070RL</t>
  </si>
  <si>
    <t>RC0402FR-075K1L</t>
  </si>
  <si>
    <t>AF0402JR-071ML</t>
  </si>
  <si>
    <t>RC0402FR-0710KL</t>
  </si>
  <si>
    <t>RC0402FR-0733KL</t>
  </si>
  <si>
    <t>RTT0360R4FTP</t>
  </si>
  <si>
    <t>RC0402FR-07100KL</t>
  </si>
  <si>
    <t>RC0402FR-074K7L</t>
  </si>
  <si>
    <t>RC0201FR-0722RL</t>
  </si>
  <si>
    <t>RC0603JR-07120RL</t>
  </si>
  <si>
    <t>RC0603JR-07330RL</t>
  </si>
  <si>
    <t>RT0402BRD0712K1L</t>
  </si>
  <si>
    <t>RC0603FR-0749R9L</t>
  </si>
  <si>
    <t>AC0402FR-070RL</t>
  </si>
  <si>
    <t>RC0402FR-0733RL</t>
  </si>
  <si>
    <t>RC0402FR-071KL</t>
  </si>
  <si>
    <t>TPS54560BQDDARQ1</t>
  </si>
  <si>
    <t>LM1084S-3.3/TR</t>
  </si>
  <si>
    <t>STM32G0B1RET6</t>
  </si>
  <si>
    <t>TCAN1463DMTRQ1</t>
  </si>
  <si>
    <t>THVD2450DRBR</t>
  </si>
  <si>
    <t>MAX3232ESE</t>
  </si>
  <si>
    <t>LAN9253-I/R4X</t>
  </si>
  <si>
    <t>MC-306 32.7680K-A0:ROHS</t>
  </si>
  <si>
    <t>5TJ480000XYLBC</t>
  </si>
  <si>
    <t>X322525MRB4SI</t>
  </si>
  <si>
    <t>Manufacturer</t>
  </si>
  <si>
    <t>TDK</t>
  </si>
  <si>
    <t>ROQANG</t>
  </si>
  <si>
    <t>Yageo</t>
  </si>
  <si>
    <t>Murata</t>
  </si>
  <si>
    <t>Walsin Technologies</t>
  </si>
  <si>
    <t>Nichicon</t>
  </si>
  <si>
    <t>MDD</t>
  </si>
  <si>
    <t>Diodes</t>
  </si>
  <si>
    <t>ON Semiconductor</t>
  </si>
  <si>
    <t>Amazing</t>
  </si>
  <si>
    <t>Nexperia</t>
  </si>
  <si>
    <t>TECH PUBLIC</t>
  </si>
  <si>
    <t>MSKSEMI</t>
  </si>
  <si>
    <t>Diodes Incorporated</t>
  </si>
  <si>
    <t>RUILON</t>
  </si>
  <si>
    <t>Phoenix Contact</t>
  </si>
  <si>
    <t>Korean Hroparts Elec</t>
  </si>
  <si>
    <t>XKB</t>
  </si>
  <si>
    <t>DORABO</t>
  </si>
  <si>
    <t>HANRUN</t>
  </si>
  <si>
    <t>Ningbo Kangnex Elec</t>
  </si>
  <si>
    <t>MAX</t>
  </si>
  <si>
    <t>XFCN</t>
  </si>
  <si>
    <t>YJYCOIN</t>
  </si>
  <si>
    <t>Foshan NationStar Optoelectronics</t>
  </si>
  <si>
    <t>VO</t>
  </si>
  <si>
    <t>Royal Electronic Factory</t>
  </si>
  <si>
    <t>FOJAN</t>
  </si>
  <si>
    <t>YAGEO</t>
  </si>
  <si>
    <t>Omron</t>
  </si>
  <si>
    <t>Texas Instruments</t>
  </si>
  <si>
    <t>HGSEMI</t>
  </si>
  <si>
    <t>STMicroelectronics</t>
  </si>
  <si>
    <t>UMW</t>
  </si>
  <si>
    <t>Microchip</t>
  </si>
  <si>
    <t>Seiko Epson</t>
  </si>
  <si>
    <t>JYJE</t>
  </si>
  <si>
    <t>YXC</t>
  </si>
  <si>
    <t>100nF</t>
  </si>
  <si>
    <t>100uF</t>
  </si>
  <si>
    <t>10uF</t>
  </si>
  <si>
    <t>6.8pF</t>
  </si>
  <si>
    <t>4.7nF</t>
  </si>
  <si>
    <t>DNP</t>
  </si>
  <si>
    <t>0.1uF</t>
  </si>
  <si>
    <t>20pF</t>
  </si>
  <si>
    <t>4.7uF</t>
  </si>
  <si>
    <t>0.1uf</t>
  </si>
  <si>
    <t>1uF</t>
  </si>
  <si>
    <t>470pF</t>
  </si>
  <si>
    <t>18pF</t>
  </si>
  <si>
    <t>22nF</t>
  </si>
  <si>
    <t>220uF</t>
  </si>
  <si>
    <t>4.7uH</t>
  </si>
  <si>
    <t>60.4K</t>
  </si>
  <si>
    <t>25.5K</t>
  </si>
  <si>
    <t>137K</t>
  </si>
  <si>
    <t>11.5K</t>
  </si>
  <si>
    <t>3.9K</t>
  </si>
  <si>
    <t>470R</t>
  </si>
  <si>
    <t>200R</t>
  </si>
  <si>
    <t>5.1K</t>
  </si>
  <si>
    <t>1M</t>
  </si>
  <si>
    <t>0R</t>
  </si>
  <si>
    <t>10K</t>
  </si>
  <si>
    <t>33K</t>
  </si>
  <si>
    <t>60.4R</t>
  </si>
  <si>
    <t>100K</t>
  </si>
  <si>
    <t>4.7K</t>
  </si>
  <si>
    <t>22R</t>
  </si>
  <si>
    <t>120R</t>
  </si>
  <si>
    <t>330R</t>
  </si>
  <si>
    <t>12.1k</t>
  </si>
  <si>
    <t>49.9R</t>
  </si>
  <si>
    <t>33R</t>
  </si>
  <si>
    <t>1K</t>
  </si>
  <si>
    <t>8MHz</t>
  </si>
  <si>
    <t>25MHz</t>
  </si>
  <si>
    <t>Quantity</t>
  </si>
  <si>
    <t>Terminal</t>
  </si>
  <si>
    <t>Value</t>
  </si>
  <si>
    <t>Remarks</t>
  </si>
  <si>
    <t>-</t>
  </si>
  <si>
    <t>10 Ohm</t>
  </si>
  <si>
    <t>600 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</si>
</sst>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3"/>
  <sheetViews>
    <sheetView tabSelected="1" zoomScale="85" zoomScaleNormal="85" workbookViewId="0">
      <selection activeCell="N81" sqref="N8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57031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6"/>
      <c r="J1" s="16"/>
      <c r="K1" s="16"/>
    </row>
    <row r="2" spans="1:11" ht="15.75" thickBot="1" x14ac:dyDescent="0.3">
      <c r="A2" s="1"/>
      <c r="B2" s="5" t="s">
        <v>0</v>
      </c>
      <c r="C2" s="5" t="s">
        <v>1</v>
      </c>
      <c r="D2" s="5" t="s">
        <v>20</v>
      </c>
      <c r="E2" s="6" t="s">
        <v>101</v>
      </c>
      <c r="F2" s="5" t="s">
        <v>179</v>
      </c>
      <c r="G2" s="6" t="s">
        <v>221</v>
      </c>
      <c r="H2" s="5" t="s">
        <v>289</v>
      </c>
      <c r="I2" s="6" t="s">
        <v>370</v>
      </c>
      <c r="J2" s="5" t="s">
        <v>368</v>
      </c>
      <c r="K2" s="5" t="s">
        <v>371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21</v>
      </c>
      <c r="E3" s="8" t="s">
        <v>102</v>
      </c>
      <c r="F3" s="7" t="s">
        <v>180</v>
      </c>
      <c r="G3" s="8" t="s">
        <v>222</v>
      </c>
      <c r="H3" s="7" t="s">
        <v>290</v>
      </c>
      <c r="I3" s="8" t="s">
        <v>328</v>
      </c>
      <c r="J3" s="7">
        <v>11</v>
      </c>
      <c r="K3" s="7"/>
    </row>
    <row r="4" spans="1:11" ht="36.75" thickBot="1" x14ac:dyDescent="0.3">
      <c r="A4" s="1"/>
      <c r="B4" s="11">
        <f t="shared" ref="B4:B82" si="0">ROW(B4) - ROW($B$2)</f>
        <v>2</v>
      </c>
      <c r="C4" s="13" t="s">
        <v>2</v>
      </c>
      <c r="D4" s="9" t="s">
        <v>22</v>
      </c>
      <c r="E4" s="10" t="s">
        <v>103</v>
      </c>
      <c r="F4" s="9" t="s">
        <v>181</v>
      </c>
      <c r="G4" s="10" t="s">
        <v>181</v>
      </c>
      <c r="H4" s="9" t="s">
        <v>291</v>
      </c>
      <c r="I4" s="10" t="s">
        <v>329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23</v>
      </c>
      <c r="E5" s="8" t="s">
        <v>104</v>
      </c>
      <c r="F5" s="7" t="s">
        <v>182</v>
      </c>
      <c r="G5" s="8" t="s">
        <v>223</v>
      </c>
      <c r="H5" s="7" t="s">
        <v>290</v>
      </c>
      <c r="I5" s="8" t="s">
        <v>330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24</v>
      </c>
      <c r="E6" s="10" t="s">
        <v>105</v>
      </c>
      <c r="F6" s="9" t="s">
        <v>183</v>
      </c>
      <c r="G6" s="10" t="s">
        <v>224</v>
      </c>
      <c r="H6" s="9" t="s">
        <v>292</v>
      </c>
      <c r="I6" s="10" t="s">
        <v>331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25</v>
      </c>
      <c r="E7" s="8" t="s">
        <v>106</v>
      </c>
      <c r="F7" s="7" t="s">
        <v>183</v>
      </c>
      <c r="G7" s="8" t="s">
        <v>225</v>
      </c>
      <c r="H7" s="7" t="s">
        <v>292</v>
      </c>
      <c r="I7" s="8" t="s">
        <v>332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26</v>
      </c>
      <c r="E8" s="10" t="s">
        <v>105</v>
      </c>
      <c r="F8" s="9" t="s">
        <v>183</v>
      </c>
      <c r="G8" s="10" t="s">
        <v>224</v>
      </c>
      <c r="H8" s="9" t="s">
        <v>292</v>
      </c>
      <c r="I8" s="10" t="s">
        <v>333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27</v>
      </c>
      <c r="E9" s="8" t="s">
        <v>107</v>
      </c>
      <c r="F9" s="7" t="s">
        <v>182</v>
      </c>
      <c r="G9" s="8" t="s">
        <v>226</v>
      </c>
      <c r="H9" s="7" t="s">
        <v>292</v>
      </c>
      <c r="I9" s="8" t="s">
        <v>332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28</v>
      </c>
      <c r="E10" s="10" t="s">
        <v>108</v>
      </c>
      <c r="F10" s="9" t="s">
        <v>183</v>
      </c>
      <c r="G10" s="10" t="s">
        <v>227</v>
      </c>
      <c r="H10" s="9" t="s">
        <v>292</v>
      </c>
      <c r="I10" s="10" t="s">
        <v>334</v>
      </c>
      <c r="J10" s="9">
        <v>5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29</v>
      </c>
      <c r="E11" s="8" t="s">
        <v>109</v>
      </c>
      <c r="F11" s="7" t="s">
        <v>183</v>
      </c>
      <c r="G11" s="8" t="s">
        <v>228</v>
      </c>
      <c r="H11" s="7" t="s">
        <v>292</v>
      </c>
      <c r="I11" s="8" t="s">
        <v>335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30</v>
      </c>
      <c r="E12" s="10" t="s">
        <v>110</v>
      </c>
      <c r="F12" s="9" t="s">
        <v>183</v>
      </c>
      <c r="G12" s="10" t="s">
        <v>229</v>
      </c>
      <c r="H12" s="9" t="s">
        <v>292</v>
      </c>
      <c r="I12" s="10" t="s">
        <v>336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31</v>
      </c>
      <c r="E13" s="8" t="s">
        <v>111</v>
      </c>
      <c r="F13" s="7" t="s">
        <v>183</v>
      </c>
      <c r="G13" s="8" t="s">
        <v>230</v>
      </c>
      <c r="H13" s="7" t="s">
        <v>293</v>
      </c>
      <c r="I13" s="8" t="s">
        <v>337</v>
      </c>
      <c r="J13" s="7">
        <v>7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32</v>
      </c>
      <c r="E14" s="10" t="s">
        <v>112</v>
      </c>
      <c r="F14" s="9" t="s">
        <v>183</v>
      </c>
      <c r="G14" s="10" t="s">
        <v>231</v>
      </c>
      <c r="H14" s="9" t="s">
        <v>292</v>
      </c>
      <c r="I14" s="10" t="s">
        <v>338</v>
      </c>
      <c r="J14" s="9">
        <v>4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33</v>
      </c>
      <c r="E15" s="8" t="s">
        <v>113</v>
      </c>
      <c r="F15" s="7" t="s">
        <v>182</v>
      </c>
      <c r="G15" s="8" t="s">
        <v>232</v>
      </c>
      <c r="H15" s="7" t="s">
        <v>294</v>
      </c>
      <c r="I15" s="8" t="s">
        <v>339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34</v>
      </c>
      <c r="E16" s="10" t="s">
        <v>114</v>
      </c>
      <c r="F16" s="9" t="s">
        <v>183</v>
      </c>
      <c r="G16" s="10" t="s">
        <v>233</v>
      </c>
      <c r="H16" s="9" t="s">
        <v>293</v>
      </c>
      <c r="I16" s="10" t="s">
        <v>340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35</v>
      </c>
      <c r="E17" s="8" t="s">
        <v>115</v>
      </c>
      <c r="F17" s="7" t="s">
        <v>183</v>
      </c>
      <c r="G17" s="8" t="s">
        <v>234</v>
      </c>
      <c r="H17" s="7" t="s">
        <v>293</v>
      </c>
      <c r="I17" s="8" t="s">
        <v>333</v>
      </c>
      <c r="J17" s="7">
        <v>8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36</v>
      </c>
      <c r="E18" s="10" t="s">
        <v>116</v>
      </c>
      <c r="F18" s="9" t="s">
        <v>183</v>
      </c>
      <c r="G18" s="10" t="s">
        <v>235</v>
      </c>
      <c r="H18" s="9" t="s">
        <v>292</v>
      </c>
      <c r="I18" s="10" t="s">
        <v>341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37</v>
      </c>
      <c r="E19" s="8" t="s">
        <v>117</v>
      </c>
      <c r="F19" s="7" t="s">
        <v>184</v>
      </c>
      <c r="G19" s="8" t="s">
        <v>236</v>
      </c>
      <c r="H19" s="7" t="s">
        <v>295</v>
      </c>
      <c r="I19" s="8" t="s">
        <v>342</v>
      </c>
      <c r="J19" s="7">
        <v>3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3</v>
      </c>
      <c r="D20" s="9" t="s">
        <v>38</v>
      </c>
      <c r="E20" s="10" t="s">
        <v>118</v>
      </c>
      <c r="F20" s="9" t="s">
        <v>185</v>
      </c>
      <c r="G20" s="10" t="s">
        <v>237</v>
      </c>
      <c r="H20" s="9" t="s">
        <v>296</v>
      </c>
      <c r="I20" s="10" t="s">
        <v>372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39</v>
      </c>
      <c r="E21" s="8" t="s">
        <v>119</v>
      </c>
      <c r="F21" s="7" t="s">
        <v>186</v>
      </c>
      <c r="G21" s="8" t="s">
        <v>238</v>
      </c>
      <c r="H21" s="7" t="s">
        <v>297</v>
      </c>
      <c r="I21" s="8" t="s">
        <v>372</v>
      </c>
      <c r="J21" s="7">
        <v>2</v>
      </c>
      <c r="K21" s="7"/>
    </row>
    <row r="22" spans="1:11" ht="15.75" thickBot="1" x14ac:dyDescent="0.3">
      <c r="A22" s="1"/>
      <c r="B22" s="11">
        <f t="shared" si="0"/>
        <v>20</v>
      </c>
      <c r="C22" s="12" t="s">
        <v>3</v>
      </c>
      <c r="D22" s="9" t="s">
        <v>40</v>
      </c>
      <c r="E22" s="10" t="s">
        <v>120</v>
      </c>
      <c r="F22" s="9" t="s">
        <v>187</v>
      </c>
      <c r="G22" s="10" t="s">
        <v>239</v>
      </c>
      <c r="H22" s="9" t="s">
        <v>298</v>
      </c>
      <c r="I22" s="10" t="s">
        <v>372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3</v>
      </c>
      <c r="D23" s="7" t="s">
        <v>41</v>
      </c>
      <c r="E23" s="8" t="s">
        <v>121</v>
      </c>
      <c r="F23" s="7" t="s">
        <v>188</v>
      </c>
      <c r="G23" s="8" t="s">
        <v>240</v>
      </c>
      <c r="H23" s="7" t="s">
        <v>299</v>
      </c>
      <c r="I23" s="8" t="s">
        <v>372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3</v>
      </c>
      <c r="D24" s="9" t="s">
        <v>42</v>
      </c>
      <c r="E24" s="10" t="s">
        <v>122</v>
      </c>
      <c r="F24" s="9" t="s">
        <v>189</v>
      </c>
      <c r="G24" s="10" t="s">
        <v>241</v>
      </c>
      <c r="H24" s="9" t="s">
        <v>300</v>
      </c>
      <c r="I24" s="10" t="s">
        <v>372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3</v>
      </c>
      <c r="D25" s="7" t="s">
        <v>43</v>
      </c>
      <c r="E25" s="8" t="s">
        <v>123</v>
      </c>
      <c r="F25" s="7" t="s">
        <v>190</v>
      </c>
      <c r="G25" s="8" t="s">
        <v>242</v>
      </c>
      <c r="H25" s="7" t="s">
        <v>301</v>
      </c>
      <c r="I25" s="8" t="s">
        <v>372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3</v>
      </c>
      <c r="D26" s="9" t="s">
        <v>44</v>
      </c>
      <c r="E26" s="10" t="s">
        <v>124</v>
      </c>
      <c r="F26" s="9" t="s">
        <v>191</v>
      </c>
      <c r="G26" s="10" t="s">
        <v>243</v>
      </c>
      <c r="H26" s="9" t="s">
        <v>302</v>
      </c>
      <c r="I26" s="10" t="s">
        <v>372</v>
      </c>
      <c r="J26" s="9">
        <v>2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3</v>
      </c>
      <c r="D27" s="7" t="s">
        <v>45</v>
      </c>
      <c r="E27" s="8" t="s">
        <v>125</v>
      </c>
      <c r="F27" s="7" t="s">
        <v>185</v>
      </c>
      <c r="G27" s="8" t="s">
        <v>244</v>
      </c>
      <c r="H27" s="7" t="s">
        <v>303</v>
      </c>
      <c r="I27" s="8" t="s">
        <v>372</v>
      </c>
      <c r="J27" s="7">
        <v>16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4</v>
      </c>
      <c r="D28" s="9" t="s">
        <v>46</v>
      </c>
      <c r="E28" s="10" t="s">
        <v>126</v>
      </c>
      <c r="F28" s="9" t="s">
        <v>192</v>
      </c>
      <c r="G28" s="10" t="s">
        <v>245</v>
      </c>
      <c r="H28" s="9" t="s">
        <v>304</v>
      </c>
      <c r="I28" s="10" t="s">
        <v>372</v>
      </c>
      <c r="J28" s="9">
        <v>6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47</v>
      </c>
      <c r="E29" s="8" t="s">
        <v>127</v>
      </c>
      <c r="F29" s="7" t="s">
        <v>193</v>
      </c>
      <c r="G29" s="8" t="s">
        <v>246</v>
      </c>
      <c r="H29" s="7" t="s">
        <v>293</v>
      </c>
      <c r="I29" s="8" t="s">
        <v>373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6</v>
      </c>
      <c r="D30" s="9" t="s">
        <v>48</v>
      </c>
      <c r="E30" s="10" t="s">
        <v>128</v>
      </c>
      <c r="F30" s="9">
        <v>1715721</v>
      </c>
      <c r="G30" s="10">
        <v>1715721</v>
      </c>
      <c r="H30" s="9" t="s">
        <v>305</v>
      </c>
      <c r="I30" s="10" t="s">
        <v>372</v>
      </c>
      <c r="J30" s="9">
        <v>4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7</v>
      </c>
      <c r="D31" s="7" t="s">
        <v>49</v>
      </c>
      <c r="E31" s="8" t="s">
        <v>129</v>
      </c>
      <c r="F31" s="7" t="s">
        <v>194</v>
      </c>
      <c r="G31" s="8" t="s">
        <v>247</v>
      </c>
      <c r="H31" s="7" t="s">
        <v>306</v>
      </c>
      <c r="I31" s="8" t="s">
        <v>372</v>
      </c>
      <c r="J31" s="7">
        <v>1</v>
      </c>
      <c r="K31" s="7"/>
    </row>
    <row r="32" spans="1:11" ht="60.75" thickBot="1" x14ac:dyDescent="0.3">
      <c r="A32" s="1"/>
      <c r="B32" s="11">
        <f t="shared" si="0"/>
        <v>30</v>
      </c>
      <c r="C32" s="13" t="s">
        <v>8</v>
      </c>
      <c r="D32" s="9" t="s">
        <v>50</v>
      </c>
      <c r="E32" s="10" t="s">
        <v>130</v>
      </c>
      <c r="F32" s="9" t="s">
        <v>195</v>
      </c>
      <c r="G32" s="10" t="s">
        <v>248</v>
      </c>
      <c r="H32" s="9" t="s">
        <v>307</v>
      </c>
      <c r="I32" s="10" t="s">
        <v>372</v>
      </c>
      <c r="J32" s="9">
        <v>1</v>
      </c>
      <c r="K32" s="9"/>
    </row>
    <row r="33" spans="1:11" ht="48.75" thickBot="1" x14ac:dyDescent="0.3">
      <c r="A33" s="1"/>
      <c r="B33" s="11">
        <f>ROW(B33) - ROW($B$2)</f>
        <v>31</v>
      </c>
      <c r="C33" s="12" t="s">
        <v>8</v>
      </c>
      <c r="D33" s="7" t="s">
        <v>51</v>
      </c>
      <c r="E33" s="8" t="s">
        <v>131</v>
      </c>
      <c r="F33" s="7" t="s">
        <v>196</v>
      </c>
      <c r="G33" s="8" t="s">
        <v>249</v>
      </c>
      <c r="H33" s="7" t="s">
        <v>307</v>
      </c>
      <c r="I33" s="8" t="s">
        <v>372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8</v>
      </c>
      <c r="D34" s="9" t="s">
        <v>52</v>
      </c>
      <c r="E34" s="10" t="s">
        <v>132</v>
      </c>
      <c r="F34" s="9" t="s">
        <v>197</v>
      </c>
      <c r="G34" s="10"/>
      <c r="H34" s="9"/>
      <c r="I34" s="10" t="s">
        <v>372</v>
      </c>
      <c r="J34" s="9">
        <v>1</v>
      </c>
      <c r="K34" s="9"/>
    </row>
    <row r="35" spans="1:11" ht="48.75" thickBot="1" x14ac:dyDescent="0.3">
      <c r="A35" s="1"/>
      <c r="B35" s="11">
        <f>ROW(B35) - ROW($B$2)</f>
        <v>33</v>
      </c>
      <c r="C35" s="12" t="s">
        <v>8</v>
      </c>
      <c r="D35" s="7" t="s">
        <v>53</v>
      </c>
      <c r="E35" s="8" t="s">
        <v>133</v>
      </c>
      <c r="F35" s="7" t="s">
        <v>198</v>
      </c>
      <c r="G35" s="8" t="s">
        <v>250</v>
      </c>
      <c r="H35" s="7" t="s">
        <v>307</v>
      </c>
      <c r="I35" s="8" t="s">
        <v>372</v>
      </c>
      <c r="J35" s="7">
        <v>1</v>
      </c>
      <c r="K35" s="7"/>
    </row>
    <row r="36" spans="1:11" ht="48.75" thickBot="1" x14ac:dyDescent="0.3">
      <c r="A36" s="1"/>
      <c r="B36" s="11">
        <f t="shared" si="0"/>
        <v>34</v>
      </c>
      <c r="C36" s="13" t="s">
        <v>9</v>
      </c>
      <c r="D36" s="9" t="s">
        <v>54</v>
      </c>
      <c r="E36" s="10" t="s">
        <v>134</v>
      </c>
      <c r="F36" s="9" t="s">
        <v>199</v>
      </c>
      <c r="G36" s="10" t="s">
        <v>199</v>
      </c>
      <c r="H36" s="9" t="s">
        <v>308</v>
      </c>
      <c r="I36" s="14" t="s">
        <v>372</v>
      </c>
      <c r="J36" s="9">
        <v>4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10</v>
      </c>
      <c r="D37" s="7" t="s">
        <v>55</v>
      </c>
      <c r="E37" s="8" t="s">
        <v>135</v>
      </c>
      <c r="F37" s="7" t="s">
        <v>200</v>
      </c>
      <c r="G37" s="8" t="s">
        <v>200</v>
      </c>
      <c r="H37" s="7" t="s">
        <v>309</v>
      </c>
      <c r="I37" s="8" t="s">
        <v>372</v>
      </c>
      <c r="J37" s="7">
        <v>2</v>
      </c>
      <c r="K37" s="7"/>
    </row>
    <row r="38" spans="1:11" ht="48.75" thickBot="1" x14ac:dyDescent="0.3">
      <c r="A38" s="1"/>
      <c r="B38" s="11">
        <f t="shared" si="0"/>
        <v>36</v>
      </c>
      <c r="C38" s="13" t="s">
        <v>9</v>
      </c>
      <c r="D38" s="9" t="s">
        <v>56</v>
      </c>
      <c r="E38" s="10" t="s">
        <v>136</v>
      </c>
      <c r="F38" s="9" t="s">
        <v>201</v>
      </c>
      <c r="G38" s="10" t="s">
        <v>201</v>
      </c>
      <c r="H38" s="9" t="s">
        <v>310</v>
      </c>
      <c r="I38" s="10" t="s">
        <v>372</v>
      </c>
      <c r="J38" s="9">
        <v>1</v>
      </c>
      <c r="K38" s="9"/>
    </row>
    <row r="39" spans="1:11" ht="60.75" thickBot="1" x14ac:dyDescent="0.3">
      <c r="A39" s="1"/>
      <c r="B39" s="11">
        <f>ROW(B39) - ROW($B$2)</f>
        <v>37</v>
      </c>
      <c r="C39" s="12" t="s">
        <v>9</v>
      </c>
      <c r="D39" s="7" t="s">
        <v>57</v>
      </c>
      <c r="E39" s="8" t="s">
        <v>137</v>
      </c>
      <c r="F39" s="7" t="s">
        <v>202</v>
      </c>
      <c r="G39" s="8" t="s">
        <v>202</v>
      </c>
      <c r="H39" s="7" t="s">
        <v>311</v>
      </c>
      <c r="I39" s="8" t="s">
        <v>372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369</v>
      </c>
      <c r="D40" s="9" t="s">
        <v>58</v>
      </c>
      <c r="E40" s="10" t="s">
        <v>138</v>
      </c>
      <c r="F40" s="9" t="s">
        <v>203</v>
      </c>
      <c r="G40" s="10" t="s">
        <v>203</v>
      </c>
      <c r="H40" s="9" t="s">
        <v>312</v>
      </c>
      <c r="I40" s="10" t="s">
        <v>372</v>
      </c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11</v>
      </c>
      <c r="D41" s="7" t="s">
        <v>59</v>
      </c>
      <c r="E41" s="8" t="s">
        <v>139</v>
      </c>
      <c r="F41" s="7" t="s">
        <v>204</v>
      </c>
      <c r="G41" s="8" t="s">
        <v>204</v>
      </c>
      <c r="H41" s="7" t="s">
        <v>313</v>
      </c>
      <c r="I41" s="8" t="s">
        <v>343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5</v>
      </c>
      <c r="D42" s="9" t="s">
        <v>60</v>
      </c>
      <c r="E42" s="10" t="s">
        <v>140</v>
      </c>
      <c r="F42" s="9" t="s">
        <v>193</v>
      </c>
      <c r="G42" s="10" t="s">
        <v>251</v>
      </c>
      <c r="H42" s="9" t="s">
        <v>293</v>
      </c>
      <c r="I42" s="10" t="s">
        <v>374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12</v>
      </c>
      <c r="D43" s="7" t="s">
        <v>61</v>
      </c>
      <c r="E43" s="8" t="s">
        <v>141</v>
      </c>
      <c r="F43" s="7" t="s">
        <v>205</v>
      </c>
      <c r="G43" s="8" t="s">
        <v>252</v>
      </c>
      <c r="H43" s="7" t="s">
        <v>314</v>
      </c>
      <c r="I43" s="8" t="s">
        <v>372</v>
      </c>
      <c r="J43" s="7">
        <v>4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12</v>
      </c>
      <c r="D44" s="9" t="s">
        <v>62</v>
      </c>
      <c r="E44" s="10" t="s">
        <v>142</v>
      </c>
      <c r="F44" s="9" t="s">
        <v>205</v>
      </c>
      <c r="G44" s="10" t="s">
        <v>253</v>
      </c>
      <c r="H44" s="9" t="s">
        <v>314</v>
      </c>
      <c r="I44" s="10" t="s">
        <v>372</v>
      </c>
      <c r="J44" s="9">
        <v>1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12</v>
      </c>
      <c r="D45" s="7" t="s">
        <v>63</v>
      </c>
      <c r="E45" s="8" t="s">
        <v>143</v>
      </c>
      <c r="F45" s="7" t="s">
        <v>205</v>
      </c>
      <c r="G45" s="8" t="s">
        <v>254</v>
      </c>
      <c r="H45" s="7" t="s">
        <v>314</v>
      </c>
      <c r="I45" s="8" t="s">
        <v>372</v>
      </c>
      <c r="J45" s="7">
        <v>16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13</v>
      </c>
      <c r="D46" s="9" t="s">
        <v>64</v>
      </c>
      <c r="E46" s="10" t="s">
        <v>144</v>
      </c>
      <c r="F46" s="9" t="s">
        <v>206</v>
      </c>
      <c r="G46" s="10" t="s">
        <v>255</v>
      </c>
      <c r="H46" s="9" t="s">
        <v>300</v>
      </c>
      <c r="I46" s="10" t="s">
        <v>372</v>
      </c>
      <c r="J46" s="9">
        <v>16</v>
      </c>
      <c r="K46" s="9"/>
    </row>
    <row r="47" spans="1:11" ht="36.75" thickBot="1" x14ac:dyDescent="0.3">
      <c r="A47" s="1"/>
      <c r="B47" s="11">
        <f>ROW(B47) - ROW($B$2)</f>
        <v>45</v>
      </c>
      <c r="C47" s="12" t="s">
        <v>14</v>
      </c>
      <c r="D47" s="7" t="s">
        <v>65</v>
      </c>
      <c r="E47" s="8" t="s">
        <v>145</v>
      </c>
      <c r="F47" s="7" t="s">
        <v>207</v>
      </c>
      <c r="G47" s="8" t="s">
        <v>256</v>
      </c>
      <c r="H47" s="7" t="s">
        <v>315</v>
      </c>
      <c r="I47" s="8" t="s">
        <v>344</v>
      </c>
      <c r="J47" s="7">
        <v>1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14</v>
      </c>
      <c r="D48" s="9" t="s">
        <v>66</v>
      </c>
      <c r="E48" s="10" t="s">
        <v>146</v>
      </c>
      <c r="F48" s="9" t="s">
        <v>207</v>
      </c>
      <c r="G48" s="10" t="s">
        <v>257</v>
      </c>
      <c r="H48" s="9" t="s">
        <v>316</v>
      </c>
      <c r="I48" s="10" t="s">
        <v>345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15</v>
      </c>
      <c r="D49" s="7" t="s">
        <v>67</v>
      </c>
      <c r="E49" s="8" t="s">
        <v>147</v>
      </c>
      <c r="F49" s="7" t="s">
        <v>207</v>
      </c>
      <c r="G49" s="8" t="s">
        <v>258</v>
      </c>
      <c r="H49" s="7" t="s">
        <v>292</v>
      </c>
      <c r="I49" s="8" t="s">
        <v>346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14</v>
      </c>
      <c r="D50" s="9" t="s">
        <v>68</v>
      </c>
      <c r="E50" s="10" t="s">
        <v>148</v>
      </c>
      <c r="F50" s="9" t="s">
        <v>207</v>
      </c>
      <c r="G50" s="10" t="s">
        <v>259</v>
      </c>
      <c r="H50" s="9" t="s">
        <v>317</v>
      </c>
      <c r="I50" s="10" t="s">
        <v>347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14</v>
      </c>
      <c r="D51" s="7" t="s">
        <v>69</v>
      </c>
      <c r="E51" s="8" t="s">
        <v>149</v>
      </c>
      <c r="F51" s="7" t="s">
        <v>207</v>
      </c>
      <c r="G51" s="8" t="s">
        <v>260</v>
      </c>
      <c r="H51" s="7" t="s">
        <v>292</v>
      </c>
      <c r="I51" s="8" t="s">
        <v>348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14</v>
      </c>
      <c r="D52" s="9" t="s">
        <v>70</v>
      </c>
      <c r="E52" s="10" t="s">
        <v>150</v>
      </c>
      <c r="F52" s="9" t="s">
        <v>207</v>
      </c>
      <c r="G52" s="10" t="s">
        <v>261</v>
      </c>
      <c r="H52" s="9" t="s">
        <v>292</v>
      </c>
      <c r="I52" s="10" t="s">
        <v>349</v>
      </c>
      <c r="J52" s="9">
        <v>1</v>
      </c>
      <c r="K52" s="9"/>
    </row>
    <row r="53" spans="1:11" ht="36.75" thickBot="1" x14ac:dyDescent="0.3">
      <c r="A53" s="1"/>
      <c r="B53" s="11">
        <f>ROW(B53) - ROW($B$2)</f>
        <v>51</v>
      </c>
      <c r="C53" s="13" t="s">
        <v>14</v>
      </c>
      <c r="D53" s="7" t="s">
        <v>71</v>
      </c>
      <c r="E53" s="8" t="s">
        <v>151</v>
      </c>
      <c r="F53" s="7" t="s">
        <v>207</v>
      </c>
      <c r="G53" s="8" t="s">
        <v>262</v>
      </c>
      <c r="H53" s="7" t="s">
        <v>292</v>
      </c>
      <c r="I53" s="8" t="s">
        <v>350</v>
      </c>
      <c r="J53" s="7">
        <v>17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14</v>
      </c>
      <c r="D54" s="9" t="s">
        <v>72</v>
      </c>
      <c r="E54" s="10" t="s">
        <v>152</v>
      </c>
      <c r="F54" s="9" t="s">
        <v>208</v>
      </c>
      <c r="G54" s="10" t="s">
        <v>263</v>
      </c>
      <c r="H54" s="9" t="s">
        <v>292</v>
      </c>
      <c r="I54" s="10" t="s">
        <v>333</v>
      </c>
      <c r="J54" s="9">
        <v>2</v>
      </c>
      <c r="K54" s="15" t="s">
        <v>333</v>
      </c>
    </row>
    <row r="55" spans="1:11" ht="15.75" thickBot="1" x14ac:dyDescent="0.3">
      <c r="A55" s="1"/>
      <c r="B55" s="11">
        <f>ROW(B55) - ROW($B$2)</f>
        <v>53</v>
      </c>
      <c r="C55" s="12" t="s">
        <v>14</v>
      </c>
      <c r="D55" s="7" t="s">
        <v>73</v>
      </c>
      <c r="E55" s="8" t="s">
        <v>153</v>
      </c>
      <c r="F55" s="7" t="s">
        <v>207</v>
      </c>
      <c r="G55" s="8" t="s">
        <v>264</v>
      </c>
      <c r="H55" s="7" t="s">
        <v>292</v>
      </c>
      <c r="I55" s="8" t="s">
        <v>351</v>
      </c>
      <c r="J55" s="7">
        <v>2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14</v>
      </c>
      <c r="D56" s="9" t="s">
        <v>74</v>
      </c>
      <c r="E56" s="10" t="s">
        <v>154</v>
      </c>
      <c r="F56" s="9" t="s">
        <v>207</v>
      </c>
      <c r="G56" s="10" t="s">
        <v>265</v>
      </c>
      <c r="H56" s="9" t="s">
        <v>292</v>
      </c>
      <c r="I56" s="10" t="s">
        <v>352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14</v>
      </c>
      <c r="D57" s="7" t="s">
        <v>75</v>
      </c>
      <c r="E57" s="8" t="s">
        <v>152</v>
      </c>
      <c r="F57" s="7" t="s">
        <v>208</v>
      </c>
      <c r="G57" s="8" t="s">
        <v>263</v>
      </c>
      <c r="H57" s="7" t="s">
        <v>292</v>
      </c>
      <c r="I57" s="8" t="s">
        <v>353</v>
      </c>
      <c r="J57" s="7">
        <v>2</v>
      </c>
      <c r="K57" s="7"/>
    </row>
    <row r="58" spans="1:11" ht="36.75" thickBot="1" x14ac:dyDescent="0.3">
      <c r="A58" s="1"/>
      <c r="B58" s="11">
        <f t="shared" si="0"/>
        <v>56</v>
      </c>
      <c r="C58" s="13" t="s">
        <v>14</v>
      </c>
      <c r="D58" s="9" t="s">
        <v>76</v>
      </c>
      <c r="E58" s="10" t="s">
        <v>155</v>
      </c>
      <c r="F58" s="9" t="s">
        <v>207</v>
      </c>
      <c r="G58" s="10" t="s">
        <v>266</v>
      </c>
      <c r="H58" s="9" t="s">
        <v>292</v>
      </c>
      <c r="I58" s="10" t="s">
        <v>354</v>
      </c>
      <c r="J58" s="9">
        <v>24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14</v>
      </c>
      <c r="D59" s="7" t="s">
        <v>77</v>
      </c>
      <c r="E59" s="8" t="s">
        <v>156</v>
      </c>
      <c r="F59" s="7" t="s">
        <v>207</v>
      </c>
      <c r="G59" s="8" t="s">
        <v>267</v>
      </c>
      <c r="H59" s="7" t="s">
        <v>318</v>
      </c>
      <c r="I59" s="8" t="s">
        <v>355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2" t="s">
        <v>14</v>
      </c>
      <c r="D60" s="9" t="s">
        <v>78</v>
      </c>
      <c r="E60" s="10" t="s">
        <v>157</v>
      </c>
      <c r="F60" s="9" t="s">
        <v>208</v>
      </c>
      <c r="G60" s="10" t="s">
        <v>268</v>
      </c>
      <c r="H60" s="9"/>
      <c r="I60" s="10" t="s">
        <v>356</v>
      </c>
      <c r="J60" s="9">
        <v>2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14</v>
      </c>
      <c r="D61" s="7" t="s">
        <v>79</v>
      </c>
      <c r="E61" s="8" t="s">
        <v>158</v>
      </c>
      <c r="F61" s="7" t="s">
        <v>207</v>
      </c>
      <c r="G61" s="8" t="s">
        <v>269</v>
      </c>
      <c r="H61" s="7" t="s">
        <v>292</v>
      </c>
      <c r="I61" s="8" t="s">
        <v>357</v>
      </c>
      <c r="J61" s="7">
        <v>1</v>
      </c>
      <c r="K61" s="7"/>
    </row>
    <row r="62" spans="1:11" ht="24.75" thickBot="1" x14ac:dyDescent="0.3">
      <c r="A62" s="1"/>
      <c r="B62" s="11">
        <f t="shared" si="0"/>
        <v>60</v>
      </c>
      <c r="C62" s="13" t="s">
        <v>14</v>
      </c>
      <c r="D62" s="9" t="s">
        <v>80</v>
      </c>
      <c r="E62" s="10" t="s">
        <v>159</v>
      </c>
      <c r="F62" s="9" t="s">
        <v>207</v>
      </c>
      <c r="G62" s="10" t="s">
        <v>270</v>
      </c>
      <c r="H62" s="9" t="s">
        <v>292</v>
      </c>
      <c r="I62" s="10" t="s">
        <v>358</v>
      </c>
      <c r="J62" s="9">
        <v>13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14</v>
      </c>
      <c r="D63" s="7" t="s">
        <v>81</v>
      </c>
      <c r="E63" s="8" t="s">
        <v>160</v>
      </c>
      <c r="F63" s="7" t="s">
        <v>209</v>
      </c>
      <c r="G63" s="8" t="s">
        <v>271</v>
      </c>
      <c r="H63" s="7" t="s">
        <v>292</v>
      </c>
      <c r="I63" s="8" t="s">
        <v>359</v>
      </c>
      <c r="J63" s="7">
        <v>6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14</v>
      </c>
      <c r="D64" s="9" t="s">
        <v>82</v>
      </c>
      <c r="E64" s="10" t="s">
        <v>161</v>
      </c>
      <c r="F64" s="9" t="s">
        <v>208</v>
      </c>
      <c r="G64" s="10" t="s">
        <v>272</v>
      </c>
      <c r="H64" s="9" t="s">
        <v>292</v>
      </c>
      <c r="I64" s="10" t="s">
        <v>360</v>
      </c>
      <c r="J64" s="9">
        <v>2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14</v>
      </c>
      <c r="D65" s="7" t="s">
        <v>83</v>
      </c>
      <c r="E65" s="8" t="s">
        <v>162</v>
      </c>
      <c r="F65" s="7" t="s">
        <v>208</v>
      </c>
      <c r="G65" s="8" t="s">
        <v>273</v>
      </c>
      <c r="H65" s="7" t="s">
        <v>292</v>
      </c>
      <c r="I65" s="8" t="s">
        <v>361</v>
      </c>
      <c r="J65" s="7">
        <v>2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14</v>
      </c>
      <c r="D66" s="9" t="s">
        <v>84</v>
      </c>
      <c r="E66" s="10" t="s">
        <v>163</v>
      </c>
      <c r="F66" s="9" t="s">
        <v>207</v>
      </c>
      <c r="G66" s="10" t="s">
        <v>274</v>
      </c>
      <c r="H66" s="9" t="s">
        <v>292</v>
      </c>
      <c r="I66" s="10" t="s">
        <v>362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14</v>
      </c>
      <c r="D67" s="7" t="s">
        <v>85</v>
      </c>
      <c r="E67" s="8" t="s">
        <v>159</v>
      </c>
      <c r="F67" s="7" t="s">
        <v>207</v>
      </c>
      <c r="G67" s="8" t="s">
        <v>270</v>
      </c>
      <c r="H67" s="7" t="s">
        <v>292</v>
      </c>
      <c r="I67" s="8" t="s">
        <v>333</v>
      </c>
      <c r="J67" s="7">
        <v>1</v>
      </c>
      <c r="K67" s="15" t="s">
        <v>333</v>
      </c>
    </row>
    <row r="68" spans="1:11" ht="15.75" thickBot="1" x14ac:dyDescent="0.3">
      <c r="A68" s="1"/>
      <c r="B68" s="11">
        <f t="shared" si="0"/>
        <v>66</v>
      </c>
      <c r="C68" s="13" t="s">
        <v>14</v>
      </c>
      <c r="D68" s="9" t="s">
        <v>86</v>
      </c>
      <c r="E68" s="10" t="s">
        <v>164</v>
      </c>
      <c r="F68" s="9" t="s">
        <v>208</v>
      </c>
      <c r="G68" s="10" t="s">
        <v>275</v>
      </c>
      <c r="H68" s="9" t="s">
        <v>292</v>
      </c>
      <c r="I68" s="10" t="s">
        <v>363</v>
      </c>
      <c r="J68" s="9">
        <v>8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14</v>
      </c>
      <c r="D69" s="7" t="s">
        <v>87</v>
      </c>
      <c r="E69" s="8" t="s">
        <v>165</v>
      </c>
      <c r="F69" s="7" t="s">
        <v>207</v>
      </c>
      <c r="G69" s="8" t="s">
        <v>276</v>
      </c>
      <c r="H69" s="7" t="s">
        <v>292</v>
      </c>
      <c r="I69" s="8" t="s">
        <v>353</v>
      </c>
      <c r="J69" s="7">
        <v>2</v>
      </c>
      <c r="K69" s="7"/>
    </row>
    <row r="70" spans="1:11" ht="15.75" thickBot="1" x14ac:dyDescent="0.3">
      <c r="A70" s="1"/>
      <c r="B70" s="11">
        <f t="shared" si="0"/>
        <v>68</v>
      </c>
      <c r="C70" s="12" t="s">
        <v>14</v>
      </c>
      <c r="D70" s="9" t="s">
        <v>88</v>
      </c>
      <c r="E70" s="10" t="s">
        <v>166</v>
      </c>
      <c r="F70" s="9" t="s">
        <v>207</v>
      </c>
      <c r="G70" s="10" t="s">
        <v>277</v>
      </c>
      <c r="H70" s="9" t="s">
        <v>292</v>
      </c>
      <c r="I70" s="10" t="s">
        <v>364</v>
      </c>
      <c r="J70" s="9">
        <v>2</v>
      </c>
      <c r="K70" s="9"/>
    </row>
    <row r="71" spans="1:11" ht="24.75" thickBot="1" x14ac:dyDescent="0.3">
      <c r="A71" s="1"/>
      <c r="B71" s="11">
        <f>ROW(B71) - ROW($B$2)</f>
        <v>69</v>
      </c>
      <c r="C71" s="12" t="s">
        <v>14</v>
      </c>
      <c r="D71" s="7" t="s">
        <v>89</v>
      </c>
      <c r="E71" s="8" t="s">
        <v>167</v>
      </c>
      <c r="F71" s="7" t="s">
        <v>207</v>
      </c>
      <c r="G71" s="8" t="s">
        <v>278</v>
      </c>
      <c r="H71" s="7" t="s">
        <v>292</v>
      </c>
      <c r="I71" s="8" t="s">
        <v>365</v>
      </c>
      <c r="J71" s="7">
        <v>16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16</v>
      </c>
      <c r="D72" s="9" t="s">
        <v>90</v>
      </c>
      <c r="E72" s="10" t="s">
        <v>168</v>
      </c>
      <c r="F72" s="9" t="s">
        <v>210</v>
      </c>
      <c r="G72" s="10" t="s">
        <v>210</v>
      </c>
      <c r="H72" s="9" t="s">
        <v>319</v>
      </c>
      <c r="I72" s="10" t="s">
        <v>372</v>
      </c>
      <c r="J72" s="9">
        <v>2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17</v>
      </c>
      <c r="D73" s="7" t="s">
        <v>91</v>
      </c>
      <c r="E73" s="8" t="s">
        <v>169</v>
      </c>
      <c r="F73" s="7" t="s">
        <v>211</v>
      </c>
      <c r="G73" s="8" t="s">
        <v>279</v>
      </c>
      <c r="H73" s="7" t="s">
        <v>320</v>
      </c>
      <c r="I73" s="8" t="s">
        <v>372</v>
      </c>
      <c r="J73" s="7">
        <v>1</v>
      </c>
      <c r="K73" s="7"/>
    </row>
    <row r="74" spans="1:11" ht="36.75" thickBot="1" x14ac:dyDescent="0.3">
      <c r="A74" s="1"/>
      <c r="B74" s="11">
        <f t="shared" si="0"/>
        <v>72</v>
      </c>
      <c r="C74" s="13" t="s">
        <v>17</v>
      </c>
      <c r="D74" s="9" t="s">
        <v>92</v>
      </c>
      <c r="E74" s="10" t="s">
        <v>170</v>
      </c>
      <c r="F74" s="9" t="s">
        <v>212</v>
      </c>
      <c r="G74" s="10" t="s">
        <v>280</v>
      </c>
      <c r="H74" s="9" t="s">
        <v>321</v>
      </c>
      <c r="I74" s="10" t="s">
        <v>372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18</v>
      </c>
      <c r="D75" s="7" t="s">
        <v>93</v>
      </c>
      <c r="E75" s="8" t="s">
        <v>171</v>
      </c>
      <c r="F75" s="7" t="s">
        <v>213</v>
      </c>
      <c r="G75" s="8" t="s">
        <v>281</v>
      </c>
      <c r="H75" s="7" t="s">
        <v>322</v>
      </c>
      <c r="I75" s="8" t="s">
        <v>372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17</v>
      </c>
      <c r="D76" s="9" t="s">
        <v>94</v>
      </c>
      <c r="E76" s="10" t="s">
        <v>172</v>
      </c>
      <c r="F76" s="9" t="s">
        <v>214</v>
      </c>
      <c r="G76" s="10" t="s">
        <v>282</v>
      </c>
      <c r="H76" s="9" t="s">
        <v>320</v>
      </c>
      <c r="I76" s="10" t="s">
        <v>372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17</v>
      </c>
      <c r="D77" s="7" t="s">
        <v>95</v>
      </c>
      <c r="E77" s="8" t="s">
        <v>173</v>
      </c>
      <c r="F77" s="7" t="s">
        <v>215</v>
      </c>
      <c r="G77" s="8" t="s">
        <v>283</v>
      </c>
      <c r="H77" s="7" t="s">
        <v>320</v>
      </c>
      <c r="I77" s="8" t="s">
        <v>372</v>
      </c>
      <c r="J77" s="7">
        <v>2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17</v>
      </c>
      <c r="D78" s="9" t="s">
        <v>96</v>
      </c>
      <c r="E78" s="10" t="s">
        <v>174</v>
      </c>
      <c r="F78" s="9" t="s">
        <v>216</v>
      </c>
      <c r="G78" s="10" t="s">
        <v>284</v>
      </c>
      <c r="H78" s="9" t="s">
        <v>323</v>
      </c>
      <c r="I78" s="10" t="s">
        <v>372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17</v>
      </c>
      <c r="D79" s="7" t="s">
        <v>97</v>
      </c>
      <c r="E79" s="8" t="s">
        <v>175</v>
      </c>
      <c r="F79" s="7" t="s">
        <v>217</v>
      </c>
      <c r="G79" s="8" t="s">
        <v>285</v>
      </c>
      <c r="H79" s="7" t="s">
        <v>324</v>
      </c>
      <c r="I79" s="8" t="s">
        <v>372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19</v>
      </c>
      <c r="D80" s="9" t="s">
        <v>98</v>
      </c>
      <c r="E80" s="10" t="s">
        <v>176</v>
      </c>
      <c r="F80" s="9" t="s">
        <v>218</v>
      </c>
      <c r="G80" s="10" t="s">
        <v>286</v>
      </c>
      <c r="H80" s="9" t="s">
        <v>325</v>
      </c>
      <c r="I80" s="10" t="s">
        <v>333</v>
      </c>
      <c r="J80" s="9">
        <v>1</v>
      </c>
      <c r="K80" s="15" t="s">
        <v>333</v>
      </c>
    </row>
    <row r="81" spans="1:11" ht="24.75" thickBot="1" x14ac:dyDescent="0.3">
      <c r="A81" s="1"/>
      <c r="B81" s="11">
        <f>ROW(B81) - ROW($B$2)</f>
        <v>79</v>
      </c>
      <c r="C81" s="12" t="s">
        <v>19</v>
      </c>
      <c r="D81" s="7" t="s">
        <v>99</v>
      </c>
      <c r="E81" s="8" t="s">
        <v>177</v>
      </c>
      <c r="F81" s="7" t="s">
        <v>219</v>
      </c>
      <c r="G81" s="8" t="s">
        <v>287</v>
      </c>
      <c r="H81" s="7" t="s">
        <v>326</v>
      </c>
      <c r="I81" s="8" t="s">
        <v>366</v>
      </c>
      <c r="J81" s="7">
        <v>1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19</v>
      </c>
      <c r="D82" s="9" t="s">
        <v>100</v>
      </c>
      <c r="E82" s="10" t="s">
        <v>178</v>
      </c>
      <c r="F82" s="9" t="s">
        <v>220</v>
      </c>
      <c r="G82" s="10" t="s">
        <v>288</v>
      </c>
      <c r="H82" s="9" t="s">
        <v>327</v>
      </c>
      <c r="I82" s="10" t="s">
        <v>367</v>
      </c>
      <c r="J82" s="9">
        <v>1</v>
      </c>
      <c r="K82" s="9"/>
    </row>
    <row r="83" spans="1:11" x14ac:dyDescent="0.25">
      <c r="J83">
        <f>SUM(J3:J82)</f>
        <v>274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2024-08-20T12:55:29Z</dcterms:modified>
</cp:coreProperties>
</file>