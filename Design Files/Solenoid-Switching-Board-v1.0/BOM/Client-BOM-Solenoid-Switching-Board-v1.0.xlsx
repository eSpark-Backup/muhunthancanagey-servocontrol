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Solenoid-Switching-Board-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<sst xmlns="http://schemas.openxmlformats.org/spreadsheetml/2006/main" count="121" uniqueCount="93">
  <si>
    <t>#</t>
  </si>
  <si>
    <t>Item Type</t>
  </si>
  <si>
    <t>Capacitor</t>
  </si>
  <si>
    <t>Diodes</t>
  </si>
  <si>
    <t>Diode</t>
  </si>
  <si>
    <t>Terminal Block</t>
  </si>
  <si>
    <t>Fuse Holder</t>
  </si>
  <si>
    <t>JST Connector</t>
  </si>
  <si>
    <t>Terminal Blocks</t>
  </si>
  <si>
    <t>LED</t>
  </si>
  <si>
    <t>Resistor</t>
  </si>
  <si>
    <t>IC</t>
  </si>
  <si>
    <t>Designator</t>
  </si>
  <si>
    <t>C1, C2, C7, C8</t>
  </si>
  <si>
    <t>C3, C4, C5, C6, C9, C10, C11, C12, C14</t>
  </si>
  <si>
    <t>C13</t>
  </si>
  <si>
    <t>D1, D2, D3, D4</t>
  </si>
  <si>
    <t>D5</t>
  </si>
  <si>
    <t>J1, J2, J3, J4</t>
  </si>
  <si>
    <t>J5</t>
  </si>
  <si>
    <t>J6</t>
  </si>
  <si>
    <t>J7</t>
  </si>
  <si>
    <t>LED1, LED2, LED5, LED6</t>
  </si>
  <si>
    <t>LED3, LED4, LED7, LED8, LED9</t>
  </si>
  <si>
    <t>R1, R2, R11, R12</t>
  </si>
  <si>
    <t>R3, R6, R13, R16</t>
  </si>
  <si>
    <t>R4, R5, R7, R8, R14, R15, R17, R18</t>
  </si>
  <si>
    <t>R9, R10, R19, R20, R21</t>
  </si>
  <si>
    <t>U1, U2, U3, U4</t>
  </si>
  <si>
    <t>Description</t>
  </si>
  <si>
    <t>CAP ALUM POLY 10UF 20% 50V SMD</t>
  </si>
  <si>
    <t>CAP CER 0.1UF 50V X5R 0603</t>
  </si>
  <si>
    <t>CAP ALUM 220UF 20% 50V SMD</t>
  </si>
  <si>
    <t>SMC(DO-214AB) Diodes - Fast Recovery Rectifiers ROHS</t>
  </si>
  <si>
    <t>TVS DIODE 28VWM 45.4VC SMB</t>
  </si>
  <si>
    <t>1x2P 10A -40℃~+105℃ 300V Black 16~26 Straight 3.81mm 0.5~1 1 2 Plugin,P=3.81mm Screw terminal ROHS</t>
  </si>
  <si>
    <t>FUSE HOLDER BLADE 80V PCB</t>
  </si>
  <si>
    <t>Conn Shrouded Header HDR 5 POS 2.5mm Solder ST Thru-Hole Box</t>
  </si>
  <si>
    <t>TERM BLK 2P SIDE ENT 5.08MM PCB</t>
  </si>
  <si>
    <t>Emerald 0603 Light Emitting Diodes (LED) ROHS</t>
  </si>
  <si>
    <t>RED LED 0603 Light Emitting Diodes</t>
  </si>
  <si>
    <t>RES SMD 2.2K OHM 1% 1/16W 0402</t>
  </si>
  <si>
    <t>RES 10K OHM 1% 1/16W 0402</t>
  </si>
  <si>
    <t>RES 1M OHM 1% 1/16W 0402</t>
  </si>
  <si>
    <t>RES 3.9K OHM 1% 1/16W 0402</t>
  </si>
  <si>
    <t>IC PWR DRVR N-CHAN 1:1 8SOPWRPAD</t>
  </si>
  <si>
    <t>Footprint</t>
  </si>
  <si>
    <t>50SVPF10M</t>
  </si>
  <si>
    <t>Cap-0603</t>
  </si>
  <si>
    <t>UCD-220uF-10mmDia</t>
  </si>
  <si>
    <t>SMC</t>
  </si>
  <si>
    <t>SMB_</t>
  </si>
  <si>
    <t>DB125-3.81-2P-BK-S</t>
  </si>
  <si>
    <t>178.6165.0002</t>
  </si>
  <si>
    <t>LED-0603</t>
  </si>
  <si>
    <t>Res-0402</t>
  </si>
  <si>
    <t>SO-8 PWRPD</t>
  </si>
  <si>
    <t>Manufacturer Part Number</t>
  </si>
  <si>
    <t>CC0603KRX5R9BB104</t>
  </si>
  <si>
    <t>UCD1H221MNL1GS</t>
  </si>
  <si>
    <t>MURS360T3G</t>
  </si>
  <si>
    <t>SMBJ28A-13-F</t>
  </si>
  <si>
    <t>B5B-XH-A(LF)(SN)</t>
  </si>
  <si>
    <t>NCD0603G2</t>
  </si>
  <si>
    <t>NCD0603R3</t>
  </si>
  <si>
    <t>RC0402FR-072K2L</t>
  </si>
  <si>
    <t>RC0402FR-0710KL</t>
  </si>
  <si>
    <t>RC0402FR-071ML</t>
  </si>
  <si>
    <t>RC0402FR-073K9L</t>
  </si>
  <si>
    <t>DRV103H/2K5</t>
  </si>
  <si>
    <t>Manufacturer</t>
  </si>
  <si>
    <t>Panasonic</t>
  </si>
  <si>
    <t>Yageo</t>
  </si>
  <si>
    <t>Nichicon</t>
  </si>
  <si>
    <t>FUXINSEMI</t>
  </si>
  <si>
    <t>DORABO</t>
  </si>
  <si>
    <t>Littelfuse Wickmann</t>
  </si>
  <si>
    <t>JST</t>
  </si>
  <si>
    <t>Phoenix Contact</t>
  </si>
  <si>
    <t>Foshan NationStar Optoelectronics</t>
  </si>
  <si>
    <t>Texas Instruments</t>
  </si>
  <si>
    <t>10uF</t>
  </si>
  <si>
    <t>100nF</t>
  </si>
  <si>
    <t>220uF</t>
  </si>
  <si>
    <t>2.2K</t>
  </si>
  <si>
    <t>10K</t>
  </si>
  <si>
    <t>1M</t>
  </si>
  <si>
    <t>3.9K</t>
  </si>
  <si>
    <t>Quantity</t>
  </si>
  <si>
    <t>Value</t>
  </si>
  <si>
    <t>Remarks</t>
  </si>
  <si>
    <t>Custom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</si>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</sst>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8"/>
  <sheetViews>
    <sheetView tabSelected="1" workbookViewId="0">
      <selection activeCell="O11" sqref="O11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27.28515625" bestFit="1" customWidth="1"/>
    <col min="5" max="5" width="30" customWidth="1"/>
    <col min="6" max="6" width="17.285156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12</v>
      </c>
      <c r="E2" s="6" t="s">
        <v>29</v>
      </c>
      <c r="F2" s="5" t="s">
        <v>46</v>
      </c>
      <c r="G2" s="6" t="s">
        <v>57</v>
      </c>
      <c r="H2" s="5" t="s">
        <v>70</v>
      </c>
      <c r="I2" s="6" t="s">
        <v>89</v>
      </c>
      <c r="J2" s="5" t="s">
        <v>88</v>
      </c>
      <c r="K2" s="5" t="s">
        <v>90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13</v>
      </c>
      <c r="E3" s="8" t="s">
        <v>30</v>
      </c>
      <c r="F3" s="7" t="s">
        <v>91</v>
      </c>
      <c r="G3" s="8" t="s">
        <v>47</v>
      </c>
      <c r="H3" s="7" t="s">
        <v>71</v>
      </c>
      <c r="I3" s="8" t="s">
        <v>81</v>
      </c>
      <c r="J3" s="7">
        <v>4</v>
      </c>
      <c r="K3" s="7"/>
    </row>
    <row r="4" spans="1:11" ht="15.75" thickBot="1" x14ac:dyDescent="0.3">
      <c r="A4" s="1"/>
      <c r="B4" s="11">
        <f t="shared" ref="B4:B18" si="0">ROW(B4) - ROW($B$2)</f>
        <v>2</v>
      </c>
      <c r="C4" s="13" t="s">
        <v>2</v>
      </c>
      <c r="D4" s="9" t="s">
        <v>14</v>
      </c>
      <c r="E4" s="10" t="s">
        <v>31</v>
      </c>
      <c r="F4" s="9" t="s">
        <v>48</v>
      </c>
      <c r="G4" s="10" t="s">
        <v>58</v>
      </c>
      <c r="H4" s="9" t="s">
        <v>72</v>
      </c>
      <c r="I4" s="10" t="s">
        <v>82</v>
      </c>
      <c r="J4" s="9">
        <v>9</v>
      </c>
      <c r="K4" s="9"/>
    </row>
    <row r="5" spans="1:11" ht="15.75" thickBot="1" x14ac:dyDescent="0.3">
      <c r="A5" s="1"/>
      <c r="B5" s="11">
        <f>ROW(B5) - ROW($B$2)</f>
        <v>3</v>
      </c>
      <c r="C5" s="12" t="s">
        <v>2</v>
      </c>
      <c r="D5" s="7" t="s">
        <v>15</v>
      </c>
      <c r="E5" s="8" t="s">
        <v>32</v>
      </c>
      <c r="F5" s="7" t="s">
        <v>49</v>
      </c>
      <c r="G5" s="8" t="s">
        <v>59</v>
      </c>
      <c r="H5" s="7" t="s">
        <v>73</v>
      </c>
      <c r="I5" s="8" t="s">
        <v>83</v>
      </c>
      <c r="J5" s="7">
        <v>1</v>
      </c>
      <c r="K5" s="7"/>
    </row>
    <row r="6" spans="1:11" ht="24.75" thickBot="1" x14ac:dyDescent="0.3">
      <c r="A6" s="1"/>
      <c r="B6" s="11">
        <f t="shared" si="0"/>
        <v>4</v>
      </c>
      <c r="C6" s="13" t="s">
        <v>3</v>
      </c>
      <c r="D6" s="9" t="s">
        <v>16</v>
      </c>
      <c r="E6" s="10" t="s">
        <v>33</v>
      </c>
      <c r="F6" s="9" t="s">
        <v>50</v>
      </c>
      <c r="G6" s="10" t="s">
        <v>60</v>
      </c>
      <c r="H6" s="9" t="s">
        <v>74</v>
      </c>
      <c r="I6" s="10" t="s">
        <v>92</v>
      </c>
      <c r="J6" s="9">
        <v>4</v>
      </c>
      <c r="K6" s="9"/>
    </row>
    <row r="7" spans="1:11" ht="15.75" thickBot="1" x14ac:dyDescent="0.3">
      <c r="A7" s="1"/>
      <c r="B7" s="11">
        <f>ROW(B7) - ROW($B$2)</f>
        <v>5</v>
      </c>
      <c r="C7" s="12" t="s">
        <v>4</v>
      </c>
      <c r="D7" s="7" t="s">
        <v>17</v>
      </c>
      <c r="E7" s="8" t="s">
        <v>34</v>
      </c>
      <c r="F7" s="7" t="s">
        <v>51</v>
      </c>
      <c r="G7" s="8" t="s">
        <v>61</v>
      </c>
      <c r="H7" s="7" t="s">
        <v>3</v>
      </c>
      <c r="I7" s="10" t="s">
        <v>92</v>
      </c>
      <c r="J7" s="7">
        <v>1</v>
      </c>
      <c r="K7" s="7"/>
    </row>
    <row r="8" spans="1:11" ht="48.75" thickBot="1" x14ac:dyDescent="0.3">
      <c r="A8" s="1"/>
      <c r="B8" s="11">
        <f t="shared" si="0"/>
        <v>6</v>
      </c>
      <c r="C8" s="13" t="s">
        <v>5</v>
      </c>
      <c r="D8" s="9" t="s">
        <v>18</v>
      </c>
      <c r="E8" s="10" t="s">
        <v>35</v>
      </c>
      <c r="F8" s="7" t="s">
        <v>91</v>
      </c>
      <c r="G8" s="10" t="s">
        <v>52</v>
      </c>
      <c r="H8" s="9" t="s">
        <v>75</v>
      </c>
      <c r="I8" s="10" t="s">
        <v>92</v>
      </c>
      <c r="J8" s="9">
        <v>4</v>
      </c>
      <c r="K8" s="9"/>
    </row>
    <row r="9" spans="1:11" ht="15.75" thickBot="1" x14ac:dyDescent="0.3">
      <c r="A9" s="1"/>
      <c r="B9" s="11">
        <f>ROW(B9) - ROW($B$2)</f>
        <v>7</v>
      </c>
      <c r="C9" s="12" t="s">
        <v>6</v>
      </c>
      <c r="D9" s="7" t="s">
        <v>19</v>
      </c>
      <c r="E9" s="8" t="s">
        <v>36</v>
      </c>
      <c r="F9" s="7" t="s">
        <v>91</v>
      </c>
      <c r="G9" s="8" t="s">
        <v>53</v>
      </c>
      <c r="H9" s="7" t="s">
        <v>76</v>
      </c>
      <c r="I9" s="10" t="s">
        <v>92</v>
      </c>
      <c r="J9" s="7">
        <v>1</v>
      </c>
      <c r="K9" s="7"/>
    </row>
    <row r="10" spans="1:11" ht="24.75" thickBot="1" x14ac:dyDescent="0.3">
      <c r="A10" s="1"/>
      <c r="B10" s="11">
        <f t="shared" si="0"/>
        <v>8</v>
      </c>
      <c r="C10" s="13" t="s">
        <v>7</v>
      </c>
      <c r="D10" s="9" t="s">
        <v>20</v>
      </c>
      <c r="E10" s="10" t="s">
        <v>37</v>
      </c>
      <c r="F10" s="7" t="s">
        <v>91</v>
      </c>
      <c r="G10" s="10" t="s">
        <v>62</v>
      </c>
      <c r="H10" s="9" t="s">
        <v>77</v>
      </c>
      <c r="I10" s="10" t="s">
        <v>92</v>
      </c>
      <c r="J10" s="9">
        <v>1</v>
      </c>
      <c r="K10" s="9"/>
    </row>
    <row r="11" spans="1:11" ht="15.75" thickBot="1" x14ac:dyDescent="0.3">
      <c r="A11" s="1"/>
      <c r="B11" s="11">
        <f>ROW(B11) - ROW($B$2)</f>
        <v>9</v>
      </c>
      <c r="C11" s="12" t="s">
        <v>8</v>
      </c>
      <c r="D11" s="7" t="s">
        <v>21</v>
      </c>
      <c r="E11" s="8" t="s">
        <v>38</v>
      </c>
      <c r="F11" s="7" t="s">
        <v>91</v>
      </c>
      <c r="G11" s="8">
        <v>1715721</v>
      </c>
      <c r="H11" s="7" t="s">
        <v>78</v>
      </c>
      <c r="I11" s="10" t="s">
        <v>92</v>
      </c>
      <c r="J11" s="7">
        <v>1</v>
      </c>
      <c r="K11" s="7"/>
    </row>
    <row r="12" spans="1:11" ht="24.75" thickBot="1" x14ac:dyDescent="0.3">
      <c r="A12" s="1"/>
      <c r="B12" s="11">
        <f t="shared" si="0"/>
        <v>10</v>
      </c>
      <c r="C12" s="13" t="s">
        <v>9</v>
      </c>
      <c r="D12" s="9" t="s">
        <v>22</v>
      </c>
      <c r="E12" s="10" t="s">
        <v>39</v>
      </c>
      <c r="F12" s="9" t="s">
        <v>54</v>
      </c>
      <c r="G12" s="10" t="s">
        <v>63</v>
      </c>
      <c r="H12" s="9" t="s">
        <v>79</v>
      </c>
      <c r="I12" s="10" t="s">
        <v>92</v>
      </c>
      <c r="J12" s="9">
        <v>4</v>
      </c>
      <c r="K12" s="9"/>
    </row>
    <row r="13" spans="1:11" ht="24.75" thickBot="1" x14ac:dyDescent="0.3">
      <c r="A13" s="1"/>
      <c r="B13" s="11">
        <f>ROW(B13) - ROW($B$2)</f>
        <v>11</v>
      </c>
      <c r="C13" s="12" t="s">
        <v>9</v>
      </c>
      <c r="D13" s="7" t="s">
        <v>23</v>
      </c>
      <c r="E13" s="8" t="s">
        <v>40</v>
      </c>
      <c r="F13" s="7" t="s">
        <v>54</v>
      </c>
      <c r="G13" s="8" t="s">
        <v>64</v>
      </c>
      <c r="H13" s="7" t="s">
        <v>79</v>
      </c>
      <c r="I13" s="10" t="s">
        <v>92</v>
      </c>
      <c r="J13" s="7">
        <v>5</v>
      </c>
      <c r="K13" s="7"/>
    </row>
    <row r="14" spans="1:11" ht="15.75" thickBot="1" x14ac:dyDescent="0.3">
      <c r="A14" s="1"/>
      <c r="B14" s="11">
        <f t="shared" si="0"/>
        <v>12</v>
      </c>
      <c r="C14" s="12" t="s">
        <v>10</v>
      </c>
      <c r="D14" s="9" t="s">
        <v>24</v>
      </c>
      <c r="E14" s="10" t="s">
        <v>41</v>
      </c>
      <c r="F14" s="9" t="s">
        <v>55</v>
      </c>
      <c r="G14" s="10" t="s">
        <v>65</v>
      </c>
      <c r="H14" s="9" t="s">
        <v>72</v>
      </c>
      <c r="I14" s="10" t="s">
        <v>84</v>
      </c>
      <c r="J14" s="9">
        <v>4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10</v>
      </c>
      <c r="D15" s="7" t="s">
        <v>25</v>
      </c>
      <c r="E15" s="8" t="s">
        <v>42</v>
      </c>
      <c r="F15" s="7" t="s">
        <v>55</v>
      </c>
      <c r="G15" s="8" t="s">
        <v>66</v>
      </c>
      <c r="H15" s="7" t="s">
        <v>72</v>
      </c>
      <c r="I15" s="8" t="s">
        <v>85</v>
      </c>
      <c r="J15" s="7">
        <v>4</v>
      </c>
      <c r="K15" s="7"/>
    </row>
    <row r="16" spans="1:11" ht="15.75" thickBot="1" x14ac:dyDescent="0.3">
      <c r="A16" s="1"/>
      <c r="B16" s="11">
        <f t="shared" si="0"/>
        <v>14</v>
      </c>
      <c r="C16" s="13" t="s">
        <v>10</v>
      </c>
      <c r="D16" s="9" t="s">
        <v>26</v>
      </c>
      <c r="E16" s="10" t="s">
        <v>43</v>
      </c>
      <c r="F16" s="9" t="s">
        <v>55</v>
      </c>
      <c r="G16" s="10" t="s">
        <v>67</v>
      </c>
      <c r="H16" s="9" t="s">
        <v>72</v>
      </c>
      <c r="I16" s="10" t="s">
        <v>86</v>
      </c>
      <c r="J16" s="9">
        <v>8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10</v>
      </c>
      <c r="D17" s="7" t="s">
        <v>27</v>
      </c>
      <c r="E17" s="8" t="s">
        <v>44</v>
      </c>
      <c r="F17" s="7" t="s">
        <v>55</v>
      </c>
      <c r="G17" s="8" t="s">
        <v>68</v>
      </c>
      <c r="H17" s="7" t="s">
        <v>72</v>
      </c>
      <c r="I17" s="8" t="s">
        <v>87</v>
      </c>
      <c r="J17" s="7">
        <v>5</v>
      </c>
      <c r="K17" s="7"/>
    </row>
    <row r="18" spans="1:11" ht="24.75" thickBot="1" x14ac:dyDescent="0.3">
      <c r="A18" s="1"/>
      <c r="B18" s="11">
        <f t="shared" si="0"/>
        <v>16</v>
      </c>
      <c r="C18" s="13" t="s">
        <v>11</v>
      </c>
      <c r="D18" s="9" t="s">
        <v>28</v>
      </c>
      <c r="E18" s="10" t="s">
        <v>45</v>
      </c>
      <c r="F18" s="9" t="s">
        <v>56</v>
      </c>
      <c r="G18" s="10" t="s">
        <v>69</v>
      </c>
      <c r="H18" s="9" t="s">
        <v>80</v>
      </c>
      <c r="I18" s="10" t="s">
        <v>92</v>
      </c>
      <c r="J18" s="9">
        <v>4</v>
      </c>
      <c r="K18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2024-09-06T12:35:14Z</dcterms:modified>
</cp:coreProperties>
</file>