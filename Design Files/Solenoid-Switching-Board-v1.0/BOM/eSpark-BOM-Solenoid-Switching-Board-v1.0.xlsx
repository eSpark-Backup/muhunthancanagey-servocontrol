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Solenoid-Switching-Board-v1.0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Q26" i="1" l="1"/>
  <c r="Q25" i="1"/>
  <c r="M25" i="1"/>
  <c r="B24" i="1"/>
  <c r="B13" i="1" l="1"/>
  <c r="Q13" i="1"/>
  <c r="M13" i="1"/>
  <c r="Q24" i="1" l="1"/>
  <c r="M24" i="1"/>
  <c r="B25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2" i="1"/>
  <c r="M12" i="1"/>
  <c r="B12" i="1"/>
  <c r="Q11" i="1"/>
  <c r="M11" i="1"/>
  <c r="B11" i="1"/>
  <c r="Q10" i="1"/>
  <c r="M10" i="1"/>
  <c r="B10" i="1"/>
  <c r="Q27" i="1" l="1"/>
  <c r="Q9" i="1"/>
  <c r="Q8" i="1"/>
  <c r="M9" i="1"/>
  <c r="M8" i="1"/>
  <c r="B9" i="1"/>
  <c r="B8" i="1"/>
</calcChain>
</file>

<file path=xl/sharedStrings.xml><?xml version="1.0" encoding="utf-8"?>
<sst xmlns="http://schemas.openxmlformats.org/spreadsheetml/2006/main" count="223" uniqueCount="151">
  <si>
    <t>Component list</t>
  </si>
  <si>
    <t>Project:</t>
  </si>
  <si>
    <t>#</t>
  </si>
  <si>
    <t xml:space="preserve">Total Component Cost </t>
  </si>
  <si>
    <t>Single Board Cost</t>
  </si>
  <si>
    <t>Item Type</t>
  </si>
  <si>
    <t>Capacitor</t>
  </si>
  <si>
    <t>Diodes</t>
  </si>
  <si>
    <t>Diode</t>
  </si>
  <si>
    <t>Terminal Block</t>
  </si>
  <si>
    <t>Fuse Holder</t>
  </si>
  <si>
    <t>JST Connector</t>
  </si>
  <si>
    <t>Terminal Blocks</t>
  </si>
  <si>
    <t>LED</t>
  </si>
  <si>
    <t>Resistor</t>
  </si>
  <si>
    <t>IC</t>
  </si>
  <si>
    <t>Designator</t>
  </si>
  <si>
    <t>C1, C2, C7, C8</t>
  </si>
  <si>
    <t>C3, C4, C5, C6, C9, C10, C11, C12, C14</t>
  </si>
  <si>
    <t>C13</t>
  </si>
  <si>
    <t>D1, D2, D3, D4</t>
  </si>
  <si>
    <t>D5</t>
  </si>
  <si>
    <t>J1, J2, J3, J4</t>
  </si>
  <si>
    <t>J5</t>
  </si>
  <si>
    <t>J6</t>
  </si>
  <si>
    <t>J7</t>
  </si>
  <si>
    <t>LED1, LED2, LED5, LED6</t>
  </si>
  <si>
    <t>LED3, LED4, LED7, LED8, LED9</t>
  </si>
  <si>
    <t>R1, R2, R11, R12</t>
  </si>
  <si>
    <t>R3, R6, R13, R16</t>
  </si>
  <si>
    <t>R4, R5, R7, R8, R14, R15, R17, R18</t>
  </si>
  <si>
    <t>R9, R10, R19, R20, R21</t>
  </si>
  <si>
    <t>U1, U2, U3, U4</t>
  </si>
  <si>
    <t>Description</t>
  </si>
  <si>
    <t>CAP ALUM POLY 10UF 20% 50V SMD</t>
  </si>
  <si>
    <t>CAP CER 0.1UF 50V X5R 0603</t>
  </si>
  <si>
    <t>SMC(DO-214AB) Diodes - Fast Recovery Rectifiers ROHS</t>
  </si>
  <si>
    <t>TVS DIODE 28VWM 45.4VC SMB</t>
  </si>
  <si>
    <t>1x2P 10A -40℃~+105℃ 300V Black 16~26 Straight 3.81mm 0.5~1 1 2 Plugin,P=3.81mm Screw terminal ROHS</t>
  </si>
  <si>
    <t>FUSE HOLDER BLADE 80V PCB</t>
  </si>
  <si>
    <t>Conn Shrouded Header HDR 5 POS 2.5mm Solder ST Thru-Hole Box</t>
  </si>
  <si>
    <t>TERM BLK 2P SIDE ENT 5.08MM PCB</t>
  </si>
  <si>
    <t>Emerald 0603 Light Emitting Diodes (LED) ROHS</t>
  </si>
  <si>
    <t>RED LED 0603 Light Emitting Diodes</t>
  </si>
  <si>
    <t>RES SMD 2.2K OHM 1% 1/16W 0402</t>
  </si>
  <si>
    <t>RES 10K OHM 1% 1/16W 0402</t>
  </si>
  <si>
    <t>RES 1M OHM 1% 1/16W 0402</t>
  </si>
  <si>
    <t>RES 3.9K OHM 1% 1/16W 0402</t>
  </si>
  <si>
    <t>IC PWR DRVR N-CHAN 1:1 8SOPWRPAD</t>
  </si>
  <si>
    <t>Footprint</t>
  </si>
  <si>
    <t>50SVPF10M</t>
  </si>
  <si>
    <t>Cap-0603</t>
  </si>
  <si>
    <t>SMC</t>
  </si>
  <si>
    <t>SMB_</t>
  </si>
  <si>
    <t>DB125-3.81-2P-BK-S</t>
  </si>
  <si>
    <t>178.6165.0002</t>
  </si>
  <si>
    <t>LED-0603</t>
  </si>
  <si>
    <t>Res-0402</t>
  </si>
  <si>
    <t>SO-8 PWRPD</t>
  </si>
  <si>
    <t>Manufacturer Part Number</t>
  </si>
  <si>
    <t>CC0603KRX5R9BB104</t>
  </si>
  <si>
    <t>MURS360T3G</t>
  </si>
  <si>
    <t>SMBJ28A-13-F</t>
  </si>
  <si>
    <t>B5B-XH-A(LF)(SN)</t>
  </si>
  <si>
    <t>NCD0603G2</t>
  </si>
  <si>
    <t>NCD0603R3</t>
  </si>
  <si>
    <t>RC0402FR-072K2L</t>
  </si>
  <si>
    <t>RC0402FR-0710KL</t>
  </si>
  <si>
    <t>RC0402FR-071ML</t>
  </si>
  <si>
    <t>RC0402FR-073K9L</t>
  </si>
  <si>
    <t>DRV103H/2K5</t>
  </si>
  <si>
    <t>Manufacturer</t>
  </si>
  <si>
    <t>Panasonic</t>
  </si>
  <si>
    <t>Yageo</t>
  </si>
  <si>
    <t>FUXINSEMI</t>
  </si>
  <si>
    <t>DORABO</t>
  </si>
  <si>
    <t>Littelfuse Wickmann</t>
  </si>
  <si>
    <t>JST</t>
  </si>
  <si>
    <t>Phoenix Contact</t>
  </si>
  <si>
    <t>Foshan NationStar Optoelectronics</t>
  </si>
  <si>
    <t>Texas Instruments</t>
  </si>
  <si>
    <t>LCSC Part Number</t>
  </si>
  <si>
    <t>C2162323</t>
  </si>
  <si>
    <t>C110022</t>
  </si>
  <si>
    <t>C7436549</t>
  </si>
  <si>
    <t>C430618</t>
  </si>
  <si>
    <t>C207061</t>
  </si>
  <si>
    <t>C157991</t>
  </si>
  <si>
    <t>C87326</t>
  </si>
  <si>
    <t>C3151730</t>
  </si>
  <si>
    <t>C114762</t>
  </si>
  <si>
    <t>C60490</t>
  </si>
  <si>
    <t>C138033</t>
  </si>
  <si>
    <t>C131467</t>
  </si>
  <si>
    <t>C544418</t>
  </si>
  <si>
    <t>10uF</t>
  </si>
  <si>
    <t>100nF</t>
  </si>
  <si>
    <t>2.2K</t>
  </si>
  <si>
    <t>10K</t>
  </si>
  <si>
    <t>1M</t>
  </si>
  <si>
    <t>3.9K</t>
  </si>
  <si>
    <t>Quantity</t>
  </si>
  <si>
    <t>Alternate Part Number</t>
  </si>
  <si>
    <t>Value</t>
  </si>
  <si>
    <t xml:space="preserve"> Quantity (5 Boards)</t>
  </si>
  <si>
    <t>MOQ (5 Boards)</t>
  </si>
  <si>
    <t>Links</t>
  </si>
  <si>
    <t>Unit Cost (5 Boards)</t>
  </si>
  <si>
    <t>Total Cost (5 Boards)</t>
  </si>
  <si>
    <t xml:space="preserve"> Remarks</t>
  </si>
  <si>
    <t>Bill of Materials for Project [Solenoid-Switching-Board-v1.0]</t>
  </si>
  <si>
    <t>Solenoid-Switching-Board-v1.0</t>
  </si>
  <si>
    <t>-</t>
  </si>
  <si>
    <t>Custom</t>
  </si>
  <si>
    <t>C91924</t>
  </si>
  <si>
    <t>LCSC</t>
  </si>
  <si>
    <t>C480516</t>
  </si>
  <si>
    <t>0.6015</t>
  </si>
  <si>
    <t>0.0028</t>
  </si>
  <si>
    <t>0.1245</t>
  </si>
  <si>
    <t>100</t>
  </si>
  <si>
    <t>40</t>
  </si>
  <si>
    <t>0.1485</t>
  </si>
  <si>
    <t>0.1889</t>
  </si>
  <si>
    <t>1.3072</t>
  </si>
  <si>
    <t>0.0690</t>
  </si>
  <si>
    <t>0.3903</t>
  </si>
  <si>
    <t>0.0225</t>
  </si>
  <si>
    <t>0.0227</t>
  </si>
  <si>
    <t>0.0007</t>
  </si>
  <si>
    <t>0.0005</t>
  </si>
  <si>
    <t>0.0006</t>
  </si>
  <si>
    <t>4.1141</t>
  </si>
  <si>
    <t>-----</t>
  </si>
  <si>
    <t>100uF 50V ±20% SMD,D6.3xL7.7mm Aluminum Electrolytic Capacitors - SMD ROHS</t>
  </si>
  <si>
    <t>RVT1H101M0607</t>
  </si>
  <si>
    <t>ROQANG</t>
  </si>
  <si>
    <t>100uF</t>
  </si>
  <si>
    <t>C3151829</t>
  </si>
  <si>
    <t>D6</t>
  </si>
  <si>
    <t>DIODE SCHOTTKY 60V 5A SMA</t>
  </si>
  <si>
    <t>SMA</t>
  </si>
  <si>
    <t>SS56</t>
  </si>
  <si>
    <t>MDD</t>
  </si>
  <si>
    <t>C65009</t>
  </si>
  <si>
    <t>Peripheral</t>
  </si>
  <si>
    <t>Fuse</t>
  </si>
  <si>
    <t>32V 1kA Blade fuse 1A Automotive Fuses ROHS</t>
  </si>
  <si>
    <t>0287001.PXCN</t>
  </si>
  <si>
    <t xml:space="preserve">Littelfuse </t>
  </si>
  <si>
    <t>C142679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</si>
</sst>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5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9" fillId="2" borderId="7" xfId="1" applyFill="1" applyBorder="1" applyAlignment="1">
      <alignment horizontal="center" vertical="center" wrapText="1"/>
    </xf>
    <xf numFmtId="0" fontId="15" fillId="2" borderId="7" xfId="0" quotePrefix="1" applyFont="1" applyFill="1" applyBorder="1" applyAlignment="1">
      <alignment horizontal="center" vertical="center" wrapText="1"/>
    </xf>
    <xf numFmtId="0" fontId="19" fillId="0" borderId="13" xfId="1" applyBorder="1" applyAlignment="1">
      <alignment horizontal="center" vertical="center" wrapText="1"/>
    </xf>
    <xf numFmtId="0" fontId="19" fillId="2" borderId="0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fast-recovery-high-efficiency-diodes_fuxinsemi-murs360t3g_C7436549.html" TargetMode="External"/><Relationship Id="rId13" Type="http://schemas.openxmlformats.org/officeDocument/2006/relationships/hyperlink" Target="https://www.lcsc.com/product-detail/chip-resistor-surface-mount_yageo-rc0402fr-072k2l_C114762.html" TargetMode="External"/><Relationship Id="rId18" Type="http://schemas.openxmlformats.org/officeDocument/2006/relationships/hyperlink" Target="https://www.lcsc.com/product-detail/Automotive-Fuses_Littelfuse-0287001-PXCN_C142679.html" TargetMode="External"/><Relationship Id="rId3" Type="http://schemas.openxmlformats.org/officeDocument/2006/relationships/hyperlink" Target="https://www.lcsc.com/product-detail/LED-Indication-Discrete_Foshan-NationStar-Optoelectronics-NCD0603G2_C87326.html" TargetMode="External"/><Relationship Id="rId7" Type="http://schemas.openxmlformats.org/officeDocument/2006/relationships/hyperlink" Target="https://www.lcsc.com/product-detail/multilayer-ceramic-capacitors-mlcc-smd-smt_yageo-cc0603krx5r9bb104_C110022.html" TargetMode="External"/><Relationship Id="rId12" Type="http://schemas.openxmlformats.org/officeDocument/2006/relationships/hyperlink" Target="https://www.lcsc.com/product-detail/led-indication-discrete_foshan-nationstar-optoelectronics-ncd0603r3_C3151730.html" TargetMode="External"/><Relationship Id="rId17" Type="http://schemas.openxmlformats.org/officeDocument/2006/relationships/hyperlink" Target="https://www.lcsc.com/product-detail/Schottky-Diodes_MDD-Microdiode-Semiconductor-SS56_C65009.html" TargetMode="External"/><Relationship Id="rId2" Type="http://schemas.openxmlformats.org/officeDocument/2006/relationships/hyperlink" Target="https://www.lcsc.com/product-detail/Screw-Terminal-Blocks_Phoenix-Contact-1715721_C480516.html" TargetMode="External"/><Relationship Id="rId16" Type="http://schemas.openxmlformats.org/officeDocument/2006/relationships/hyperlink" Target="https://www.lcsc.com/product-detail/Aluminum-Electrolytic-Capacitors-SMD_ROQANG-RVT1H101M0607_C3151829.html" TargetMode="External"/><Relationship Id="rId1" Type="http://schemas.openxmlformats.org/officeDocument/2006/relationships/hyperlink" Target="https://www.lcsc.com/product-detail/ESD-and-Surge-Protection-TVS-ESD_Diodes-Incorporated-SMBJ28A-13-F_C91924.html" TargetMode="External"/><Relationship Id="rId6" Type="http://schemas.openxmlformats.org/officeDocument/2006/relationships/hyperlink" Target="https://www.lcsc.com/product-detail/polymer-aluminum-capacitors_panasonic-50svpf10m_C2162323.html" TargetMode="External"/><Relationship Id="rId11" Type="http://schemas.openxmlformats.org/officeDocument/2006/relationships/hyperlink" Target="https://www.lcsc.com/product-detail/wire-to-board-connector_jst-b5b-xh-a-lf-sn_C157991.html" TargetMode="External"/><Relationship Id="rId5" Type="http://schemas.openxmlformats.org/officeDocument/2006/relationships/hyperlink" Target="https://www.lcsc.com/product-detail/Chip-Resistor-Surface-Mount_YAGEO-RC0402FR-073K9L_C131467.html" TargetMode="External"/><Relationship Id="rId15" Type="http://schemas.openxmlformats.org/officeDocument/2006/relationships/hyperlink" Target="https://www.lcsc.com/product-detail/brushed-dc-motor-drivers_texas-instruments-drv103h-2k5_C544418.html" TargetMode="External"/><Relationship Id="rId10" Type="http://schemas.openxmlformats.org/officeDocument/2006/relationships/hyperlink" Target="https://www.lcsc.com/product-detail/fuseholders_littelfuse-178-6165-0002_C207061.html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lcsc.com/product-detail/Chip-Resistor-Surface-Mount_YAGEO-RC0402FR-0710KL_C60490.html" TargetMode="External"/><Relationship Id="rId9" Type="http://schemas.openxmlformats.org/officeDocument/2006/relationships/hyperlink" Target="https://www.lcsc.com/product-detail/screw-terminal-blocks_dorabo-db125-3-81-2p-bk-s_C430618.html" TargetMode="External"/><Relationship Id="rId14" Type="http://schemas.openxmlformats.org/officeDocument/2006/relationships/hyperlink" Target="https://www.lcsc.com/product-detail/chip-resistor-surface-mount_yageo-rc0402fr-071ml_C13803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39"/>
  <sheetViews>
    <sheetView tabSelected="1" workbookViewId="0">
      <selection activeCell="E27" sqref="E27"/>
    </sheetView>
  </sheetViews>
  <sheetFormatPr defaultRowHeight="15" x14ac:dyDescent="0.25"/>
  <cols>
    <col min="2" max="2" width="3.140625" style="10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17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710937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16.5703125" bestFit="1" customWidth="1"/>
  </cols>
  <sheetData>
    <row r="1" spans="1:18" ht="15.75" thickBot="1" x14ac:dyDescent="0.3">
      <c r="A1" s="1"/>
      <c r="B1" s="6"/>
      <c r="C1" s="6"/>
      <c r="D1" s="2"/>
      <c r="E1" s="2"/>
      <c r="F1" s="2"/>
      <c r="G1" s="2"/>
      <c r="H1" s="2"/>
      <c r="I1" s="2"/>
      <c r="J1" s="2"/>
      <c r="K1" s="48"/>
      <c r="L1" s="48"/>
      <c r="M1" s="48"/>
      <c r="N1" s="48"/>
      <c r="O1" s="48"/>
      <c r="P1" s="48"/>
      <c r="Q1" s="48"/>
      <c r="R1" s="48"/>
    </row>
    <row r="2" spans="1:18" ht="32.25" thickBot="1" x14ac:dyDescent="0.3">
      <c r="A2" s="1"/>
      <c r="B2" s="7"/>
      <c r="C2" s="13"/>
      <c r="D2" s="4" t="s">
        <v>0</v>
      </c>
      <c r="E2" s="4"/>
      <c r="F2" s="40" t="s">
        <v>110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 x14ac:dyDescent="0.3">
      <c r="A3" s="1"/>
      <c r="B3" s="8"/>
      <c r="C3" s="26"/>
      <c r="D3" s="39" t="s">
        <v>1</v>
      </c>
      <c r="E3" s="27"/>
      <c r="F3" s="41" t="s">
        <v>111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 x14ac:dyDescent="0.25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 x14ac:dyDescent="0.25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 x14ac:dyDescent="0.3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 x14ac:dyDescent="0.3">
      <c r="A7" s="1"/>
      <c r="B7" s="12" t="s">
        <v>2</v>
      </c>
      <c r="C7" s="12" t="s">
        <v>5</v>
      </c>
      <c r="D7" s="12" t="s">
        <v>16</v>
      </c>
      <c r="E7" s="12" t="s">
        <v>33</v>
      </c>
      <c r="F7" s="12" t="s">
        <v>49</v>
      </c>
      <c r="G7" s="12" t="s">
        <v>59</v>
      </c>
      <c r="H7" s="12" t="s">
        <v>71</v>
      </c>
      <c r="I7" s="12" t="s">
        <v>102</v>
      </c>
      <c r="J7" s="12" t="s">
        <v>81</v>
      </c>
      <c r="K7" s="12" t="s">
        <v>103</v>
      </c>
      <c r="L7" s="12" t="s">
        <v>101</v>
      </c>
      <c r="M7" s="12" t="s">
        <v>104</v>
      </c>
      <c r="N7" s="12" t="s">
        <v>105</v>
      </c>
      <c r="O7" s="12" t="s">
        <v>106</v>
      </c>
      <c r="P7" s="12" t="s">
        <v>107</v>
      </c>
      <c r="Q7" s="12" t="s">
        <v>108</v>
      </c>
      <c r="R7" s="12" t="s">
        <v>109</v>
      </c>
    </row>
    <row r="8" spans="1:18" x14ac:dyDescent="0.25">
      <c r="A8" s="1"/>
      <c r="B8" s="16">
        <f>ROW(B8) - ROW($B$7)</f>
        <v>1</v>
      </c>
      <c r="C8" s="22" t="s">
        <v>6</v>
      </c>
      <c r="D8" s="14" t="s">
        <v>17</v>
      </c>
      <c r="E8" s="14" t="s">
        <v>34</v>
      </c>
      <c r="F8" s="14" t="s">
        <v>113</v>
      </c>
      <c r="G8" s="14" t="s">
        <v>50</v>
      </c>
      <c r="H8" s="14" t="s">
        <v>72</v>
      </c>
      <c r="I8" s="45" t="s">
        <v>133</v>
      </c>
      <c r="J8" s="14" t="s">
        <v>82</v>
      </c>
      <c r="K8" s="42" t="s">
        <v>95</v>
      </c>
      <c r="L8" s="14">
        <v>4</v>
      </c>
      <c r="M8" s="14">
        <f>L8*5</f>
        <v>20</v>
      </c>
      <c r="N8" s="20">
        <v>21</v>
      </c>
      <c r="O8" s="46" t="s">
        <v>115</v>
      </c>
      <c r="P8" s="15" t="s">
        <v>117</v>
      </c>
      <c r="Q8" s="15">
        <f>P8*N8</f>
        <v>12.631500000000001</v>
      </c>
      <c r="R8" s="14"/>
    </row>
    <row r="9" spans="1:18" x14ac:dyDescent="0.25">
      <c r="A9" s="1"/>
      <c r="B9" s="17">
        <f t="shared" ref="B9:B25" si="0">ROW(B9) - ROW($B$7)</f>
        <v>2</v>
      </c>
      <c r="C9" s="23" t="s">
        <v>6</v>
      </c>
      <c r="D9" s="20" t="s">
        <v>18</v>
      </c>
      <c r="E9" s="20" t="s">
        <v>35</v>
      </c>
      <c r="F9" s="20" t="s">
        <v>51</v>
      </c>
      <c r="G9" s="20" t="s">
        <v>60</v>
      </c>
      <c r="H9" s="20" t="s">
        <v>73</v>
      </c>
      <c r="I9" s="45" t="s">
        <v>133</v>
      </c>
      <c r="J9" s="20" t="s">
        <v>83</v>
      </c>
      <c r="K9" s="43" t="s">
        <v>96</v>
      </c>
      <c r="L9" s="20">
        <v>9</v>
      </c>
      <c r="M9" s="20">
        <f t="shared" ref="M9" si="1">L9*5</f>
        <v>45</v>
      </c>
      <c r="N9" s="20" t="s">
        <v>120</v>
      </c>
      <c r="O9" s="46" t="s">
        <v>115</v>
      </c>
      <c r="P9" s="15" t="s">
        <v>118</v>
      </c>
      <c r="Q9" s="21">
        <f t="shared" ref="Q9" si="2">P9*N9</f>
        <v>0.27999999999999997</v>
      </c>
      <c r="R9" s="20"/>
    </row>
    <row r="10" spans="1:18" ht="36" x14ac:dyDescent="0.25">
      <c r="A10" s="1"/>
      <c r="B10" s="16">
        <f>ROW(B10) - ROW($B$7)</f>
        <v>3</v>
      </c>
      <c r="C10" s="22" t="s">
        <v>6</v>
      </c>
      <c r="D10" s="14" t="s">
        <v>19</v>
      </c>
      <c r="E10" s="42" t="s">
        <v>134</v>
      </c>
      <c r="F10" s="14" t="s">
        <v>113</v>
      </c>
      <c r="G10" s="42" t="s">
        <v>135</v>
      </c>
      <c r="H10" s="14" t="s">
        <v>136</v>
      </c>
      <c r="I10" s="45" t="s">
        <v>133</v>
      </c>
      <c r="J10" s="14" t="s">
        <v>138</v>
      </c>
      <c r="K10" s="42" t="s">
        <v>137</v>
      </c>
      <c r="L10" s="14">
        <v>1</v>
      </c>
      <c r="M10" s="14">
        <f>L10*5</f>
        <v>5</v>
      </c>
      <c r="N10" s="20">
        <v>10</v>
      </c>
      <c r="O10" s="46" t="s">
        <v>115</v>
      </c>
      <c r="P10" s="15">
        <v>5.96E-2</v>
      </c>
      <c r="Q10" s="15">
        <f>P10*N10</f>
        <v>0.59599999999999997</v>
      </c>
      <c r="R10" s="14"/>
    </row>
    <row r="11" spans="1:18" ht="24" x14ac:dyDescent="0.25">
      <c r="A11" s="1"/>
      <c r="B11" s="17">
        <f t="shared" si="0"/>
        <v>4</v>
      </c>
      <c r="C11" s="23" t="s">
        <v>7</v>
      </c>
      <c r="D11" s="20" t="s">
        <v>20</v>
      </c>
      <c r="E11" s="20" t="s">
        <v>36</v>
      </c>
      <c r="F11" s="20" t="s">
        <v>52</v>
      </c>
      <c r="G11" s="20" t="s">
        <v>61</v>
      </c>
      <c r="H11" s="20" t="s">
        <v>74</v>
      </c>
      <c r="I11" s="45" t="s">
        <v>133</v>
      </c>
      <c r="J11" s="20" t="s">
        <v>84</v>
      </c>
      <c r="K11" s="43" t="s">
        <v>112</v>
      </c>
      <c r="L11" s="20">
        <v>4</v>
      </c>
      <c r="M11" s="20">
        <f t="shared" ref="M11" si="3">L11*5</f>
        <v>20</v>
      </c>
      <c r="N11" s="20">
        <v>25</v>
      </c>
      <c r="O11" s="46" t="s">
        <v>115</v>
      </c>
      <c r="P11" s="15" t="s">
        <v>119</v>
      </c>
      <c r="Q11" s="21">
        <f t="shared" ref="Q11" si="4">P11*N11</f>
        <v>3.1124999999999998</v>
      </c>
      <c r="R11" s="20"/>
    </row>
    <row r="12" spans="1:18" x14ac:dyDescent="0.25">
      <c r="A12" s="1"/>
      <c r="B12" s="16">
        <f>ROW(B12) - ROW($B$7)</f>
        <v>5</v>
      </c>
      <c r="C12" s="22" t="s">
        <v>8</v>
      </c>
      <c r="D12" s="14" t="s">
        <v>21</v>
      </c>
      <c r="E12" s="14" t="s">
        <v>37</v>
      </c>
      <c r="F12" s="14" t="s">
        <v>53</v>
      </c>
      <c r="G12" s="14" t="s">
        <v>62</v>
      </c>
      <c r="H12" s="14" t="s">
        <v>7</v>
      </c>
      <c r="I12" s="45" t="s">
        <v>133</v>
      </c>
      <c r="J12" s="20" t="s">
        <v>114</v>
      </c>
      <c r="K12" s="43" t="s">
        <v>112</v>
      </c>
      <c r="L12" s="14">
        <v>1</v>
      </c>
      <c r="M12" s="14">
        <f>L12*5</f>
        <v>5</v>
      </c>
      <c r="N12" s="20">
        <v>10</v>
      </c>
      <c r="O12" s="44" t="s">
        <v>115</v>
      </c>
      <c r="P12" s="15" t="s">
        <v>122</v>
      </c>
      <c r="Q12" s="15">
        <f>P12*N12</f>
        <v>1.4849999999999999</v>
      </c>
      <c r="R12" s="14"/>
    </row>
    <row r="13" spans="1:18" x14ac:dyDescent="0.25">
      <c r="A13" s="1"/>
      <c r="B13" s="16">
        <f>ROW(B13) - ROW($B$7)</f>
        <v>6</v>
      </c>
      <c r="C13" s="22" t="s">
        <v>8</v>
      </c>
      <c r="D13" s="14" t="s">
        <v>139</v>
      </c>
      <c r="E13" s="43" t="s">
        <v>140</v>
      </c>
      <c r="F13" s="20" t="s">
        <v>141</v>
      </c>
      <c r="G13" s="43" t="s">
        <v>142</v>
      </c>
      <c r="H13" s="20" t="s">
        <v>143</v>
      </c>
      <c r="I13" s="45" t="s">
        <v>133</v>
      </c>
      <c r="J13" s="20" t="s">
        <v>144</v>
      </c>
      <c r="K13" s="43" t="s">
        <v>112</v>
      </c>
      <c r="L13" s="14">
        <v>1</v>
      </c>
      <c r="M13" s="14">
        <f>L13*5</f>
        <v>5</v>
      </c>
      <c r="N13" s="20">
        <v>10</v>
      </c>
      <c r="O13" s="47" t="s">
        <v>115</v>
      </c>
      <c r="P13" s="15">
        <v>4.53E-2</v>
      </c>
      <c r="Q13" s="15">
        <f>P13*N13</f>
        <v>0.45300000000000001</v>
      </c>
      <c r="R13" s="14"/>
    </row>
    <row r="14" spans="1:18" ht="48" x14ac:dyDescent="0.25">
      <c r="A14" s="1"/>
      <c r="B14" s="17">
        <f t="shared" si="0"/>
        <v>7</v>
      </c>
      <c r="C14" s="23" t="s">
        <v>9</v>
      </c>
      <c r="D14" s="20" t="s">
        <v>22</v>
      </c>
      <c r="E14" s="20" t="s">
        <v>38</v>
      </c>
      <c r="F14" s="14" t="s">
        <v>113</v>
      </c>
      <c r="G14" s="20" t="s">
        <v>54</v>
      </c>
      <c r="H14" s="20" t="s">
        <v>75</v>
      </c>
      <c r="I14" s="45" t="s">
        <v>133</v>
      </c>
      <c r="J14" s="20" t="s">
        <v>85</v>
      </c>
      <c r="K14" s="43" t="s">
        <v>112</v>
      </c>
      <c r="L14" s="20">
        <v>4</v>
      </c>
      <c r="M14" s="20">
        <f t="shared" ref="M14" si="5">L14*5</f>
        <v>20</v>
      </c>
      <c r="N14" s="20">
        <v>25</v>
      </c>
      <c r="O14" s="46" t="s">
        <v>115</v>
      </c>
      <c r="P14" s="15" t="s">
        <v>123</v>
      </c>
      <c r="Q14" s="21">
        <f t="shared" ref="Q14" si="6">P14*N14</f>
        <v>4.7225000000000001</v>
      </c>
      <c r="R14" s="20"/>
    </row>
    <row r="15" spans="1:18" x14ac:dyDescent="0.25">
      <c r="A15" s="1"/>
      <c r="B15" s="16">
        <f>ROW(B15) - ROW($B$7)</f>
        <v>8</v>
      </c>
      <c r="C15" s="22" t="s">
        <v>10</v>
      </c>
      <c r="D15" s="14" t="s">
        <v>23</v>
      </c>
      <c r="E15" s="14" t="s">
        <v>39</v>
      </c>
      <c r="F15" s="14" t="s">
        <v>113</v>
      </c>
      <c r="G15" s="14" t="s">
        <v>55</v>
      </c>
      <c r="H15" s="14" t="s">
        <v>76</v>
      </c>
      <c r="I15" s="45" t="s">
        <v>133</v>
      </c>
      <c r="J15" s="14" t="s">
        <v>86</v>
      </c>
      <c r="K15" s="43" t="s">
        <v>112</v>
      </c>
      <c r="L15" s="14">
        <v>1</v>
      </c>
      <c r="M15" s="14">
        <f>L15*5</f>
        <v>5</v>
      </c>
      <c r="N15" s="20">
        <v>6</v>
      </c>
      <c r="O15" s="46" t="s">
        <v>115</v>
      </c>
      <c r="P15" s="15" t="s">
        <v>124</v>
      </c>
      <c r="Q15" s="15">
        <f>P15*N15</f>
        <v>7.8431999999999995</v>
      </c>
      <c r="R15" s="14"/>
    </row>
    <row r="16" spans="1:18" ht="24" x14ac:dyDescent="0.25">
      <c r="A16" s="1"/>
      <c r="B16" s="17">
        <f t="shared" si="0"/>
        <v>9</v>
      </c>
      <c r="C16" s="23" t="s">
        <v>11</v>
      </c>
      <c r="D16" s="20" t="s">
        <v>24</v>
      </c>
      <c r="E16" s="20" t="s">
        <v>40</v>
      </c>
      <c r="F16" s="14" t="s">
        <v>113</v>
      </c>
      <c r="G16" s="20" t="s">
        <v>63</v>
      </c>
      <c r="H16" s="20" t="s">
        <v>77</v>
      </c>
      <c r="I16" s="45" t="s">
        <v>133</v>
      </c>
      <c r="J16" s="20" t="s">
        <v>87</v>
      </c>
      <c r="K16" s="43" t="s">
        <v>112</v>
      </c>
      <c r="L16" s="20">
        <v>1</v>
      </c>
      <c r="M16" s="20">
        <f t="shared" ref="M16" si="7">L16*5</f>
        <v>5</v>
      </c>
      <c r="N16" s="20">
        <v>10</v>
      </c>
      <c r="O16" s="46" t="s">
        <v>115</v>
      </c>
      <c r="P16" s="15" t="s">
        <v>125</v>
      </c>
      <c r="Q16" s="21">
        <f t="shared" ref="Q16" si="8">P16*N16</f>
        <v>0.69000000000000006</v>
      </c>
      <c r="R16" s="20"/>
    </row>
    <row r="17" spans="1:18" x14ac:dyDescent="0.25">
      <c r="A17" s="1"/>
      <c r="B17" s="16">
        <f>ROW(B17) - ROW($B$7)</f>
        <v>10</v>
      </c>
      <c r="C17" s="22" t="s">
        <v>12</v>
      </c>
      <c r="D17" s="14" t="s">
        <v>25</v>
      </c>
      <c r="E17" s="14" t="s">
        <v>41</v>
      </c>
      <c r="F17" s="14" t="s">
        <v>113</v>
      </c>
      <c r="G17" s="14">
        <v>1715721</v>
      </c>
      <c r="H17" s="14" t="s">
        <v>78</v>
      </c>
      <c r="I17" s="45" t="s">
        <v>133</v>
      </c>
      <c r="J17" s="14" t="s">
        <v>116</v>
      </c>
      <c r="K17" s="43" t="s">
        <v>112</v>
      </c>
      <c r="L17" s="14">
        <v>1</v>
      </c>
      <c r="M17" s="14">
        <f>L17*5</f>
        <v>5</v>
      </c>
      <c r="N17" s="14">
        <v>6</v>
      </c>
      <c r="O17" s="44" t="s">
        <v>115</v>
      </c>
      <c r="P17" s="15" t="s">
        <v>126</v>
      </c>
      <c r="Q17" s="15">
        <f>P17*N17</f>
        <v>2.3418000000000001</v>
      </c>
      <c r="R17" s="14"/>
    </row>
    <row r="18" spans="1:18" ht="24" x14ac:dyDescent="0.25">
      <c r="A18" s="1"/>
      <c r="B18" s="17">
        <f t="shared" si="0"/>
        <v>11</v>
      </c>
      <c r="C18" s="23" t="s">
        <v>13</v>
      </c>
      <c r="D18" s="20" t="s">
        <v>26</v>
      </c>
      <c r="E18" s="20" t="s">
        <v>42</v>
      </c>
      <c r="F18" s="20" t="s">
        <v>56</v>
      </c>
      <c r="G18" s="20" t="s">
        <v>64</v>
      </c>
      <c r="H18" s="20" t="s">
        <v>79</v>
      </c>
      <c r="I18" s="45" t="s">
        <v>133</v>
      </c>
      <c r="J18" s="20" t="s">
        <v>88</v>
      </c>
      <c r="K18" s="43" t="s">
        <v>112</v>
      </c>
      <c r="L18" s="20">
        <v>4</v>
      </c>
      <c r="M18" s="20">
        <f t="shared" ref="M18" si="9">L18*5</f>
        <v>20</v>
      </c>
      <c r="N18" s="20">
        <v>40</v>
      </c>
      <c r="O18" s="44" t="s">
        <v>115</v>
      </c>
      <c r="P18" s="15" t="s">
        <v>127</v>
      </c>
      <c r="Q18" s="21">
        <f t="shared" ref="Q18" si="10">P18*N18</f>
        <v>0.89999999999999991</v>
      </c>
      <c r="R18" s="20"/>
    </row>
    <row r="19" spans="1:18" ht="24" x14ac:dyDescent="0.25">
      <c r="A19" s="1"/>
      <c r="B19" s="16">
        <f>ROW(B19) - ROW($B$7)</f>
        <v>12</v>
      </c>
      <c r="C19" s="22" t="s">
        <v>13</v>
      </c>
      <c r="D19" s="14" t="s">
        <v>27</v>
      </c>
      <c r="E19" s="14" t="s">
        <v>43</v>
      </c>
      <c r="F19" s="14" t="s">
        <v>56</v>
      </c>
      <c r="G19" s="14" t="s">
        <v>65</v>
      </c>
      <c r="H19" s="14" t="s">
        <v>79</v>
      </c>
      <c r="I19" s="45" t="s">
        <v>133</v>
      </c>
      <c r="J19" s="14" t="s">
        <v>89</v>
      </c>
      <c r="K19" s="43" t="s">
        <v>112</v>
      </c>
      <c r="L19" s="14">
        <v>5</v>
      </c>
      <c r="M19" s="14">
        <f>L19*5</f>
        <v>25</v>
      </c>
      <c r="N19" s="20" t="s">
        <v>121</v>
      </c>
      <c r="O19" s="46" t="s">
        <v>115</v>
      </c>
      <c r="P19" s="15" t="s">
        <v>128</v>
      </c>
      <c r="Q19" s="15">
        <f>P19*N19</f>
        <v>0.90800000000000003</v>
      </c>
      <c r="R19" s="14"/>
    </row>
    <row r="20" spans="1:18" x14ac:dyDescent="0.25">
      <c r="A20" s="1"/>
      <c r="B20" s="17">
        <f t="shared" si="0"/>
        <v>13</v>
      </c>
      <c r="C20" s="22" t="s">
        <v>14</v>
      </c>
      <c r="D20" s="20" t="s">
        <v>28</v>
      </c>
      <c r="E20" s="20" t="s">
        <v>44</v>
      </c>
      <c r="F20" s="20" t="s">
        <v>57</v>
      </c>
      <c r="G20" s="20" t="s">
        <v>66</v>
      </c>
      <c r="H20" s="20" t="s">
        <v>73</v>
      </c>
      <c r="I20" s="45" t="s">
        <v>133</v>
      </c>
      <c r="J20" s="20" t="s">
        <v>90</v>
      </c>
      <c r="K20" s="43" t="s">
        <v>97</v>
      </c>
      <c r="L20" s="20">
        <v>4</v>
      </c>
      <c r="M20" s="20">
        <f t="shared" ref="M20" si="11">L20*5</f>
        <v>20</v>
      </c>
      <c r="N20" s="20" t="s">
        <v>120</v>
      </c>
      <c r="O20" s="46" t="s">
        <v>115</v>
      </c>
      <c r="P20" s="15" t="s">
        <v>129</v>
      </c>
      <c r="Q20" s="21">
        <f t="shared" ref="Q20" si="12">P20*N20</f>
        <v>6.9999999999999993E-2</v>
      </c>
      <c r="R20" s="20"/>
    </row>
    <row r="21" spans="1:18" x14ac:dyDescent="0.25">
      <c r="A21" s="1"/>
      <c r="B21" s="16">
        <f>ROW(B21) - ROW($B$7)</f>
        <v>14</v>
      </c>
      <c r="C21" s="22" t="s">
        <v>14</v>
      </c>
      <c r="D21" s="14" t="s">
        <v>29</v>
      </c>
      <c r="E21" s="14" t="s">
        <v>45</v>
      </c>
      <c r="F21" s="14" t="s">
        <v>57</v>
      </c>
      <c r="G21" s="14" t="s">
        <v>67</v>
      </c>
      <c r="H21" s="14" t="s">
        <v>73</v>
      </c>
      <c r="I21" s="45" t="s">
        <v>133</v>
      </c>
      <c r="J21" s="14" t="s">
        <v>91</v>
      </c>
      <c r="K21" s="42" t="s">
        <v>98</v>
      </c>
      <c r="L21" s="14">
        <v>4</v>
      </c>
      <c r="M21" s="14">
        <f>L21*5</f>
        <v>20</v>
      </c>
      <c r="N21" s="20" t="s">
        <v>120</v>
      </c>
      <c r="O21" s="44" t="s">
        <v>115</v>
      </c>
      <c r="P21" s="15" t="s">
        <v>130</v>
      </c>
      <c r="Q21" s="15">
        <f>P21*N21</f>
        <v>0.05</v>
      </c>
      <c r="R21" s="14"/>
    </row>
    <row r="22" spans="1:18" x14ac:dyDescent="0.25">
      <c r="A22" s="1"/>
      <c r="B22" s="17">
        <f t="shared" si="0"/>
        <v>15</v>
      </c>
      <c r="C22" s="23" t="s">
        <v>14</v>
      </c>
      <c r="D22" s="20" t="s">
        <v>30</v>
      </c>
      <c r="E22" s="20" t="s">
        <v>46</v>
      </c>
      <c r="F22" s="20" t="s">
        <v>57</v>
      </c>
      <c r="G22" s="20" t="s">
        <v>68</v>
      </c>
      <c r="H22" s="20" t="s">
        <v>73</v>
      </c>
      <c r="I22" s="45" t="s">
        <v>133</v>
      </c>
      <c r="J22" s="20" t="s">
        <v>92</v>
      </c>
      <c r="K22" s="43" t="s">
        <v>99</v>
      </c>
      <c r="L22" s="20">
        <v>8</v>
      </c>
      <c r="M22" s="20">
        <f t="shared" ref="M22" si="13">L22*5</f>
        <v>40</v>
      </c>
      <c r="N22" s="20" t="s">
        <v>120</v>
      </c>
      <c r="O22" s="46" t="s">
        <v>115</v>
      </c>
      <c r="P22" s="15" t="s">
        <v>129</v>
      </c>
      <c r="Q22" s="21">
        <f t="shared" ref="Q22" si="14">P22*N22</f>
        <v>6.9999999999999993E-2</v>
      </c>
      <c r="R22" s="20"/>
    </row>
    <row r="23" spans="1:18" x14ac:dyDescent="0.25">
      <c r="A23" s="1"/>
      <c r="B23" s="16">
        <f>ROW(B23) - ROW($B$7)</f>
        <v>16</v>
      </c>
      <c r="C23" s="22" t="s">
        <v>14</v>
      </c>
      <c r="D23" s="14" t="s">
        <v>31</v>
      </c>
      <c r="E23" s="14" t="s">
        <v>47</v>
      </c>
      <c r="F23" s="14" t="s">
        <v>57</v>
      </c>
      <c r="G23" s="14" t="s">
        <v>69</v>
      </c>
      <c r="H23" s="14" t="s">
        <v>73</v>
      </c>
      <c r="I23" s="45" t="s">
        <v>133</v>
      </c>
      <c r="J23" s="14" t="s">
        <v>93</v>
      </c>
      <c r="K23" s="42" t="s">
        <v>100</v>
      </c>
      <c r="L23" s="14">
        <v>5</v>
      </c>
      <c r="M23" s="14">
        <f>L23*5</f>
        <v>25</v>
      </c>
      <c r="N23" s="20" t="s">
        <v>120</v>
      </c>
      <c r="O23" s="44" t="s">
        <v>115</v>
      </c>
      <c r="P23" s="15" t="s">
        <v>131</v>
      </c>
      <c r="Q23" s="15">
        <f>P23*N23</f>
        <v>0.06</v>
      </c>
      <c r="R23" s="14"/>
    </row>
    <row r="24" spans="1:18" x14ac:dyDescent="0.25">
      <c r="A24" s="1"/>
      <c r="B24" s="16">
        <f>ROW(B24) - ROW($B$7)</f>
        <v>17</v>
      </c>
      <c r="C24" s="23" t="s">
        <v>15</v>
      </c>
      <c r="D24" s="20" t="s">
        <v>32</v>
      </c>
      <c r="E24" s="20" t="s">
        <v>48</v>
      </c>
      <c r="F24" s="20" t="s">
        <v>58</v>
      </c>
      <c r="G24" s="20" t="s">
        <v>70</v>
      </c>
      <c r="H24" s="20" t="s">
        <v>80</v>
      </c>
      <c r="I24" s="45" t="s">
        <v>133</v>
      </c>
      <c r="J24" s="20" t="s">
        <v>94</v>
      </c>
      <c r="K24" s="43" t="s">
        <v>112</v>
      </c>
      <c r="L24" s="20">
        <v>4</v>
      </c>
      <c r="M24" s="20">
        <f t="shared" ref="M24:M25" si="15">L24*5</f>
        <v>20</v>
      </c>
      <c r="N24" s="20">
        <v>21</v>
      </c>
      <c r="O24" s="46" t="s">
        <v>115</v>
      </c>
      <c r="P24" s="15" t="s">
        <v>132</v>
      </c>
      <c r="Q24" s="21">
        <f t="shared" ref="Q24:Q25" si="16">P24*N24</f>
        <v>86.39609999999999</v>
      </c>
      <c r="R24" s="20"/>
    </row>
    <row r="25" spans="1:18" ht="24.75" thickBot="1" x14ac:dyDescent="0.3">
      <c r="A25" s="1"/>
      <c r="B25" s="17">
        <f t="shared" si="0"/>
        <v>18</v>
      </c>
      <c r="C25" s="23" t="s">
        <v>145</v>
      </c>
      <c r="D25" s="20" t="s">
        <v>146</v>
      </c>
      <c r="E25" s="43" t="s">
        <v>147</v>
      </c>
      <c r="F25" s="20" t="s">
        <v>113</v>
      </c>
      <c r="G25" s="43" t="s">
        <v>148</v>
      </c>
      <c r="H25" s="20" t="s">
        <v>149</v>
      </c>
      <c r="I25" s="45" t="s">
        <v>133</v>
      </c>
      <c r="J25" s="20" t="s">
        <v>150</v>
      </c>
      <c r="K25" s="43" t="s">
        <v>112</v>
      </c>
      <c r="L25" s="20">
        <v>1</v>
      </c>
      <c r="M25" s="20">
        <f t="shared" si="15"/>
        <v>5</v>
      </c>
      <c r="N25" s="20">
        <v>5</v>
      </c>
      <c r="O25" s="46" t="s">
        <v>115</v>
      </c>
      <c r="P25" s="15">
        <v>8.8800000000000004E-2</v>
      </c>
      <c r="Q25" s="21">
        <f t="shared" si="16"/>
        <v>0.44400000000000001</v>
      </c>
      <c r="R25" s="20"/>
    </row>
    <row r="26" spans="1:18" ht="19.5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49" t="s">
        <v>3</v>
      </c>
      <c r="O26" s="50"/>
      <c r="P26" s="50"/>
      <c r="Q26" s="18">
        <f>SUM(Q8:Q25)</f>
        <v>123.0536</v>
      </c>
      <c r="R26" s="1"/>
    </row>
    <row r="27" spans="1:18" ht="19.5" thickBo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49" t="s">
        <v>4</v>
      </c>
      <c r="O27" s="50"/>
      <c r="P27" s="50"/>
      <c r="Q27" s="19">
        <f>Q26/5</f>
        <v>24.610720000000001</v>
      </c>
      <c r="R27" s="1"/>
    </row>
    <row r="39" spans="13:13" x14ac:dyDescent="0.25">
      <c r="M39" s="38"/>
    </row>
  </sheetData>
  <mergeCells count="3">
    <mergeCell ref="K1:R1"/>
    <mergeCell ref="N26:P26"/>
    <mergeCell ref="N27:P27"/>
  </mergeCells>
  <hyperlinks>
    <hyperlink ref="O12" r:id="rId1"/>
    <hyperlink ref="O17" r:id="rId2"/>
    <hyperlink ref="O18" r:id="rId3"/>
    <hyperlink ref="O21" r:id="rId4"/>
    <hyperlink ref="O23" r:id="rId5"/>
    <hyperlink ref="O8" r:id="rId6"/>
    <hyperlink ref="O9" r:id="rId7"/>
    <hyperlink ref="O11" r:id="rId8"/>
    <hyperlink ref="O14" r:id="rId9"/>
    <hyperlink ref="O15" r:id="rId10"/>
    <hyperlink ref="O16" r:id="rId11"/>
    <hyperlink ref="O19" r:id="rId12"/>
    <hyperlink ref="O20" r:id="rId13"/>
    <hyperlink ref="O22" r:id="rId14"/>
    <hyperlink ref="O24" r:id="rId15"/>
    <hyperlink ref="O10" r:id="rId16"/>
    <hyperlink ref="O13" r:id="rId17"/>
    <hyperlink ref="O25" r:id="rId18"/>
  </hyperlinks>
  <pageMargins left="0.7" right="0.7" top="0.75" bottom="0.75" header="0.3" footer="0.3"/>
  <pageSetup paperSize="9"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2024-09-25T11:19:19Z</dcterms:modified>
</cp:coreProperties>
</file>