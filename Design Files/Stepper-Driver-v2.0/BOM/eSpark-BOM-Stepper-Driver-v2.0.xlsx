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tepper-Driver-v2.0\BOM\"/>
    </mc:Choice>
  </mc:AlternateContent>
  <bookViews>
    <workbookView xWindow="28680" yWindow="-120" windowWidth="29040" windowHeight="15840" activeTab="1"/>
  </bookViews>
  <sheets>
    <sheet name="5 Boards" sheetId="1" r:id="rId1"/>
    <sheet name="25 Boards" sheetId="2" r:id="rId2"/>
  </sheets>
  <calcPr calcId="162913"/>
</workbook>
</file>

<file path=xl/calcChain.xml><?xml version="1.0" encoding="utf-8"?>
<calcChain xmlns="http://schemas.openxmlformats.org/spreadsheetml/2006/main">
  <c r="M45" i="2" l="1"/>
  <c r="Q23" i="2"/>
  <c r="Q93" i="1"/>
  <c r="Q23" i="1"/>
  <c r="Q94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2" i="2"/>
  <c r="M8" i="2"/>
  <c r="Q93" i="2"/>
  <c r="Q92" i="2"/>
  <c r="B92" i="2"/>
  <c r="B91" i="2"/>
  <c r="Q90" i="2"/>
  <c r="B90" i="2"/>
  <c r="Q89" i="2"/>
  <c r="B89" i="2"/>
  <c r="Q54" i="2"/>
  <c r="B23" i="2"/>
  <c r="Q89" i="1"/>
  <c r="Q90" i="1"/>
  <c r="Q92" i="1"/>
  <c r="M89" i="1"/>
  <c r="M90" i="1"/>
  <c r="M92" i="1"/>
  <c r="B89" i="1"/>
  <c r="B90" i="1"/>
  <c r="B91" i="1"/>
  <c r="B92" i="1"/>
  <c r="M23" i="1" l="1"/>
  <c r="B23" i="1"/>
  <c r="Q54" i="1" l="1"/>
  <c r="M54" i="1"/>
  <c r="Q88" i="2" l="1"/>
  <c r="B88" i="2"/>
  <c r="Q87" i="2"/>
  <c r="B87" i="2"/>
  <c r="Q86" i="2"/>
  <c r="B86" i="2"/>
  <c r="Q85" i="2"/>
  <c r="B85" i="2"/>
  <c r="Q84" i="2"/>
  <c r="B84" i="2"/>
  <c r="Q83" i="2"/>
  <c r="B83" i="2"/>
  <c r="Q82" i="2"/>
  <c r="B82" i="2"/>
  <c r="Q81" i="2"/>
  <c r="B81" i="2"/>
  <c r="Q80" i="2"/>
  <c r="B80" i="2"/>
  <c r="Q79" i="2"/>
  <c r="B79" i="2"/>
  <c r="Q78" i="2"/>
  <c r="B78" i="2"/>
  <c r="Q77" i="2"/>
  <c r="B77" i="2"/>
  <c r="Q76" i="2"/>
  <c r="B76" i="2"/>
  <c r="Q75" i="2"/>
  <c r="B75" i="2"/>
  <c r="Q74" i="2"/>
  <c r="B74" i="2"/>
  <c r="Q73" i="2"/>
  <c r="B73" i="2"/>
  <c r="Q72" i="2"/>
  <c r="B72" i="2"/>
  <c r="Q71" i="2"/>
  <c r="B71" i="2"/>
  <c r="Q70" i="2"/>
  <c r="B70" i="2"/>
  <c r="Q69" i="2"/>
  <c r="B69" i="2"/>
  <c r="Q68" i="2"/>
  <c r="B68" i="2"/>
  <c r="Q67" i="2"/>
  <c r="B67" i="2"/>
  <c r="Q66" i="2"/>
  <c r="B66" i="2"/>
  <c r="Q65" i="2"/>
  <c r="B65" i="2"/>
  <c r="Q64" i="2"/>
  <c r="B64" i="2"/>
  <c r="Q63" i="2"/>
  <c r="B63" i="2"/>
  <c r="Q62" i="2"/>
  <c r="B62" i="2"/>
  <c r="Q61" i="2"/>
  <c r="B61" i="2"/>
  <c r="Q60" i="2"/>
  <c r="B60" i="2"/>
  <c r="Q59" i="2"/>
  <c r="B59" i="2"/>
  <c r="Q58" i="2"/>
  <c r="B58" i="2"/>
  <c r="Q57" i="2"/>
  <c r="B57" i="2"/>
  <c r="Q56" i="2"/>
  <c r="B56" i="2"/>
  <c r="Q55" i="2"/>
  <c r="B55" i="2"/>
  <c r="B54" i="2"/>
  <c r="Q53" i="2"/>
  <c r="B53" i="2"/>
  <c r="Q52" i="2"/>
  <c r="B52" i="2"/>
  <c r="Q51" i="2"/>
  <c r="B51" i="2"/>
  <c r="Q50" i="2"/>
  <c r="B50" i="2"/>
  <c r="Q49" i="2"/>
  <c r="B49" i="2"/>
  <c r="Q48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9" i="2"/>
  <c r="B9" i="2"/>
  <c r="Q8" i="2"/>
  <c r="B8" i="2"/>
  <c r="Q88" i="1" l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4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<sst xmlns="http://schemas.openxmlformats.org/spreadsheetml/2006/main" count="1639" uniqueCount="537">
  <si>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</si>
  <si>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</si>
  <si>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</si>
  <si>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</si>
  <si>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</si>
  <si>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</si>
  <si>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</si>
  <si>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Capacitors</t>
  </si>
  <si>
    <t>Diode</t>
  </si>
  <si>
    <t>(TVS/ESD)</t>
  </si>
  <si>
    <t>TVS Diodes</t>
  </si>
  <si>
    <t>Fuses</t>
  </si>
  <si>
    <t>Ferrite Bead</t>
  </si>
  <si>
    <t>Fuse Holder</t>
  </si>
  <si>
    <t>Terminal Block</t>
  </si>
  <si>
    <t>Male Header</t>
  </si>
  <si>
    <t>USB Connectors</t>
  </si>
  <si>
    <t>Ethernet Connectors</t>
  </si>
  <si>
    <t>Inductors</t>
  </si>
  <si>
    <t>LED</t>
  </si>
  <si>
    <t>RGB LED</t>
  </si>
  <si>
    <t>MOSFETs</t>
  </si>
  <si>
    <t>Mosfet</t>
  </si>
  <si>
    <t>(BJT)</t>
  </si>
  <si>
    <t>Resistor</t>
  </si>
  <si>
    <t>Resistors</t>
  </si>
  <si>
    <t>Shunt Resistor</t>
  </si>
  <si>
    <t>Switch</t>
  </si>
  <si>
    <t>DIP Switches</t>
  </si>
  <si>
    <t>IC</t>
  </si>
  <si>
    <t>Crystal</t>
  </si>
  <si>
    <t>Designator</t>
  </si>
  <si>
    <t>C1, C2</t>
  </si>
  <si>
    <t>C3</t>
  </si>
  <si>
    <t>C4</t>
  </si>
  <si>
    <t>C5</t>
  </si>
  <si>
    <t>C6, C8, C18, C52, C53, C54, C55, C57, C59, C68, C69, C70, C71, C73, C75</t>
  </si>
  <si>
    <t>C10, C19, C20</t>
  </si>
  <si>
    <t>C11, C12</t>
  </si>
  <si>
    <t>C13, C14, C15</t>
  </si>
  <si>
    <t>C17</t>
  </si>
  <si>
    <t>C21, C22</t>
  </si>
  <si>
    <t>C23, C37, C39</t>
  </si>
  <si>
    <t>C24, C25, C26, C27, C30, C31, C36, C38, C40, C41, C42, C43, C44, C45</t>
  </si>
  <si>
    <t>C28, C29</t>
  </si>
  <si>
    <t>C32, C33, C34, C35</t>
  </si>
  <si>
    <t>C48, C49, C50, C51, C64, C65, C66, C67</t>
  </si>
  <si>
    <t>C60, C61, C76, C77</t>
  </si>
  <si>
    <t>D1</t>
  </si>
  <si>
    <t>D2</t>
  </si>
  <si>
    <t>D3</t>
  </si>
  <si>
    <t>D4</t>
  </si>
  <si>
    <t>D5</t>
  </si>
  <si>
    <t>D6, D7, D8, D9</t>
  </si>
  <si>
    <t>D10</t>
  </si>
  <si>
    <t>D11</t>
  </si>
  <si>
    <t>D12</t>
  </si>
  <si>
    <t>D13</t>
  </si>
  <si>
    <t>F1</t>
  </si>
  <si>
    <t>FB1</t>
  </si>
  <si>
    <t>J1</t>
  </si>
  <si>
    <t>J2</t>
  </si>
  <si>
    <t>J3</t>
  </si>
  <si>
    <t>J4</t>
  </si>
  <si>
    <t>J5</t>
  </si>
  <si>
    <t>J6</t>
  </si>
  <si>
    <t>J7, J8</t>
  </si>
  <si>
    <t>J9, J10, J11, J12</t>
  </si>
  <si>
    <t>L1</t>
  </si>
  <si>
    <t>LED1, LED2, LED3, LED4, LED11, LED12, LED15, LED16</t>
  </si>
  <si>
    <t>LED5</t>
  </si>
  <si>
    <t>LED6, LED7, LED8, LED9, LED10</t>
  </si>
  <si>
    <t>LED13, LED14, LED17, LED18</t>
  </si>
  <si>
    <t>Q1</t>
  </si>
  <si>
    <t>Q2</t>
  </si>
  <si>
    <t>Q3</t>
  </si>
  <si>
    <t>R2</t>
  </si>
  <si>
    <t>R3</t>
  </si>
  <si>
    <t>R6</t>
  </si>
  <si>
    <t>R7</t>
  </si>
  <si>
    <t>R8</t>
  </si>
  <si>
    <t>R9, R72, R74</t>
  </si>
  <si>
    <t>R10, R11, R12, R16, R17, R18, R19, R20, R21, R22, R23, R24, R25, R26, R27, R28, R29, R30, R31, R32, R33, R34, R35, R36, R37, R38, R39, R40, R41, R42, R43, R44, R45, R46, R47, R48, R49, R50, R51, R52, R53, R54, R55, R56, R57, R58, R59, R60, R62, R83, R84, R85, R87, R88, R89, R90, R92, R94, R95, R103, R104, R105, R106, R117, R118, R119, R120</t>
  </si>
  <si>
    <t>R13, R14, R15, R61, R63, R64, R65, R66, R67, R69, R82, R93, R97, R129</t>
  </si>
  <si>
    <t>R68, R86, R98, R99, R100</t>
  </si>
  <si>
    <t>R70, R71, R76</t>
  </si>
  <si>
    <t>R73, R75, R78</t>
  </si>
  <si>
    <t>R77</t>
  </si>
  <si>
    <t>R79</t>
  </si>
  <si>
    <t>R80, R81</t>
  </si>
  <si>
    <t>R91, R96</t>
  </si>
  <si>
    <t>R101, R102, R113, R114, R115, R116, R127, R128</t>
  </si>
  <si>
    <t>R107, R108, R121, R122</t>
  </si>
  <si>
    <t>R109, R110, R111, R112, R123, R124, R125, R126</t>
  </si>
  <si>
    <t>SW1, SW3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</si>
  <si>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</si>
  <si>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</si>
  <si>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</si>
  <si>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</si>
  <si>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</si>
  <si>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</si>
  <si>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</si>
  <si>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</si>
  <si>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</si>
  <si>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</si>
  <si>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U10, U11, U12, U13, U14, U15, U16, U17, U20, U21, U22, U23, U24, U25, U26, U27</t>
  </si>
  <si>
    <t>U18, U19, U28, U29</t>
  </si>
  <si>
    <t>U30</t>
  </si>
  <si>
    <t>X1</t>
  </si>
  <si>
    <t>X2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</si>
  <si>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</si>
  <si>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</si>
  <si>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</si>
  <si>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</si>
  <si>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</si>
  <si>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</si>
  <si>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4.7UF 50V X7R 1206</t>
  </si>
  <si>
    <t>CAP CER 0.22UF 50V X7R 1206</t>
  </si>
  <si>
    <t>CAP CER 47UF 25V X5R 1206</t>
  </si>
  <si>
    <t>CAP CER 6.8PF 50V C0G/NPO 0402</t>
  </si>
  <si>
    <t>CAP CER 2.2UF 25V X5R 0402</t>
  </si>
  <si>
    <t>CAP CER 4.7UF 10V X5R 0402</t>
  </si>
  <si>
    <t>CAP CER 0.1UF 16V X7R 0402</t>
  </si>
  <si>
    <t>CAP CER 1UF 16V X5R 0402</t>
  </si>
  <si>
    <t>CAP CER 15PF 50V C0G/NPO 0201</t>
  </si>
  <si>
    <t>CAP CER 0.1UF 50V X7R 0402</t>
  </si>
  <si>
    <t>CAP CER 1000PF 25V C0G 0402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</si>
  <si>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</si>
  <si>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</si>
  <si>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</si>
  <si>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</si>
  <si>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</si>
  <si>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</si>
  <si>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</si>
  <si>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5VWM 11.6VC 1610</t>
  </si>
  <si>
    <t>TVS DIODE 24VWM 40VC SOT23-3</t>
  </si>
  <si>
    <t>SOT-23 TVS ROHS</t>
  </si>
  <si>
    <t>PTC RESET FUSE 6V 1.1A 0805</t>
  </si>
  <si>
    <t>FERRITE BEAD 220 OHM 0603 1LN</t>
  </si>
  <si>
    <t>FUSE HOLDER BLADE 80V PCB</t>
  </si>
  <si>
    <t>1x3P 18A -40℃~+105℃ 250V Orange 12~30 Direct Insert 5.08mm 2.5 1 3 Plugin,P=5.08mm Screw Terminal Blocks ROHS</t>
  </si>
  <si>
    <t>Gold 250V 3A Straight Square Pins 2.5mm 3P 260℃ 6mm -40℃~+105℃ 3mm 2.54mm Plugin Black Brass 1x3P Plugin,P=2.54mm Pin Headers ROHS</t>
  </si>
  <si>
    <t>CABLE ADAPTER 6 POS</t>
  </si>
  <si>
    <t>5A 1 16P Mother -25℃~+85℃ Type-C SMD USB Connectors ROHS</t>
  </si>
  <si>
    <t>RJ45Receptacle Unshielded 1 Bend-in Gold Phosphor Bronze Without LED Plugin Ethernet Connectors / Modular Connectors (RJ45 RJ11) ROHS</t>
  </si>
  <si>
    <t>Gold 250V 3A Straight Square Pins 2.5mm 2P 260℃ 6mm -40℃~+105℃ 3mm 2.54mm Plugin Black Brass 1x2P Plugin,P=2.54mm Pin Headers ROHS</t>
  </si>
  <si>
    <t>1x4P 18A -40℃~+105℃ 250V Green 12~30 Direct Insert 5.08mm 2.5 1 4 Plugin,P=5.08mm Screw Terminal Blocks ROHS</t>
  </si>
  <si>
    <t>FIXED IND 15UH 9A 28 MOHM SMD</t>
  </si>
  <si>
    <t>RED LED 0603 Light Emitting Diodes</t>
  </si>
  <si>
    <t>Emerald 0603 Light Emitting Diodes (LED) ROHS</t>
  </si>
  <si>
    <t>Plugin,D=5mm RGB LEDs ROHS</t>
  </si>
  <si>
    <t>20mA 100mcd~220mcd 600nm~610nm -30℃~+85℃ Orange 130° 65mW 1.6V~2.6V 0603 Light Emitting Diodes (LED) ROHS</t>
  </si>
  <si>
    <t>MOSFET N-CH 60V 100A 8VSON</t>
  </si>
  <si>
    <t>N-CHANNEL 20-V (D-S) MOSFET</t>
  </si>
  <si>
    <t>40V 200mW 100 200mA NPN SOT-23 Bipolar (BJT) ROHS</t>
  </si>
  <si>
    <t>RES 3.9K OHM 1% 1/16W 0402</t>
  </si>
  <si>
    <t>RES SMD 698K OHM 0.1% 1/8W 0805</t>
  </si>
  <si>
    <t>RES SMD 100K OHM 0.1% 1/16W 0402</t>
  </si>
  <si>
    <t>RES SMD 51.1K OHM 0.1% 1/8W 0805</t>
  </si>
  <si>
    <t>RES SMD 24.9KOHM 0.1% 1/16W 0402</t>
  </si>
  <si>
    <t>RES 499 OHM 1% 1/16W 0402</t>
  </si>
  <si>
    <t>RES 240 OHM 1% 1/16W 0402</t>
  </si>
  <si>
    <t>RES 0 OHM JUMPER 1/16W 0402</t>
  </si>
  <si>
    <t>RES 10K OHM 1% 1/16W 0402</t>
  </si>
  <si>
    <t>RES 75 OHM 5% 1/16W 0402</t>
  </si>
  <si>
    <t>RES 4.7K OHM 1% 1/16W 0402</t>
  </si>
  <si>
    <t>RES 47K OHM 1% 1/16W 0402</t>
  </si>
  <si>
    <t>RES 200K OHM 1% 1/16W 0402</t>
  </si>
  <si>
    <t>RES 309K OHM 1% 1/16W 0402</t>
  </si>
  <si>
    <t>RES 5.1K OHM 1% 1/16W 0402</t>
  </si>
  <si>
    <t>RES 120 OHM 1% 1/10W 0603</t>
  </si>
  <si>
    <t>1W 50mΩ Surface Mount Current Sensing Resistors ±50ppm/℃ ±1% 2010 Current Sense Resistors/Shunt Resistors ROHS</t>
  </si>
  <si>
    <t>RES 3.3K OHM 1% 1/16W 0402</t>
  </si>
  <si>
    <t>RES 200 OHM 1% 1/16W 0402</t>
  </si>
  <si>
    <t>SWITCH TACTILE SPST-NO 0.05A 12V</t>
  </si>
  <si>
    <t>3 positions SPST Black Flat Toggle, Raised Style SMD-6P,6x7.6mm DIP Switches ROHS</t>
  </si>
  <si>
    <t>OR Controller N+1 ORing Controller N-Channel 1:1 SOT-23-6</t>
  </si>
  <si>
    <t>IC REG BUCK ADJ 4A 13WQFN</t>
  </si>
  <si>
    <t>IC REG LINEAR 3.3V 1.3A 6DFN</t>
  </si>
  <si>
    <t>IC MCU 32BIT 128KB FLASH 64LQFP</t>
  </si>
  <si>
    <t>IC XPNDR 1.7MHZ I2C 28SSOP</t>
  </si>
  <si>
    <t>IC PWR SWITCH N-CHAN 1:1 SOT23-5</t>
  </si>
  <si>
    <t>6A 12V 150W 6V Unidirectional 5V SOT-23-6 ESD and Surge Protection (TVS/ESD) ROHS</t>
  </si>
  <si>
    <t>IC TRANSCEIVER HALF 1/1 8SOIC</t>
  </si>
  <si>
    <t>MOSFET 2N-CH 60V 15A 8SOIC</t>
  </si>
  <si>
    <t>IC MTR DRV BIPOLR 8-52V 38HTSSOP</t>
  </si>
  <si>
    <t>IC ADC 16BIT SIGMA-DELTA 10VSSOP</t>
  </si>
  <si>
    <t>24MHz Surface Mount Crystal 12pF ±10ppm ±20ppm SMD2016-4P Crystals ROHS</t>
  </si>
  <si>
    <t>CRYSTAL 32.7680KHZ 12.5PF SMD</t>
  </si>
  <si>
    <t>Footprint</t>
  </si>
  <si>
    <t>UCD-220uF-10mmDia</t>
  </si>
  <si>
    <t>RVT1H470M0607</t>
  </si>
  <si>
    <t>Cap-0805</t>
  </si>
  <si>
    <t>Cap-0603</t>
  </si>
  <si>
    <t>Cap-1206</t>
  </si>
  <si>
    <t>Cap-0402</t>
  </si>
  <si>
    <t>Cap-0201</t>
  </si>
  <si>
    <t>cap-0402</t>
  </si>
  <si>
    <t>SMB_</t>
  </si>
  <si>
    <t>SOD-123</t>
  </si>
  <si>
    <t>DFN-2(0.3x0.6)</t>
  </si>
  <si>
    <t>SOT-323-5</t>
  </si>
  <si>
    <t>Diode 1610</t>
  </si>
  <si>
    <t>SOT-23</t>
  </si>
  <si>
    <t>Fuse-0805</t>
  </si>
  <si>
    <t>IND-0603 (1608 Metric)</t>
  </si>
  <si>
    <t>178.6165.0002</t>
  </si>
  <si>
    <t>DB128L-5.08-3P-OG-S</t>
  </si>
  <si>
    <t>HDR1X3_</t>
  </si>
  <si>
    <t>U263-163N-4BQC65</t>
  </si>
  <si>
    <t>HC-RJ45-5622-1-6-Y</t>
  </si>
  <si>
    <t>HDR1X2_</t>
  </si>
  <si>
    <t>DB128L-5.08-4P-GN-S</t>
  </si>
  <si>
    <t>SRP1265A-150M</t>
  </si>
  <si>
    <t>LED-0603</t>
  </si>
  <si>
    <t>WS2812D-F5</t>
  </si>
  <si>
    <t>SON-8(5x6)</t>
  </si>
  <si>
    <t>Sot-23</t>
  </si>
  <si>
    <t>RES-0805</t>
  </si>
  <si>
    <t>Res-0402</t>
  </si>
  <si>
    <t>Res-0603</t>
  </si>
  <si>
    <t>RES-2010</t>
  </si>
  <si>
    <t>B3U-1000P</t>
  </si>
  <si>
    <t>DSIC03LSGET</t>
  </si>
  <si>
    <t>SOT-23-6</t>
  </si>
  <si>
    <t>13-WQFN-HR (3x2)</t>
  </si>
  <si>
    <t>DFN-6(3x3)</t>
  </si>
  <si>
    <t>64-LQFP (10x10)</t>
  </si>
  <si>
    <t>SSOP-28-208mil</t>
  </si>
  <si>
    <t>SOT-23-5</t>
  </si>
  <si>
    <t>SOIC-8(0.154", 3.90mm Width)</t>
  </si>
  <si>
    <t>SOIC-8</t>
  </si>
  <si>
    <t>HTSSOP-38-EP-4.4mm</t>
  </si>
  <si>
    <t>VSSOP-10</t>
  </si>
  <si>
    <t>SMD2016-4P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</si>
  <si>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</si>
  <si>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</si>
  <si>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</si>
  <si>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</si>
  <si>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</si>
  <si>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</si>
  <si>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</si>
  <si>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</si>
  <si>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</si>
  <si>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GRM155R61E225KE11D</t>
  </si>
  <si>
    <t>CC0402KRX5R6BB475</t>
  </si>
  <si>
    <t>CC0402JRX7R7BB104</t>
  </si>
  <si>
    <t>CC0402KRX5R7BB105</t>
  </si>
  <si>
    <t>CC0201JRNPO9BN150</t>
  </si>
  <si>
    <t>C1005X7R1H104KT000F</t>
  </si>
  <si>
    <t>C1005C0G1E102JT000F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</si>
  <si>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</si>
  <si>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</si>
  <si>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</si>
  <si>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</si>
  <si>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</si>
  <si>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</si>
  <si>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</si>
  <si>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</si>
  <si>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CDSOT23-T24CAN-Q</t>
  </si>
  <si>
    <t>SM712</t>
  </si>
  <si>
    <t>0805L110SLYR</t>
  </si>
  <si>
    <t>BLM18PG221SN1D</t>
  </si>
  <si>
    <t>X6511WV-03H-C60D30</t>
  </si>
  <si>
    <t>TC2030-IDC</t>
  </si>
  <si>
    <t>X6511WV-02H-C60D30</t>
  </si>
  <si>
    <t>NCD0603R3</t>
  </si>
  <si>
    <t>NCD0603G2</t>
  </si>
  <si>
    <t>NCD0603O2</t>
  </si>
  <si>
    <t>CSD18532Q5BT</t>
  </si>
  <si>
    <t>SI2302CDS</t>
  </si>
  <si>
    <t>MMBT3904</t>
  </si>
  <si>
    <t>RC0402FR-073K9L</t>
  </si>
  <si>
    <t>RT0805BRD07698KL</t>
  </si>
  <si>
    <t>RT0402BRD07100KL</t>
  </si>
  <si>
    <t>RT0805BRD0751K1L</t>
  </si>
  <si>
    <t>RT0402BRD0724K9L</t>
  </si>
  <si>
    <t>RC0402FR-07499RL</t>
  </si>
  <si>
    <t>RC0402FR-07240RL</t>
  </si>
  <si>
    <t>RC0402FR-070RL</t>
  </si>
  <si>
    <t>RC0402FR-0710KL</t>
  </si>
  <si>
    <t>RC0402JR-0775RL</t>
  </si>
  <si>
    <t>RC0402FR-074K7L</t>
  </si>
  <si>
    <t>RC0402FR-0747KL</t>
  </si>
  <si>
    <t>RC0402FR-07200KL</t>
  </si>
  <si>
    <t>RC0402FR-07309KL</t>
  </si>
  <si>
    <t>RC0402FR-075K1L</t>
  </si>
  <si>
    <t>RC0603FR-07120RL</t>
  </si>
  <si>
    <t>RLM20FECR050</t>
  </si>
  <si>
    <t>RC0402FR-073K3L</t>
  </si>
  <si>
    <t>RC0402FR-07200RL</t>
  </si>
  <si>
    <t>LM74700QDBVRQ1</t>
  </si>
  <si>
    <t>LM60440AQRPKRQ1</t>
  </si>
  <si>
    <t>ST1L05APU33R</t>
  </si>
  <si>
    <t>STM32H503RBT6</t>
  </si>
  <si>
    <t>MCP23017T-E/SS</t>
  </si>
  <si>
    <t>STMPS2161STR</t>
  </si>
  <si>
    <t>USBLC6-2SC6</t>
  </si>
  <si>
    <t>TCAN3414DR</t>
  </si>
  <si>
    <t>THVD1449DR</t>
  </si>
  <si>
    <t>CSD88537ND</t>
  </si>
  <si>
    <t>DRV8711DCPR</t>
  </si>
  <si>
    <t>ADS1115IDGSR</t>
  </si>
  <si>
    <t>XL7EL89COI-111YLC-24M</t>
  </si>
  <si>
    <t>NX3215SA-32.768K-STD-MUA-8</t>
  </si>
  <si>
    <t>Manufacturer</t>
  </si>
  <si>
    <t>Nichicon</t>
  </si>
  <si>
    <t>ROQANG</t>
  </si>
  <si>
    <t>Yageo</t>
  </si>
  <si>
    <t>Murata</t>
  </si>
  <si>
    <t>Samsung</t>
  </si>
  <si>
    <t>Taiyo Yuden</t>
  </si>
  <si>
    <t>TDK</t>
  </si>
  <si>
    <t>Diodes</t>
  </si>
  <si>
    <t>AMAZING</t>
  </si>
  <si>
    <t>Amazing</t>
  </si>
  <si>
    <t>ON Semiconductor</t>
  </si>
  <si>
    <t>STMicroelectronics</t>
  </si>
  <si>
    <t>Bourns</t>
  </si>
  <si>
    <t>TECH PUBLIC</t>
  </si>
  <si>
    <t>Littelfuse</t>
  </si>
  <si>
    <t>Littelfuse Wickmann</t>
  </si>
  <si>
    <t>DORABO</t>
  </si>
  <si>
    <t>XKB</t>
  </si>
  <si>
    <t>Tag-Connect</t>
  </si>
  <si>
    <t>XKB Connection</t>
  </si>
  <si>
    <t>HCTL</t>
  </si>
  <si>
    <t>Foshan NationStar Optoelectronics</t>
  </si>
  <si>
    <t>Worldsemi</t>
  </si>
  <si>
    <t>FOSHAN Nationstar Optoelectronics</t>
  </si>
  <si>
    <t>Texas Instruments</t>
  </si>
  <si>
    <t>ElecSuper</t>
  </si>
  <si>
    <t>TA-I Tech</t>
  </si>
  <si>
    <t>Omron</t>
  </si>
  <si>
    <t>DongGuan KINGTEK Industrial Co.,LTD</t>
  </si>
  <si>
    <t>Microchip</t>
  </si>
  <si>
    <t>YXC</t>
  </si>
  <si>
    <t>NDK</t>
  </si>
  <si>
    <t>LCSC Part Number</t>
  </si>
  <si>
    <t>C116211</t>
  </si>
  <si>
    <t>C72523</t>
  </si>
  <si>
    <t>C576993</t>
  </si>
  <si>
    <t>C2190942</t>
  </si>
  <si>
    <t>C15849</t>
  </si>
  <si>
    <t>C92853</t>
  </si>
  <si>
    <t>C527274</t>
  </si>
  <si>
    <t>C403725</t>
  </si>
  <si>
    <t>C189470</t>
  </si>
  <si>
    <t>C385032</t>
  </si>
  <si>
    <t>C326586</t>
  </si>
  <si>
    <t>C541464</t>
  </si>
  <si>
    <t>C325464</t>
  </si>
  <si>
    <t>C277480</t>
  </si>
  <si>
    <t>C361198</t>
  </si>
  <si>
    <t>C343059</t>
  </si>
  <si>
    <t>C135085</t>
  </si>
  <si>
    <t>C5571859</t>
  </si>
  <si>
    <t>C135062</t>
  </si>
  <si>
    <t>C7079241</t>
  </si>
  <si>
    <t>-</t>
  </si>
  <si>
    <t>C896720</t>
  </si>
  <si>
    <t>C703691</t>
  </si>
  <si>
    <t>C1975146</t>
  </si>
  <si>
    <t>C350941</t>
  </si>
  <si>
    <t>C521963</t>
  </si>
  <si>
    <t>C207024</t>
  </si>
  <si>
    <t>C80165</t>
  </si>
  <si>
    <t>C207061</t>
  </si>
  <si>
    <t>C430604</t>
  </si>
  <si>
    <t>C706875</t>
  </si>
  <si>
    <t>C2938598</t>
  </si>
  <si>
    <t>C3000205</t>
  </si>
  <si>
    <t>C706874</t>
  </si>
  <si>
    <t>C2827883</t>
  </si>
  <si>
    <t>C189912</t>
  </si>
  <si>
    <t>C3151730</t>
  </si>
  <si>
    <t>C87326</t>
  </si>
  <si>
    <t>C190565</t>
  </si>
  <si>
    <t>C108553</t>
  </si>
  <si>
    <t>C2876541</t>
  </si>
  <si>
    <t>C5310968</t>
  </si>
  <si>
    <t>C5249683</t>
  </si>
  <si>
    <t>C131467</t>
  </si>
  <si>
    <t>C865618</t>
  </si>
  <si>
    <t>C852472</t>
  </si>
  <si>
    <t>C865541</t>
  </si>
  <si>
    <t>C852664</t>
  </si>
  <si>
    <t>C137970</t>
  </si>
  <si>
    <t>C114755</t>
  </si>
  <si>
    <t>C106231</t>
  </si>
  <si>
    <t>C60490</t>
  </si>
  <si>
    <t>C137841</t>
  </si>
  <si>
    <t>C105871</t>
  </si>
  <si>
    <t>C93943</t>
  </si>
  <si>
    <t>C114763</t>
  </si>
  <si>
    <t>C171694</t>
  </si>
  <si>
    <t>C105872</t>
  </si>
  <si>
    <t>C114640</t>
  </si>
  <si>
    <t>C912938</t>
  </si>
  <si>
    <t>C137992</t>
  </si>
  <si>
    <t>C114764</t>
  </si>
  <si>
    <t>C231329</t>
  </si>
  <si>
    <t>C57453</t>
  </si>
  <si>
    <t>C2941042</t>
  </si>
  <si>
    <t>C3187981</t>
  </si>
  <si>
    <t>C283488</t>
  </si>
  <si>
    <t>C6807804</t>
  </si>
  <si>
    <t>C558584</t>
  </si>
  <si>
    <t>C361034</t>
  </si>
  <si>
    <t>C2827654</t>
  </si>
  <si>
    <t>C22396693</t>
  </si>
  <si>
    <t>C3235059</t>
  </si>
  <si>
    <t>C117439</t>
  </si>
  <si>
    <t>C60013</t>
  </si>
  <si>
    <t>C37593</t>
  </si>
  <si>
    <t>C22434877</t>
  </si>
  <si>
    <t>C156245</t>
  </si>
  <si>
    <t>220uF</t>
  </si>
  <si>
    <t>47uF</t>
  </si>
  <si>
    <t>22nF</t>
  </si>
  <si>
    <t>10uF</t>
  </si>
  <si>
    <t>1uF</t>
  </si>
  <si>
    <t>0.1uF</t>
  </si>
  <si>
    <t>4.7uF</t>
  </si>
  <si>
    <t>220nF</t>
  </si>
  <si>
    <t>6.8pF</t>
  </si>
  <si>
    <t>2.2uf</t>
  </si>
  <si>
    <t>15pF</t>
  </si>
  <si>
    <t>100nF</t>
  </si>
  <si>
    <t>100uF</t>
  </si>
  <si>
    <t>1nF</t>
  </si>
  <si>
    <t>15uH</t>
  </si>
  <si>
    <t>100K</t>
  </si>
  <si>
    <t>3.9K</t>
  </si>
  <si>
    <t>698K</t>
  </si>
  <si>
    <t>51.1K</t>
  </si>
  <si>
    <t>24.9K</t>
  </si>
  <si>
    <t>499R</t>
  </si>
  <si>
    <t>240R</t>
  </si>
  <si>
    <t>0R</t>
  </si>
  <si>
    <t>10K</t>
  </si>
  <si>
    <t>75R</t>
  </si>
  <si>
    <t>4.7K</t>
  </si>
  <si>
    <t>47K</t>
  </si>
  <si>
    <t>200K</t>
  </si>
  <si>
    <t>309K</t>
  </si>
  <si>
    <t>5.1K</t>
  </si>
  <si>
    <t>120R</t>
  </si>
  <si>
    <t>50mR</t>
  </si>
  <si>
    <t>3.3K</t>
  </si>
  <si>
    <t>200R</t>
  </si>
  <si>
    <t>24MHz</t>
  </si>
  <si>
    <t>32.7680KHZ</t>
  </si>
  <si>
    <t>Quantity</t>
  </si>
  <si>
    <t>Bill of Materials for Project [Stepper-Driver-v2.0]</t>
  </si>
  <si>
    <t>Stepper-Driver-v2.0</t>
  </si>
  <si>
    <t>Custom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</si>
  <si>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</si>
  <si>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</si>
  <si>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</si>
  <si>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</si>
  <si>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</si>
  <si>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</si>
  <si>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</si>
  <si>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</si>
  <si>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LCSC</t>
  </si>
  <si>
    <t>0.2438</t>
  </si>
  <si>
    <t>0.0273</t>
  </si>
  <si>
    <t>0.0122</t>
  </si>
  <si>
    <t>0.1224</t>
  </si>
  <si>
    <t>0.0037</t>
  </si>
  <si>
    <t>0.2244</t>
  </si>
  <si>
    <t>0.0013</t>
  </si>
  <si>
    <t>0.0038</t>
  </si>
  <si>
    <t>0.0010</t>
  </si>
  <si>
    <t>0.1283</t>
  </si>
  <si>
    <t>Digikey</t>
  </si>
  <si>
    <t>Chipsmall</t>
  </si>
  <si>
    <t>0.1385</t>
  </si>
  <si>
    <t>0.1434</t>
  </si>
  <si>
    <t>0.1649</t>
  </si>
  <si>
    <t>0.0907</t>
  </si>
  <si>
    <t>0.0344</t>
  </si>
  <si>
    <t>0.8078</t>
  </si>
  <si>
    <t>0.0073</t>
  </si>
  <si>
    <t>JLCPCB</t>
  </si>
  <si>
    <t>0.2674</t>
  </si>
  <si>
    <t>0.0400</t>
  </si>
  <si>
    <t>0.0290</t>
  </si>
  <si>
    <t>0.7367</t>
  </si>
  <si>
    <t>0.0222</t>
  </si>
  <si>
    <t>0.0215</t>
  </si>
  <si>
    <t>0.1033</t>
  </si>
  <si>
    <t>0.0265</t>
  </si>
  <si>
    <t>0.0070</t>
  </si>
  <si>
    <t>0.0361</t>
  </si>
  <si>
    <t>0.0006</t>
  </si>
  <si>
    <t>0.0341</t>
  </si>
  <si>
    <t>0.0179</t>
  </si>
  <si>
    <t>0.0007</t>
  </si>
  <si>
    <t>50</t>
  </si>
  <si>
    <t>100</t>
  </si>
  <si>
    <t>0.0012</t>
  </si>
  <si>
    <t>0.2798</t>
  </si>
  <si>
    <t>0.5614</t>
  </si>
  <si>
    <t>0.0440</t>
  </si>
  <si>
    <t>0.0015</t>
  </si>
  <si>
    <t>0.0176</t>
  </si>
  <si>
    <t>R1, R4, R5</t>
  </si>
  <si>
    <t>C7, C9, C16</t>
  </si>
  <si>
    <t>C46, C47, C56, C58, C62, C63, C72, C74, C78</t>
  </si>
  <si>
    <t>35V 100uF Polymer ±20% SMD,D6.3xL9mm Polymer Aluminum Capacitors ROHS</t>
  </si>
  <si>
    <t>SVZ1VM101E09E00RAXXX</t>
  </si>
  <si>
    <t>KNSCHA</t>
  </si>
  <si>
    <t>Fuse</t>
  </si>
  <si>
    <t>32V Blade fuse 7.5A Automotive Fuses ROHS</t>
  </si>
  <si>
    <t>028707.5PXCN</t>
  </si>
  <si>
    <t>Shunt Jumper</t>
  </si>
  <si>
    <t>Open top 3A 2.54mm P=2.54mm Shunts, Jumpers ROHS</t>
  </si>
  <si>
    <t>X2541-A1NIB</t>
  </si>
  <si>
    <t xml:space="preserve">Stepper Motor </t>
  </si>
  <si>
    <t>Tag Connect Cable</t>
  </si>
  <si>
    <t>TC2030-CTX 6-Pin Cable for ARM Cortex ATMEL</t>
  </si>
  <si>
    <t>TC2030-CTX</t>
  </si>
  <si>
    <t>Peripheral</t>
  </si>
  <si>
    <t>Should be provided by Client</t>
  </si>
  <si>
    <t>Qty: 2 cables per whole order</t>
  </si>
  <si>
    <t>C142688</t>
  </si>
  <si>
    <t>C2938578</t>
  </si>
  <si>
    <t>Quantity (25 Boards)</t>
  </si>
  <si>
    <t>MOQ (25 Boards)</t>
  </si>
  <si>
    <t>Unit Cost (25 Boards)</t>
  </si>
  <si>
    <t>Total Cost (25 Boards)</t>
  </si>
  <si>
    <t>C2939795</t>
  </si>
  <si>
    <t>Aliexpress</t>
  </si>
  <si>
    <t>Tag Connect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</si>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</sst>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5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0" fillId="0" borderId="13" xfId="1" applyFont="1" applyBorder="1" applyAlignment="1">
      <alignment horizontal="center" vertical="center" wrapText="1"/>
    </xf>
    <xf numFmtId="0" fontId="20" fillId="2" borderId="13" xfId="1" applyFont="1" applyFill="1" applyBorder="1" applyAlignment="1">
      <alignment horizontal="center" vertical="center" wrapText="1"/>
    </xf>
    <xf numFmtId="0" fontId="19" fillId="2" borderId="8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21" fillId="2" borderId="8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3" fillId="2" borderId="13" xfId="1" applyFont="1" applyFill="1" applyBorder="1" applyAlignment="1">
      <alignment horizontal="center" vertical="center" wrapText="1"/>
    </xf>
    <xf numFmtId="165" fontId="22" fillId="2" borderId="8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pin-headers_xkb-connection-x6511wv-02h-c60d30_C706874.html" TargetMode="External"/><Relationship Id="rId21" Type="http://schemas.openxmlformats.org/officeDocument/2006/relationships/hyperlink" Target="https://www.lcsc.com/product-detail/ferrite-beads_murata-electronics-blm18pg221sn1d_C80165.html" TargetMode="External"/><Relationship Id="rId42" Type="http://schemas.openxmlformats.org/officeDocument/2006/relationships/hyperlink" Target="https://www.lcsc.com/product-detail/chip-resistor-surface-mount_yageo-rc0402fr-074k7l_C105871.html" TargetMode="External"/><Relationship Id="rId47" Type="http://schemas.openxmlformats.org/officeDocument/2006/relationships/hyperlink" Target="https://www.lcsc.com/product-detail/power-distribution-switches_texas-instruments-lm74700qdbvrq1_C2941042.html" TargetMode="External"/><Relationship Id="rId63" Type="http://schemas.openxmlformats.org/officeDocument/2006/relationships/hyperlink" Target="https://www.lcsc.com/product-detail/Ethernet-Connectors-Modular-Connectors-RJ45-RJ11_HCTL-HC-RJ45-5622-1-6-Y_C3000205.html?s_z=n_C3000205" TargetMode="External"/><Relationship Id="rId68" Type="http://schemas.openxmlformats.org/officeDocument/2006/relationships/hyperlink" Target="https://www.lcsc.com/product-detail/Chip-Resistor-Surface-Mount_YAGEO-RC0402FR-07309KL_C171694.html?s_z=n_C171694" TargetMode="External"/><Relationship Id="rId84" Type="http://schemas.openxmlformats.org/officeDocument/2006/relationships/hyperlink" Target="https://vi.aliexpress.com/item/1005006181473778.html" TargetMode="External"/><Relationship Id="rId16" Type="http://schemas.openxmlformats.org/officeDocument/2006/relationships/hyperlink" Target="https://www.lcsc.com/product-detail/esd-and-surge-protection-tvs-esd_stmicroelectronics-esdalc6v1w5_C703691.html" TargetMode="External"/><Relationship Id="rId11" Type="http://schemas.openxmlformats.org/officeDocument/2006/relationships/hyperlink" Target="https://www.digikey.com/en/products/detail/amazing/AZ4024-01G/16615396?s=N4IgTCBcDaIIIC0AsAGMSC0KCMBxEAugL5A" TargetMode="External"/><Relationship Id="rId32" Type="http://schemas.openxmlformats.org/officeDocument/2006/relationships/hyperlink" Target="https://www.lcsc.com/product-detail/Bipolar-BJT_ElecSuper-MMBT3904_C5249683.html" TargetMode="External"/><Relationship Id="rId37" Type="http://schemas.openxmlformats.org/officeDocument/2006/relationships/hyperlink" Target="https://www.lcsc.com/product-detail/chip-resistor-surface-mount_yageo-rc0402fr-07499rl_C137970.html" TargetMode="External"/><Relationship Id="rId53" Type="http://schemas.openxmlformats.org/officeDocument/2006/relationships/hyperlink" Target="https://www.lcsc.com/product-detail/chip-resistor-surface-mount_yageo-rt0402brd07100kl_C852472.html" TargetMode="External"/><Relationship Id="rId58" Type="http://schemas.openxmlformats.org/officeDocument/2006/relationships/hyperlink" Target="https://www.lcsc.com/product-detail/Multilayer-Ceramic-Capacitors-MLCC-SMD-SMT_YAGEO-CC0402KRX5R6BB475_C326586.html?s_z=n_C326586" TargetMode="External"/><Relationship Id="rId74" Type="http://schemas.openxmlformats.org/officeDocument/2006/relationships/hyperlink" Target="https://www.lcsc.com/product-detail/I-O-Expanders_Microchip-Tech-MCP23017T-E-SS_C558584.html?s_z=n_C558584" TargetMode="External"/><Relationship Id="rId79" Type="http://schemas.openxmlformats.org/officeDocument/2006/relationships/hyperlink" Target="https://www.lcsc.com/product-detail/MOSFETs_Texas-Instruments-CSD88537ND_C117439.html?s_z=n_C117439" TargetMode="External"/><Relationship Id="rId5" Type="http://schemas.openxmlformats.org/officeDocument/2006/relationships/hyperlink" Target="https://www.lcsc.com/product-detail/multilayer-ceramic-capacitors-mlcc-smd-smt_samsung-electro-mechanics-cl10a105kb8nnnc_C15849.html" TargetMode="External"/><Relationship Id="rId19" Type="http://schemas.openxmlformats.org/officeDocument/2006/relationships/hyperlink" Target="https://www.lcsc.com/product-detail/esd-and-surge-protection-tvs-esd_tech-public-sm712_C521963.html" TargetMode="External"/><Relationship Id="rId14" Type="http://schemas.openxmlformats.org/officeDocument/2006/relationships/hyperlink" Target="https://www.chipsmall.com/Products/ESDM2033MX4T5G_ON-Semiconductor_20281488.html" TargetMode="External"/><Relationship Id="rId22" Type="http://schemas.openxmlformats.org/officeDocument/2006/relationships/hyperlink" Target="https://jlcpcb.com/partdetail/Littelfuse-178_61650002/C207061" TargetMode="External"/><Relationship Id="rId27" Type="http://schemas.openxmlformats.org/officeDocument/2006/relationships/hyperlink" Target="https://www.lcsc.com/product-detail/Power-Inductors_BOURNS-SRP1265A-150M_C189912.html" TargetMode="External"/><Relationship Id="rId30" Type="http://schemas.openxmlformats.org/officeDocument/2006/relationships/hyperlink" Target="https://www.lcsc.com/product-detail/RGB-LEDs-Built-in-IC_Worldsemi-WS2812D-F5_C190565.html" TargetMode="External"/><Relationship Id="rId35" Type="http://schemas.openxmlformats.org/officeDocument/2006/relationships/hyperlink" Target="https://www.lcsc.com/product-detail/chip-resistor-surface-mount_yageo-rt0805brd0751k1l_C865541.html" TargetMode="External"/><Relationship Id="rId43" Type="http://schemas.openxmlformats.org/officeDocument/2006/relationships/hyperlink" Target="https://www.lcsc.com/product-detail/chip-resistor-surface-mount_yageo-rc0402fr-0747kl_C93943.html" TargetMode="External"/><Relationship Id="rId48" Type="http://schemas.openxmlformats.org/officeDocument/2006/relationships/hyperlink" Target="https://www.chipsmall.com/Products/LM60440AQRPKRQ1_30822739.html" TargetMode="External"/><Relationship Id="rId56" Type="http://schemas.openxmlformats.org/officeDocument/2006/relationships/hyperlink" Target="https://www.lcsc.com/product-detail/Multilayer-Ceramic-Capacitors-MLCC-SMD-SMT_TDK-C1005X7R1H104KT000F_C361198.html?s_z=n_C361198" TargetMode="External"/><Relationship Id="rId64" Type="http://schemas.openxmlformats.org/officeDocument/2006/relationships/hyperlink" Target="https://www.lcsc.com/product-detail/Screw-Terminal-Blocks_DORABO-DB128L-5-08-4P-GN-S_C2827883.html?s_z=n_C2827883" TargetMode="External"/><Relationship Id="rId69" Type="http://schemas.openxmlformats.org/officeDocument/2006/relationships/hyperlink" Target="https://www.lcsc.com/product-detail/Current-Sense-Resistors-Shunt-Resistors_TA-I-Tech-RLM20FECR050_C912938.html?s_z=n_C912938" TargetMode="External"/><Relationship Id="rId77" Type="http://schemas.openxmlformats.org/officeDocument/2006/relationships/hyperlink" Target="https://www.lcsc.com/product-detail/CAN-Transceivers_Texas-Instruments-TCAN3414DR_C22396693.html?s_z=n_C22396693" TargetMode="External"/><Relationship Id="rId8" Type="http://schemas.openxmlformats.org/officeDocument/2006/relationships/hyperlink" Target="https://www.lcsc.com/product-detail/multilayer-ceramic-capacitors-mlcc-smd-smt_yageo-cc0402krx5r7bb105_C325464.html" TargetMode="External"/><Relationship Id="rId51" Type="http://schemas.openxmlformats.org/officeDocument/2006/relationships/hyperlink" Target="https://www.lcsc.com/product-detail/multilayer-ceramic-capacitors-mlcc-smd-smt_yageo-cc0402crnpo9bn6r8_C189470.html" TargetMode="External"/><Relationship Id="rId72" Type="http://schemas.openxmlformats.org/officeDocument/2006/relationships/hyperlink" Target="https://www.lcsc.com/product-detail/Tactile-Switches_Omron-Electronics-B3U-1000P_C231329.html?s_z=n_C231329" TargetMode="External"/><Relationship Id="rId80" Type="http://schemas.openxmlformats.org/officeDocument/2006/relationships/hyperlink" Target="https://www.lcsc.com/product-detail/Brushed-DC-Motor-Drivers_Texas-Instruments-DRV8711DCPR_C60013.html?s_z=n_C60013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multilayer-ceramic-capacitors-mlcc-smd-smt_yageo-cc0805jrx7r0bb223_C576993.html" TargetMode="External"/><Relationship Id="rId12" Type="http://schemas.openxmlformats.org/officeDocument/2006/relationships/hyperlink" Target="https://www.digikey.com/en/products/detail/amazing/AZ3005-01G/16615381?s=N4IgTCBcDaIIIC0DMAGFBWAtCgjAcRAF0BfIA" TargetMode="External"/><Relationship Id="rId17" Type="http://schemas.openxmlformats.org/officeDocument/2006/relationships/hyperlink" Target="https://www.lcsc.com/product-detail/esd-and-surge-protection-tvs-esd_stmicroelectronics-esda7p60-1u1m_C1975146.html" TargetMode="External"/><Relationship Id="rId25" Type="http://schemas.openxmlformats.org/officeDocument/2006/relationships/hyperlink" Target="https://www.chipsmall.com/Products/TC2030-IDC_10471659.html" TargetMode="External"/><Relationship Id="rId33" Type="http://schemas.openxmlformats.org/officeDocument/2006/relationships/hyperlink" Target="https://www.lcsc.com/product-detail/chip-resistor-surface-mount_yageo-rt0805brd07698kl_C865618.html" TargetMode="External"/><Relationship Id="rId38" Type="http://schemas.openxmlformats.org/officeDocument/2006/relationships/hyperlink" Target="https://www.lcsc.com/product-detail/chip-resistor-surface-mount_yageo-rc0402fr-07240rl_C114755.html" TargetMode="External"/><Relationship Id="rId46" Type="http://schemas.openxmlformats.org/officeDocument/2006/relationships/hyperlink" Target="https://www.lcsc.com/product-detail/dip-switches_dongguan-kingtek-industrial-co-ltd-dsic03lsget_C57453.html" TargetMode="External"/><Relationship Id="rId59" Type="http://schemas.openxmlformats.org/officeDocument/2006/relationships/hyperlink" Target="https://www.lcsc.com/product-detail/Multilayer-Ceramic-Capacitors-MLCC-SMD-SMT_TDK-C1005X7R1H104KT000F_C361198.html?s_z=n_C1005X7R1H104KT000F" TargetMode="External"/><Relationship Id="rId67" Type="http://schemas.openxmlformats.org/officeDocument/2006/relationships/hyperlink" Target="https://www.lcsc.com/product-detail/Chip-Resistor-Surface-Mount_YAGEO-RC0402FR-07200KL_C114763.html?s_z=n_C114763" TargetMode="External"/><Relationship Id="rId20" Type="http://schemas.openxmlformats.org/officeDocument/2006/relationships/hyperlink" Target="https://www.lcsc.com/product-detail/resettable-fuses_littelfuse-0805l110slyr_C207024.html" TargetMode="External"/><Relationship Id="rId41" Type="http://schemas.openxmlformats.org/officeDocument/2006/relationships/hyperlink" Target="https://www.lcsc.com/product-detail/chip-resistor-surface-mount_yageo-rc0402jr-0775rl_C137841.html" TargetMode="External"/><Relationship Id="rId54" Type="http://schemas.openxmlformats.org/officeDocument/2006/relationships/hyperlink" Target="https://www.lcsc.com/product-detail/Automotive-Fuses_Littelfuse-028707-5PXCN_C142688.html" TargetMode="External"/><Relationship Id="rId62" Type="http://schemas.openxmlformats.org/officeDocument/2006/relationships/hyperlink" Target="https://www.lcsc.com/product-detail/USB-Connectors_XKB-Connection-U263-163N-4BQC65_C2938598.html?s_z=n_C2938598" TargetMode="External"/><Relationship Id="rId70" Type="http://schemas.openxmlformats.org/officeDocument/2006/relationships/hyperlink" Target="https://www.lcsc.com/product-detail/Chip-Resistor-Surface-Mount_YAGEO-RC0402FR-073K3L_C137992.html?s_z=n_C137992" TargetMode="External"/><Relationship Id="rId75" Type="http://schemas.openxmlformats.org/officeDocument/2006/relationships/hyperlink" Target="https://www.lcsc.com/product-detail/Power-Distribution-Switches_STMicroelectronics-STMPS2161STR_C361034.html?s_z=n_C361034" TargetMode="External"/><Relationship Id="rId83" Type="http://schemas.openxmlformats.org/officeDocument/2006/relationships/hyperlink" Target="https://www.lcsc.com/product-detail/Crystals_NDK-NX3215SA-32-768K-STD-MUA-8_C156245.html?s_z=n_C156245" TargetMode="External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murata-electronics-grm31cr61e476me44l_C403725.html" TargetMode="External"/><Relationship Id="rId15" Type="http://schemas.openxmlformats.org/officeDocument/2006/relationships/hyperlink" Target="https://www.lcsc.com/product-detail/esd-and-surge-protection-tvs-esd_diodes-incorporated-smbj26a-13-f_C135062.html" TargetMode="External"/><Relationship Id="rId23" Type="http://schemas.openxmlformats.org/officeDocument/2006/relationships/hyperlink" Target="https://www.lcsc.com/product-detail/screw-terminal-blocks_dorabo-db128l-5-08-3p-og-s_C430604.html" TargetMode="External"/><Relationship Id="rId28" Type="http://schemas.openxmlformats.org/officeDocument/2006/relationships/hyperlink" Target="https://www.lcsc.com/product-detail/LED-Indication-Discrete_Foshan-NationStar-Optoelectronics-NCD0603R3_C3151730.html" TargetMode="External"/><Relationship Id="rId36" Type="http://schemas.openxmlformats.org/officeDocument/2006/relationships/hyperlink" Target="https://www.lcsc.com/product-detail/chip-resistor-surface-mount_yageo-rt0402brd0724k9l_C852664.html" TargetMode="External"/><Relationship Id="rId49" Type="http://schemas.openxmlformats.org/officeDocument/2006/relationships/hyperlink" Target="https://www.chipsmall.com/Products/ST1L05APU33R_10354770.html" TargetMode="External"/><Relationship Id="rId57" Type="http://schemas.openxmlformats.org/officeDocument/2006/relationships/hyperlink" Target="https://www.lcsc.com/product-detail/Multilayer-Ceramic-Capacitors-MLCC-SMD-SMT_YAGEO-CC1206JKX7R9BB224_C527274.html?s_z=n_C527274" TargetMode="External"/><Relationship Id="rId10" Type="http://schemas.openxmlformats.org/officeDocument/2006/relationships/hyperlink" Target="https://www.lcsc.com/product-detail/esd-and-surge-protection-tvs-esd_diodes-incorporated-smbj58a-13-f_C135085.html" TargetMode="External"/><Relationship Id="rId31" Type="http://schemas.openxmlformats.org/officeDocument/2006/relationships/hyperlink" Target="https://www.lcsc.com/product-detail/MOSFETs_TECH-PUBLIC-SI2302CDS_C5310968.html" TargetMode="External"/><Relationship Id="rId44" Type="http://schemas.openxmlformats.org/officeDocument/2006/relationships/hyperlink" Target="https://www.lcsc.com/product-detail/chip-resistor-surface-mount_yageo-rc0402fr-075k1l_C105872.html" TargetMode="External"/><Relationship Id="rId52" Type="http://schemas.openxmlformats.org/officeDocument/2006/relationships/hyperlink" Target="https://www.lcsc.com/product-detail/multilayer-ceramic-capacitors-mlcc-smd-smt_murata-electronics-grm155r61e225ke11d_C385032.html" TargetMode="External"/><Relationship Id="rId60" Type="http://schemas.openxmlformats.org/officeDocument/2006/relationships/hyperlink" Target="https://www.lcsc.com/product-detail/Polymer-Aluminum-Capacitors_AISHI-Aihua-Group-SVZ1VM101E09E00RAXXX_C2939795.html?s_z=n_SVZ1VM101E09E00RAXXX" TargetMode="External"/><Relationship Id="rId65" Type="http://schemas.openxmlformats.org/officeDocument/2006/relationships/hyperlink" Target="https://www.lcsc.com/product-detail/LED-Indication-Discrete_Foshan-NationStar-Optoelectronics-NCD0603O2_C108553.html?s_z=n_C108553" TargetMode="External"/><Relationship Id="rId73" Type="http://schemas.openxmlformats.org/officeDocument/2006/relationships/hyperlink" Target="https://www.lcsc.com/product-detail/Microcontrollers-MCU-MPU-SOC_STMicroelectronics-STM32H503RBT6_C6807804.html?s_z=n_C6807804" TargetMode="External"/><Relationship Id="rId78" Type="http://schemas.openxmlformats.org/officeDocument/2006/relationships/hyperlink" Target="https://www.lcsc.com/product-detail/RS-485-RS-422-ICs_Texas-Instruments-THVD1449DR_C3235059.html?s_z=n_C3235059" TargetMode="External"/><Relationship Id="rId81" Type="http://schemas.openxmlformats.org/officeDocument/2006/relationships/hyperlink" Target="https://www.lcsc.com/product-detail/Analog-to-Digital-Converters-ADC_Texas-Instruments-ADS1115IDGSR_C37593.html?s_z=n_C37593" TargetMode="External"/><Relationship Id="rId4" Type="http://schemas.openxmlformats.org/officeDocument/2006/relationships/hyperlink" Target="https://www.lcsc.com/product-detail/multilayer-ceramic-capacitors-mlcc-smd-smt_murata-electronics-grm21br61h106me43l_C2190942.html" TargetMode="External"/><Relationship Id="rId9" Type="http://schemas.openxmlformats.org/officeDocument/2006/relationships/hyperlink" Target="https://www.lcsc.com/product-detail/multilayer-ceramic-capacitors-mlcc-smd-smt_yageo-cc0201jrnpo9bn150_C277480.html" TargetMode="External"/><Relationship Id="rId13" Type="http://schemas.openxmlformats.org/officeDocument/2006/relationships/hyperlink" Target="https://www.digikey.com/en/products/detail/amazing/AZ3003-01G/16615352?s=N4IgTCBcDaIIIC0DMAGFSC0KCMBxEAugL5A" TargetMode="External"/><Relationship Id="rId18" Type="http://schemas.openxmlformats.org/officeDocument/2006/relationships/hyperlink" Target="https://www.lcsc.com/product-detail/esd-and-surge-protection-tvs-esd_bourns-cdsot23-t24can-q_C350941.html" TargetMode="External"/><Relationship Id="rId39" Type="http://schemas.openxmlformats.org/officeDocument/2006/relationships/hyperlink" Target="https://www.lcsc.com/product-detail/chip-resistor-surface-mount_yageo-rc0402fr-070rl_C106231.html" TargetMode="External"/><Relationship Id="rId34" Type="http://schemas.openxmlformats.org/officeDocument/2006/relationships/hyperlink" Target="https://www.lcsc.com/product-detail/chip-resistor-surface-mount_yageo-rc0402fr-073k9l_C131467.html" TargetMode="External"/><Relationship Id="rId50" Type="http://schemas.openxmlformats.org/officeDocument/2006/relationships/hyperlink" Target="https://www.lcsc.com/product-detail/multilayer-ceramic-capacitors-mlcc-smd-smt_taiyo-yuden-umk316ab7475kl-t_C92853.html" TargetMode="External"/><Relationship Id="rId55" Type="http://schemas.openxmlformats.org/officeDocument/2006/relationships/hyperlink" Target="https://www.lcsc.com/product-detail/Shunts-Jumpers_XKB-Connection-X2541-A1NIB_C2938578.html?s_z=n_X2541-A1NIB" TargetMode="External"/><Relationship Id="rId76" Type="http://schemas.openxmlformats.org/officeDocument/2006/relationships/hyperlink" Target="https://www.lcsc.com/product-detail/ESD-and-Surge-Protection-TVS-ESD_TECH-PUBLIC-USBLC6-2SC6_C2827654.html?s_z=n_C2827654" TargetMode="External"/><Relationship Id="rId7" Type="http://schemas.openxmlformats.org/officeDocument/2006/relationships/hyperlink" Target="https://www.lcsc.com/product-detail/multilayer-ceramic-capacitors-mlcc-smd-smt_yageo-cc0402jrx7r7bb104_C541464.html" TargetMode="External"/><Relationship Id="rId71" Type="http://schemas.openxmlformats.org/officeDocument/2006/relationships/hyperlink" Target="https://www.lcsc.com/product-detail/Chip-Resistor-Surface-Mount_YAGEO-RC0402FR-07200RL_C114764.html?s_z=n_C114764" TargetMode="External"/><Relationship Id="rId2" Type="http://schemas.openxmlformats.org/officeDocument/2006/relationships/hyperlink" Target="https://www.lcsc.com/product-detail/aluminum-electrolytic-capacitors-smd_roqang-rvt1h470m0607_C72523.html" TargetMode="External"/><Relationship Id="rId29" Type="http://schemas.openxmlformats.org/officeDocument/2006/relationships/hyperlink" Target="https://www.lcsc.com/product-detail/LED-Indication-Discrete_Foshan-NationStar-Optoelectronics-NCD0603G2_C87326.html" TargetMode="External"/><Relationship Id="rId24" Type="http://schemas.openxmlformats.org/officeDocument/2006/relationships/hyperlink" Target="https://www.lcsc.com/product-detail/pin-headers_xkb-connection-x6511wv-03h-c60d30_C706875.html" TargetMode="External"/><Relationship Id="rId40" Type="http://schemas.openxmlformats.org/officeDocument/2006/relationships/hyperlink" Target="https://www.lcsc.com/product-detail/Chip-Resistor-Surface-Mount_YAGEO-RC0402FR-0710KL_C60490.html" TargetMode="External"/><Relationship Id="rId45" Type="http://schemas.openxmlformats.org/officeDocument/2006/relationships/hyperlink" Target="https://www.lcsc.com/product-detail/chip-resistor-surface-mount_yageo-rc0603fr-07120rl_C114640.html" TargetMode="External"/><Relationship Id="rId66" Type="http://schemas.openxmlformats.org/officeDocument/2006/relationships/hyperlink" Target="https://www.lcsc.com/product-detail/MOSFETs_Texas-Instruments-CSD18532Q5BT_C2876541.html?s_z=n_C2876541" TargetMode="External"/><Relationship Id="rId61" Type="http://schemas.openxmlformats.org/officeDocument/2006/relationships/hyperlink" Target="https://www.lcsc.com/product-detail/Multilayer-Ceramic-Capacitors-MLCC-SMD-SMT_TDK-C1005C0G1E102JT000F_C343059.html?s_z=n_C343059" TargetMode="External"/><Relationship Id="rId82" Type="http://schemas.openxmlformats.org/officeDocument/2006/relationships/hyperlink" Target="https://www.lcsc.com/product-detail/Crystals_YXC-Crystal-Oscillators-XL7EL89COI-111YLC-24M_C22434877.html?s_z=n_C22434877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Power-Inductors_BOURNS-SRP1265A-150M_C189912.html" TargetMode="External"/><Relationship Id="rId21" Type="http://schemas.openxmlformats.org/officeDocument/2006/relationships/hyperlink" Target="https://www.lcsc.com/product-detail/ferrite-beads_murata-electronics-blm18pg221sn1d_C80165.html" TargetMode="External"/><Relationship Id="rId42" Type="http://schemas.openxmlformats.org/officeDocument/2006/relationships/hyperlink" Target="https://www.lcsc.com/product-detail/chip-resistor-surface-mount_yageo-rc0402fr-0747kl_C93943.html" TargetMode="External"/><Relationship Id="rId47" Type="http://schemas.openxmlformats.org/officeDocument/2006/relationships/hyperlink" Target="https://www.chipsmall.com/Products/LM60440AQRPKRQ1_30822739.html" TargetMode="External"/><Relationship Id="rId63" Type="http://schemas.openxmlformats.org/officeDocument/2006/relationships/hyperlink" Target="https://www.lcsc.com/product-detail/Screw-Terminal-Blocks_DORABO-DB128L-5-08-4P-GN-S_C2827883.html?s_z=n_C2827883" TargetMode="External"/><Relationship Id="rId68" Type="http://schemas.openxmlformats.org/officeDocument/2006/relationships/hyperlink" Target="https://www.lcsc.com/product-detail/Current-Sense-Resistors-Shunt-Resistors_TA-I-Tech-RLM20FECR050_C912938.html?s_z=n_C912938" TargetMode="External"/><Relationship Id="rId84" Type="http://schemas.openxmlformats.org/officeDocument/2006/relationships/printerSettings" Target="../printerSettings/printerSettings2.bin"/><Relationship Id="rId16" Type="http://schemas.openxmlformats.org/officeDocument/2006/relationships/hyperlink" Target="https://www.lcsc.com/product-detail/esd-and-surge-protection-tvs-esd_stmicroelectronics-esdalc6v1w5_C703691.html" TargetMode="External"/><Relationship Id="rId11" Type="http://schemas.openxmlformats.org/officeDocument/2006/relationships/hyperlink" Target="https://www.digikey.com/en/products/detail/amazing/AZ4024-01G/16615396?s=N4IgTCBcDaIIIC0AsAGMSC0KCMBxEAugL5A" TargetMode="External"/><Relationship Id="rId32" Type="http://schemas.openxmlformats.org/officeDocument/2006/relationships/hyperlink" Target="https://www.lcsc.com/product-detail/chip-resistor-surface-mount_yageo-rt0805brd07698kl_C865618.html" TargetMode="External"/><Relationship Id="rId37" Type="http://schemas.openxmlformats.org/officeDocument/2006/relationships/hyperlink" Target="https://www.lcsc.com/product-detail/chip-resistor-surface-mount_yageo-rc0402fr-07240rl_C114755.html" TargetMode="External"/><Relationship Id="rId53" Type="http://schemas.openxmlformats.org/officeDocument/2006/relationships/hyperlink" Target="https://www.lcsc.com/product-detail/Automotive-Fuses_Littelfuse-028707-5PXCN_C142688.html" TargetMode="External"/><Relationship Id="rId58" Type="http://schemas.openxmlformats.org/officeDocument/2006/relationships/hyperlink" Target="https://www.lcsc.com/product-detail/Multilayer-Ceramic-Capacitors-MLCC-SMD-SMT_TDK-C1005X7R1H104KT000F_C361198.html?s_z=n_C1005X7R1H104KT000F" TargetMode="External"/><Relationship Id="rId74" Type="http://schemas.openxmlformats.org/officeDocument/2006/relationships/hyperlink" Target="https://www.lcsc.com/product-detail/Power-Distribution-Switches_STMicroelectronics-STMPS2161STR_C361034.html?s_z=n_C361034" TargetMode="External"/><Relationship Id="rId79" Type="http://schemas.openxmlformats.org/officeDocument/2006/relationships/hyperlink" Target="https://www.lcsc.com/product-detail/Brushed-DC-Motor-Drivers_Texas-Instruments-DRV8711DCPR_C60013.html?s_z=n_C60013" TargetMode="External"/><Relationship Id="rId5" Type="http://schemas.openxmlformats.org/officeDocument/2006/relationships/hyperlink" Target="https://www.lcsc.com/product-detail/multilayer-ceramic-capacitors-mlcc-smd-smt_samsung-electro-mechanics-cl10a105kb8nnnc_C15849.html" TargetMode="External"/><Relationship Id="rId61" Type="http://schemas.openxmlformats.org/officeDocument/2006/relationships/hyperlink" Target="https://www.lcsc.com/product-detail/USB-Connectors_XKB-Connection-U263-163N-4BQC65_C2938598.html?s_z=n_C2938598" TargetMode="External"/><Relationship Id="rId82" Type="http://schemas.openxmlformats.org/officeDocument/2006/relationships/hyperlink" Target="https://www.lcsc.com/product-detail/Crystals_NDK-NX3215SA-32-768K-STD-MUA-8_C156245.html?s_z=n_C156245" TargetMode="External"/><Relationship Id="rId19" Type="http://schemas.openxmlformats.org/officeDocument/2006/relationships/hyperlink" Target="https://www.lcsc.com/product-detail/esd-and-surge-protection-tvs-esd_tech-public-sm712_C521963.html" TargetMode="External"/><Relationship Id="rId14" Type="http://schemas.openxmlformats.org/officeDocument/2006/relationships/hyperlink" Target="https://www.chipsmall.com/Products/ESDM2033MX4T5G_ON-Semiconductor_20281488.html" TargetMode="External"/><Relationship Id="rId22" Type="http://schemas.openxmlformats.org/officeDocument/2006/relationships/hyperlink" Target="https://jlcpcb.com/partdetail/Littelfuse-178_61650002/C207061" TargetMode="External"/><Relationship Id="rId27" Type="http://schemas.openxmlformats.org/officeDocument/2006/relationships/hyperlink" Target="https://www.lcsc.com/product-detail/LED-Indication-Discrete_Foshan-NationStar-Optoelectronics-NCD0603R3_C3151730.html" TargetMode="External"/><Relationship Id="rId30" Type="http://schemas.openxmlformats.org/officeDocument/2006/relationships/hyperlink" Target="https://www.lcsc.com/product-detail/MOSFETs_TECH-PUBLIC-SI2302CDS_C5310968.html" TargetMode="External"/><Relationship Id="rId35" Type="http://schemas.openxmlformats.org/officeDocument/2006/relationships/hyperlink" Target="https://www.lcsc.com/product-detail/chip-resistor-surface-mount_yageo-rt0402brd0724k9l_C852664.html" TargetMode="External"/><Relationship Id="rId43" Type="http://schemas.openxmlformats.org/officeDocument/2006/relationships/hyperlink" Target="https://www.lcsc.com/product-detail/chip-resistor-surface-mount_yageo-rc0402fr-075k1l_C105872.html" TargetMode="External"/><Relationship Id="rId48" Type="http://schemas.openxmlformats.org/officeDocument/2006/relationships/hyperlink" Target="https://www.chipsmall.com/Products/ST1L05APU33R_10354770.html" TargetMode="External"/><Relationship Id="rId56" Type="http://schemas.openxmlformats.org/officeDocument/2006/relationships/hyperlink" Target="https://www.lcsc.com/product-detail/Multilayer-Ceramic-Capacitors-MLCC-SMD-SMT_YAGEO-CC1206JKX7R9BB224_C527274.html?s_z=n_C527274" TargetMode="External"/><Relationship Id="rId64" Type="http://schemas.openxmlformats.org/officeDocument/2006/relationships/hyperlink" Target="https://www.lcsc.com/product-detail/LED-Indication-Discrete_Foshan-NationStar-Optoelectronics-NCD0603O2_C108553.html?s_z=n_C108553" TargetMode="External"/><Relationship Id="rId69" Type="http://schemas.openxmlformats.org/officeDocument/2006/relationships/hyperlink" Target="https://www.lcsc.com/product-detail/Chip-Resistor-Surface-Mount_YAGEO-RC0402FR-073K3L_C137992.html?s_z=n_C137992" TargetMode="External"/><Relationship Id="rId77" Type="http://schemas.openxmlformats.org/officeDocument/2006/relationships/hyperlink" Target="https://www.lcsc.com/product-detail/RS-485-RS-422-ICs_Texas-Instruments-THVD1449DR_C3235059.html?s_z=n_C3235059" TargetMode="External"/><Relationship Id="rId8" Type="http://schemas.openxmlformats.org/officeDocument/2006/relationships/hyperlink" Target="https://www.lcsc.com/product-detail/multilayer-ceramic-capacitors-mlcc-smd-smt_yageo-cc0402krx5r7bb105_C325464.html" TargetMode="External"/><Relationship Id="rId51" Type="http://schemas.openxmlformats.org/officeDocument/2006/relationships/hyperlink" Target="https://www.lcsc.com/product-detail/multilayer-ceramic-capacitors-mlcc-smd-smt_murata-electronics-grm155r61e225ke11d_C385032.html" TargetMode="External"/><Relationship Id="rId72" Type="http://schemas.openxmlformats.org/officeDocument/2006/relationships/hyperlink" Target="https://www.lcsc.com/product-detail/Microcontrollers-MCU-MPU-SOC_STMicroelectronics-STM32H503RBT6_C6807804.html?s_z=n_C6807804" TargetMode="External"/><Relationship Id="rId80" Type="http://schemas.openxmlformats.org/officeDocument/2006/relationships/hyperlink" Target="https://www.lcsc.com/product-detail/Analog-to-Digital-Converters-ADC_Texas-Instruments-ADS1115IDGSR_C37593.html?s_z=n_C37593" TargetMode="External"/><Relationship Id="rId3" Type="http://schemas.openxmlformats.org/officeDocument/2006/relationships/hyperlink" Target="https://www.lcsc.com/product-detail/multilayer-ceramic-capacitors-mlcc-smd-smt_yageo-cc0805jrx7r0bb223_C576993.html" TargetMode="External"/><Relationship Id="rId12" Type="http://schemas.openxmlformats.org/officeDocument/2006/relationships/hyperlink" Target="https://www.digikey.com/en/products/detail/amazing/AZ3005-01G/16615381?s=N4IgTCBcDaIIIC0DMAGFBWAtCgjAcRAF0BfIA" TargetMode="External"/><Relationship Id="rId17" Type="http://schemas.openxmlformats.org/officeDocument/2006/relationships/hyperlink" Target="https://www.lcsc.com/product-detail/esd-and-surge-protection-tvs-esd_stmicroelectronics-esda7p60-1u1m_C1975146.html" TargetMode="External"/><Relationship Id="rId25" Type="http://schemas.openxmlformats.org/officeDocument/2006/relationships/hyperlink" Target="https://www.lcsc.com/product-detail/pin-headers_xkb-connection-x6511wv-02h-c60d30_C706874.html" TargetMode="External"/><Relationship Id="rId33" Type="http://schemas.openxmlformats.org/officeDocument/2006/relationships/hyperlink" Target="https://www.lcsc.com/product-detail/chip-resistor-surface-mount_yageo-rc0402fr-073k9l_C131467.html" TargetMode="External"/><Relationship Id="rId38" Type="http://schemas.openxmlformats.org/officeDocument/2006/relationships/hyperlink" Target="https://www.lcsc.com/product-detail/chip-resistor-surface-mount_yageo-rc0402fr-070rl_C106231.html" TargetMode="External"/><Relationship Id="rId46" Type="http://schemas.openxmlformats.org/officeDocument/2006/relationships/hyperlink" Target="https://www.lcsc.com/product-detail/power-distribution-switches_texas-instruments-lm74700qdbvrq1_C2941042.html" TargetMode="External"/><Relationship Id="rId59" Type="http://schemas.openxmlformats.org/officeDocument/2006/relationships/hyperlink" Target="https://www.lcsc.com/product-detail/Polymer-Aluminum-Capacitors_AISHI-Aihua-Group-SVZ1VM101E09E00RAXXX_C2939795.html?s_z=n_SVZ1VM101E09E00RAXXX" TargetMode="External"/><Relationship Id="rId67" Type="http://schemas.openxmlformats.org/officeDocument/2006/relationships/hyperlink" Target="https://www.lcsc.com/product-detail/Chip-Resistor-Surface-Mount_YAGEO-RC0402FR-07309KL_C171694.html?s_z=n_C171694" TargetMode="External"/><Relationship Id="rId20" Type="http://schemas.openxmlformats.org/officeDocument/2006/relationships/hyperlink" Target="https://www.lcsc.com/product-detail/resettable-fuses_littelfuse-0805l110slyr_C207024.html" TargetMode="External"/><Relationship Id="rId41" Type="http://schemas.openxmlformats.org/officeDocument/2006/relationships/hyperlink" Target="https://www.lcsc.com/product-detail/chip-resistor-surface-mount_yageo-rc0402fr-074k7l_C105871.html" TargetMode="External"/><Relationship Id="rId54" Type="http://schemas.openxmlformats.org/officeDocument/2006/relationships/hyperlink" Target="https://www.lcsc.com/product-detail/Shunts-Jumpers_XKB-Connection-X2541-A1NIB_C2938578.html?s_z=n_X2541-A1NIB" TargetMode="External"/><Relationship Id="rId62" Type="http://schemas.openxmlformats.org/officeDocument/2006/relationships/hyperlink" Target="https://www.lcsc.com/product-detail/Ethernet-Connectors-Modular-Connectors-RJ45-RJ11_HCTL-HC-RJ45-5622-1-6-Y_C3000205.html?s_z=n_C3000205" TargetMode="External"/><Relationship Id="rId70" Type="http://schemas.openxmlformats.org/officeDocument/2006/relationships/hyperlink" Target="https://www.lcsc.com/product-detail/Chip-Resistor-Surface-Mount_YAGEO-RC0402FR-07200RL_C114764.html?s_z=n_C114764" TargetMode="External"/><Relationship Id="rId75" Type="http://schemas.openxmlformats.org/officeDocument/2006/relationships/hyperlink" Target="https://www.lcsc.com/product-detail/ESD-and-Surge-Protection-TVS-ESD_TECH-PUBLIC-USBLC6-2SC6_C2827654.html?s_z=n_C2827654" TargetMode="External"/><Relationship Id="rId83" Type="http://schemas.openxmlformats.org/officeDocument/2006/relationships/hyperlink" Target="https://vi.aliexpress.com/item/1005006181473778.html" TargetMode="External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murata-electronics-grm31cr61e476me44l_C403725.html" TargetMode="External"/><Relationship Id="rId15" Type="http://schemas.openxmlformats.org/officeDocument/2006/relationships/hyperlink" Target="https://www.lcsc.com/product-detail/esd-and-surge-protection-tvs-esd_diodes-incorporated-smbj26a-13-f_C135062.html" TargetMode="External"/><Relationship Id="rId23" Type="http://schemas.openxmlformats.org/officeDocument/2006/relationships/hyperlink" Target="https://www.lcsc.com/product-detail/screw-terminal-blocks_dorabo-db128l-5-08-3p-og-s_C430604.html" TargetMode="External"/><Relationship Id="rId28" Type="http://schemas.openxmlformats.org/officeDocument/2006/relationships/hyperlink" Target="https://www.lcsc.com/product-detail/LED-Indication-Discrete_Foshan-NationStar-Optoelectronics-NCD0603G2_C87326.html" TargetMode="External"/><Relationship Id="rId36" Type="http://schemas.openxmlformats.org/officeDocument/2006/relationships/hyperlink" Target="https://www.lcsc.com/product-detail/chip-resistor-surface-mount_yageo-rc0402fr-07499rl_C137970.html" TargetMode="External"/><Relationship Id="rId49" Type="http://schemas.openxmlformats.org/officeDocument/2006/relationships/hyperlink" Target="https://www.lcsc.com/product-detail/multilayer-ceramic-capacitors-mlcc-smd-smt_taiyo-yuden-umk316ab7475kl-t_C92853.html" TargetMode="External"/><Relationship Id="rId57" Type="http://schemas.openxmlformats.org/officeDocument/2006/relationships/hyperlink" Target="https://www.lcsc.com/product-detail/Multilayer-Ceramic-Capacitors-MLCC-SMD-SMT_YAGEO-CC0402KRX5R6BB475_C326586.html?s_z=n_C326586" TargetMode="External"/><Relationship Id="rId10" Type="http://schemas.openxmlformats.org/officeDocument/2006/relationships/hyperlink" Target="https://www.lcsc.com/product-detail/esd-and-surge-protection-tvs-esd_diodes-incorporated-smbj58a-13-f_C135085.html" TargetMode="External"/><Relationship Id="rId31" Type="http://schemas.openxmlformats.org/officeDocument/2006/relationships/hyperlink" Target="https://www.lcsc.com/product-detail/Bipolar-BJT_ElecSuper-MMBT3904_C5249683.html" TargetMode="External"/><Relationship Id="rId44" Type="http://schemas.openxmlformats.org/officeDocument/2006/relationships/hyperlink" Target="https://www.lcsc.com/product-detail/chip-resistor-surface-mount_yageo-rc0603fr-07120rl_C114640.html" TargetMode="External"/><Relationship Id="rId52" Type="http://schemas.openxmlformats.org/officeDocument/2006/relationships/hyperlink" Target="https://www.lcsc.com/product-detail/chip-resistor-surface-mount_yageo-rt0402brd07100kl_C852472.html" TargetMode="External"/><Relationship Id="rId60" Type="http://schemas.openxmlformats.org/officeDocument/2006/relationships/hyperlink" Target="https://www.lcsc.com/product-detail/Multilayer-Ceramic-Capacitors-MLCC-SMD-SMT_TDK-C1005C0G1E102JT000F_C343059.html?s_z=n_C343059" TargetMode="External"/><Relationship Id="rId65" Type="http://schemas.openxmlformats.org/officeDocument/2006/relationships/hyperlink" Target="https://www.lcsc.com/product-detail/MOSFETs_Texas-Instruments-CSD18532Q5BT_C2876541.html?s_z=n_C2876541" TargetMode="External"/><Relationship Id="rId73" Type="http://schemas.openxmlformats.org/officeDocument/2006/relationships/hyperlink" Target="https://www.lcsc.com/product-detail/I-O-Expanders_Microchip-Tech-MCP23017T-E-SS_C558584.html?s_z=n_C558584" TargetMode="External"/><Relationship Id="rId78" Type="http://schemas.openxmlformats.org/officeDocument/2006/relationships/hyperlink" Target="https://www.lcsc.com/product-detail/MOSFETs_Texas-Instruments-CSD88537ND_C117439.html?s_z=n_C117439" TargetMode="External"/><Relationship Id="rId81" Type="http://schemas.openxmlformats.org/officeDocument/2006/relationships/hyperlink" Target="https://www.lcsc.com/product-detail/Crystals_YXC-Crystal-Oscillators-XL7EL89COI-111YLC-24M_C22434877.html?s_z=n_C22434877" TargetMode="External"/><Relationship Id="rId4" Type="http://schemas.openxmlformats.org/officeDocument/2006/relationships/hyperlink" Target="https://www.lcsc.com/product-detail/multilayer-ceramic-capacitors-mlcc-smd-smt_murata-electronics-grm21br61h106me43l_C2190942.html" TargetMode="External"/><Relationship Id="rId9" Type="http://schemas.openxmlformats.org/officeDocument/2006/relationships/hyperlink" Target="https://www.lcsc.com/product-detail/multilayer-ceramic-capacitors-mlcc-smd-smt_yageo-cc0201jrnpo9bn150_C277480.html" TargetMode="External"/><Relationship Id="rId13" Type="http://schemas.openxmlformats.org/officeDocument/2006/relationships/hyperlink" Target="https://www.digikey.com/en/products/detail/amazing/AZ3003-01G/16615352?s=N4IgTCBcDaIIIC0DMAGFSC0KCMBxEAugL5A" TargetMode="External"/><Relationship Id="rId18" Type="http://schemas.openxmlformats.org/officeDocument/2006/relationships/hyperlink" Target="https://www.lcsc.com/product-detail/esd-and-surge-protection-tvs-esd_bourns-cdsot23-t24can-q_C350941.html" TargetMode="External"/><Relationship Id="rId39" Type="http://schemas.openxmlformats.org/officeDocument/2006/relationships/hyperlink" Target="https://www.lcsc.com/product-detail/Chip-Resistor-Surface-Mount_YAGEO-RC0402FR-0710KL_C60490.html" TargetMode="External"/><Relationship Id="rId34" Type="http://schemas.openxmlformats.org/officeDocument/2006/relationships/hyperlink" Target="https://www.lcsc.com/product-detail/chip-resistor-surface-mount_yageo-rt0805brd0751k1l_C865541.html" TargetMode="External"/><Relationship Id="rId50" Type="http://schemas.openxmlformats.org/officeDocument/2006/relationships/hyperlink" Target="https://www.lcsc.com/product-detail/multilayer-ceramic-capacitors-mlcc-smd-smt_yageo-cc0402crnpo9bn6r8_C189470.html" TargetMode="External"/><Relationship Id="rId55" Type="http://schemas.openxmlformats.org/officeDocument/2006/relationships/hyperlink" Target="https://www.lcsc.com/product-detail/Multilayer-Ceramic-Capacitors-MLCC-SMD-SMT_TDK-C1005X7R1H104KT000F_C361198.html?s_z=n_C361198" TargetMode="External"/><Relationship Id="rId76" Type="http://schemas.openxmlformats.org/officeDocument/2006/relationships/hyperlink" Target="https://www.lcsc.com/product-detail/CAN-Transceivers_Texas-Instruments-TCAN3414DR_C22396693.html?s_z=n_C22396693" TargetMode="External"/><Relationship Id="rId7" Type="http://schemas.openxmlformats.org/officeDocument/2006/relationships/hyperlink" Target="https://www.lcsc.com/product-detail/multilayer-ceramic-capacitors-mlcc-smd-smt_yageo-cc0402jrx7r7bb104_C541464.html" TargetMode="External"/><Relationship Id="rId71" Type="http://schemas.openxmlformats.org/officeDocument/2006/relationships/hyperlink" Target="https://www.lcsc.com/product-detail/Tactile-Switches_Omron-Electronics-B3U-1000P_C231329.html?s_z=n_C231329" TargetMode="External"/><Relationship Id="rId2" Type="http://schemas.openxmlformats.org/officeDocument/2006/relationships/hyperlink" Target="https://www.lcsc.com/product-detail/aluminum-electrolytic-capacitors-smd_roqang-rvt1h470m0607_C72523.html" TargetMode="External"/><Relationship Id="rId29" Type="http://schemas.openxmlformats.org/officeDocument/2006/relationships/hyperlink" Target="https://www.lcsc.com/product-detail/RGB-LEDs-Built-in-IC_Worldsemi-WS2812D-F5_C190565.html" TargetMode="External"/><Relationship Id="rId24" Type="http://schemas.openxmlformats.org/officeDocument/2006/relationships/hyperlink" Target="https://www.lcsc.com/product-detail/pin-headers_xkb-connection-x6511wv-03h-c60d30_C706875.html" TargetMode="External"/><Relationship Id="rId40" Type="http://schemas.openxmlformats.org/officeDocument/2006/relationships/hyperlink" Target="https://www.lcsc.com/product-detail/chip-resistor-surface-mount_yageo-rc0402jr-0775rl_C137841.html" TargetMode="External"/><Relationship Id="rId45" Type="http://schemas.openxmlformats.org/officeDocument/2006/relationships/hyperlink" Target="https://www.lcsc.com/product-detail/dip-switches_dongguan-kingtek-industrial-co-ltd-dsic03lsget_C57453.html" TargetMode="External"/><Relationship Id="rId66" Type="http://schemas.openxmlformats.org/officeDocument/2006/relationships/hyperlink" Target="https://www.lcsc.com/product-detail/Chip-Resistor-Surface-Mount_YAGEO-RC0402FR-07200KL_C114763.html?s_z=n_C114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06"/>
  <sheetViews>
    <sheetView topLeftCell="E75" workbookViewId="0">
      <selection activeCell="O8" sqref="O8:O92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9.42578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7109375" bestFit="1" customWidth="1"/>
    <col min="16" max="16" width="18.7109375" bestFit="1" customWidth="1"/>
    <col min="17" max="17" width="19.28515625" bestFit="1" customWidth="1"/>
    <col min="18" max="18" width="8.5703125" bestFit="1" customWidth="1"/>
    <col min="20" max="20" width="10.5703125" bestFit="1" customWidth="1"/>
    <col min="21" max="21" width="25.28515625" bestFit="1" customWidth="1"/>
    <col min="22" max="22" width="8.710937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9"/>
      <c r="L1" s="49"/>
      <c r="M1" s="49"/>
      <c r="N1" s="49"/>
      <c r="O1" s="49"/>
      <c r="P1" s="49"/>
      <c r="Q1" s="49"/>
      <c r="R1" s="49"/>
    </row>
    <row r="2" spans="1:18" ht="32.25" thickBot="1">
      <c r="A2" s="1"/>
      <c r="B2" s="7"/>
      <c r="C2" s="13"/>
      <c r="D2" s="4" t="s">
        <v>0</v>
      </c>
      <c r="E2" s="4"/>
      <c r="F2" s="40" t="s">
        <v>454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455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31</v>
      </c>
      <c r="E7" s="12" t="s">
        <v>110</v>
      </c>
      <c r="F7" s="12" t="s">
        <v>189</v>
      </c>
      <c r="G7" s="12" t="s">
        <v>235</v>
      </c>
      <c r="H7" s="12" t="s">
        <v>305</v>
      </c>
      <c r="I7" s="12" t="s">
        <v>457</v>
      </c>
      <c r="J7" s="12" t="s">
        <v>338</v>
      </c>
      <c r="K7" s="12" t="s">
        <v>458</v>
      </c>
      <c r="L7" s="12" t="s">
        <v>453</v>
      </c>
      <c r="M7" s="12" t="s">
        <v>459</v>
      </c>
      <c r="N7" s="12" t="s">
        <v>460</v>
      </c>
      <c r="O7" s="12" t="s">
        <v>461</v>
      </c>
      <c r="P7" s="12" t="s">
        <v>462</v>
      </c>
      <c r="Q7" s="12" t="s">
        <v>463</v>
      </c>
      <c r="R7" s="12" t="s">
        <v>464</v>
      </c>
    </row>
    <row r="8" spans="1:18">
      <c r="A8" s="1"/>
      <c r="B8" s="16">
        <f>ROW(B8) - ROW($B$7)</f>
        <v>1</v>
      </c>
      <c r="C8" s="22" t="s">
        <v>6</v>
      </c>
      <c r="D8" s="14" t="s">
        <v>32</v>
      </c>
      <c r="E8" s="14" t="s">
        <v>111</v>
      </c>
      <c r="F8" s="14" t="s">
        <v>190</v>
      </c>
      <c r="G8" s="14" t="s">
        <v>236</v>
      </c>
      <c r="H8" s="14" t="s">
        <v>306</v>
      </c>
      <c r="I8" s="14"/>
      <c r="J8" s="14" t="s">
        <v>339</v>
      </c>
      <c r="K8" s="43" t="s">
        <v>417</v>
      </c>
      <c r="L8" s="14">
        <v>2</v>
      </c>
      <c r="M8" s="14">
        <f>L8*5</f>
        <v>10</v>
      </c>
      <c r="N8" s="14">
        <v>15</v>
      </c>
      <c r="O8" s="46" t="s">
        <v>465</v>
      </c>
      <c r="P8" s="21" t="s">
        <v>466</v>
      </c>
      <c r="Q8" s="15">
        <f>P8*N8</f>
        <v>3.657</v>
      </c>
      <c r="R8" s="14"/>
    </row>
    <row r="9" spans="1:18" ht="36">
      <c r="A9" s="1"/>
      <c r="B9" s="17">
        <f t="shared" ref="B9:B89" si="0">ROW(B9) - ROW($B$7)</f>
        <v>2</v>
      </c>
      <c r="C9" s="23" t="s">
        <v>6</v>
      </c>
      <c r="D9" s="20" t="s">
        <v>33</v>
      </c>
      <c r="E9" s="20" t="s">
        <v>112</v>
      </c>
      <c r="F9" s="20" t="s">
        <v>456</v>
      </c>
      <c r="G9" s="20" t="s">
        <v>191</v>
      </c>
      <c r="H9" s="20" t="s">
        <v>307</v>
      </c>
      <c r="I9" s="20"/>
      <c r="J9" s="20" t="s">
        <v>340</v>
      </c>
      <c r="K9" s="42" t="s">
        <v>418</v>
      </c>
      <c r="L9" s="20">
        <v>1</v>
      </c>
      <c r="M9" s="20">
        <f t="shared" ref="M9" si="1">L9*5</f>
        <v>5</v>
      </c>
      <c r="N9" s="20">
        <v>20</v>
      </c>
      <c r="O9" s="46" t="s">
        <v>465</v>
      </c>
      <c r="P9" s="15" t="s">
        <v>467</v>
      </c>
      <c r="Q9" s="21">
        <f t="shared" ref="Q9" si="2">P9*N9</f>
        <v>0.54600000000000004</v>
      </c>
      <c r="R9" s="20"/>
    </row>
    <row r="10" spans="1:18">
      <c r="A10" s="1"/>
      <c r="B10" s="16">
        <f>ROW(B10) - ROW($B$7)</f>
        <v>3</v>
      </c>
      <c r="C10" s="23" t="s">
        <v>6</v>
      </c>
      <c r="D10" s="14" t="s">
        <v>34</v>
      </c>
      <c r="E10" s="14" t="s">
        <v>113</v>
      </c>
      <c r="F10" s="14" t="s">
        <v>192</v>
      </c>
      <c r="G10" s="14" t="s">
        <v>237</v>
      </c>
      <c r="H10" s="14" t="s">
        <v>308</v>
      </c>
      <c r="I10" s="14"/>
      <c r="J10" s="14" t="s">
        <v>341</v>
      </c>
      <c r="K10" s="43" t="s">
        <v>419</v>
      </c>
      <c r="L10" s="14">
        <v>1</v>
      </c>
      <c r="M10" s="14">
        <f>L10*5</f>
        <v>5</v>
      </c>
      <c r="N10" s="14">
        <v>50</v>
      </c>
      <c r="O10" s="46" t="s">
        <v>465</v>
      </c>
      <c r="P10" s="21" t="s">
        <v>468</v>
      </c>
      <c r="Q10" s="15">
        <f>P10*N10</f>
        <v>0.61</v>
      </c>
      <c r="R10" s="14"/>
    </row>
    <row r="11" spans="1:18">
      <c r="A11" s="1"/>
      <c r="B11" s="17">
        <f t="shared" si="0"/>
        <v>4</v>
      </c>
      <c r="C11" s="23" t="s">
        <v>6</v>
      </c>
      <c r="D11" s="20" t="s">
        <v>35</v>
      </c>
      <c r="E11" s="20" t="s">
        <v>114</v>
      </c>
      <c r="F11" s="20" t="s">
        <v>192</v>
      </c>
      <c r="G11" s="20" t="s">
        <v>238</v>
      </c>
      <c r="H11" s="20" t="s">
        <v>309</v>
      </c>
      <c r="I11" s="20"/>
      <c r="J11" s="20" t="s">
        <v>342</v>
      </c>
      <c r="K11" s="42" t="s">
        <v>420</v>
      </c>
      <c r="L11" s="20">
        <v>1</v>
      </c>
      <c r="M11" s="20">
        <f t="shared" ref="M11" si="3">L11*5</f>
        <v>5</v>
      </c>
      <c r="N11" s="20">
        <v>10</v>
      </c>
      <c r="O11" s="46" t="s">
        <v>465</v>
      </c>
      <c r="P11" s="15" t="s">
        <v>469</v>
      </c>
      <c r="Q11" s="21">
        <f t="shared" ref="Q11" si="4">P11*N11</f>
        <v>1.224</v>
      </c>
      <c r="R11" s="20"/>
    </row>
    <row r="12" spans="1:18" ht="24">
      <c r="A12" s="1"/>
      <c r="B12" s="16">
        <f>ROW(B12) - ROW($B$7)</f>
        <v>5</v>
      </c>
      <c r="C12" s="23" t="s">
        <v>6</v>
      </c>
      <c r="D12" s="14" t="s">
        <v>36</v>
      </c>
      <c r="E12" s="14" t="s">
        <v>115</v>
      </c>
      <c r="F12" s="14" t="s">
        <v>193</v>
      </c>
      <c r="G12" s="14" t="s">
        <v>239</v>
      </c>
      <c r="H12" s="14" t="s">
        <v>310</v>
      </c>
      <c r="I12" s="14"/>
      <c r="J12" s="14" t="s">
        <v>343</v>
      </c>
      <c r="K12" s="43" t="s">
        <v>421</v>
      </c>
      <c r="L12" s="14">
        <v>15</v>
      </c>
      <c r="M12" s="14">
        <f>L12*5</f>
        <v>75</v>
      </c>
      <c r="N12" s="14">
        <v>100</v>
      </c>
      <c r="O12" s="46" t="s">
        <v>465</v>
      </c>
      <c r="P12" s="21" t="s">
        <v>470</v>
      </c>
      <c r="Q12" s="15">
        <f>P12*N12</f>
        <v>0.37</v>
      </c>
      <c r="R12" s="14"/>
    </row>
    <row r="13" spans="1:18">
      <c r="A13" s="1"/>
      <c r="B13" s="17">
        <f t="shared" si="0"/>
        <v>6</v>
      </c>
      <c r="C13" s="23" t="s">
        <v>6</v>
      </c>
      <c r="D13" s="20" t="s">
        <v>509</v>
      </c>
      <c r="E13" s="42" t="s">
        <v>125</v>
      </c>
      <c r="F13" s="20" t="s">
        <v>197</v>
      </c>
      <c r="G13" s="42" t="s">
        <v>249</v>
      </c>
      <c r="H13" s="20" t="s">
        <v>312</v>
      </c>
      <c r="I13" s="20"/>
      <c r="J13" s="20" t="s">
        <v>353</v>
      </c>
      <c r="K13" s="42" t="s">
        <v>428</v>
      </c>
      <c r="L13" s="20">
        <v>3</v>
      </c>
      <c r="M13" s="20">
        <f t="shared" ref="M13" si="5">L13*5</f>
        <v>15</v>
      </c>
      <c r="N13" s="20">
        <v>20</v>
      </c>
      <c r="O13" s="46" t="s">
        <v>465</v>
      </c>
      <c r="P13" s="21">
        <v>8.6999999999999994E-3</v>
      </c>
      <c r="Q13" s="21">
        <f t="shared" ref="Q13" si="6">P13*N13</f>
        <v>0.17399999999999999</v>
      </c>
      <c r="R13" s="20"/>
    </row>
    <row r="14" spans="1:18">
      <c r="A14" s="1"/>
      <c r="B14" s="16">
        <f>ROW(B14) - ROW($B$7)</f>
        <v>7</v>
      </c>
      <c r="C14" s="23" t="s">
        <v>6</v>
      </c>
      <c r="D14" s="14" t="s">
        <v>37</v>
      </c>
      <c r="E14" s="14" t="s">
        <v>116</v>
      </c>
      <c r="F14" s="14" t="s">
        <v>194</v>
      </c>
      <c r="G14" s="14" t="s">
        <v>240</v>
      </c>
      <c r="H14" s="14" t="s">
        <v>311</v>
      </c>
      <c r="I14" s="14"/>
      <c r="J14" s="14" t="s">
        <v>344</v>
      </c>
      <c r="K14" s="43" t="s">
        <v>423</v>
      </c>
      <c r="L14" s="14">
        <v>3</v>
      </c>
      <c r="M14" s="14">
        <f>L14*5</f>
        <v>15</v>
      </c>
      <c r="N14" s="14">
        <v>20</v>
      </c>
      <c r="O14" s="46" t="s">
        <v>465</v>
      </c>
      <c r="P14" s="15" t="s">
        <v>505</v>
      </c>
      <c r="Q14" s="15">
        <f>P14*N14</f>
        <v>0.87999999999999989</v>
      </c>
      <c r="R14" s="14"/>
    </row>
    <row r="15" spans="1:18">
      <c r="A15" s="1"/>
      <c r="B15" s="17">
        <f t="shared" si="0"/>
        <v>8</v>
      </c>
      <c r="C15" s="23" t="s">
        <v>6</v>
      </c>
      <c r="D15" s="20" t="s">
        <v>38</v>
      </c>
      <c r="E15" s="20" t="s">
        <v>117</v>
      </c>
      <c r="F15" s="20" t="s">
        <v>194</v>
      </c>
      <c r="G15" s="20" t="s">
        <v>241</v>
      </c>
      <c r="H15" s="20" t="s">
        <v>308</v>
      </c>
      <c r="I15" s="20"/>
      <c r="J15" s="20" t="s">
        <v>345</v>
      </c>
      <c r="K15" s="42" t="s">
        <v>424</v>
      </c>
      <c r="L15" s="20">
        <v>2</v>
      </c>
      <c r="M15" s="20">
        <f t="shared" ref="M15" si="7">L15*5</f>
        <v>10</v>
      </c>
      <c r="N15" s="20">
        <v>20</v>
      </c>
      <c r="O15" s="46" t="s">
        <v>465</v>
      </c>
      <c r="P15" s="21">
        <v>4.0599999999999997E-2</v>
      </c>
      <c r="Q15" s="21">
        <f t="shared" ref="Q15" si="8">P15*N15</f>
        <v>0.81199999999999994</v>
      </c>
      <c r="R15" s="20"/>
    </row>
    <row r="16" spans="1:18">
      <c r="A16" s="1"/>
      <c r="B16" s="16">
        <f>ROW(B16) - ROW($B$7)</f>
        <v>9</v>
      </c>
      <c r="C16" s="23" t="s">
        <v>6</v>
      </c>
      <c r="D16" s="14" t="s">
        <v>39</v>
      </c>
      <c r="E16" s="14" t="s">
        <v>118</v>
      </c>
      <c r="F16" s="14" t="s">
        <v>194</v>
      </c>
      <c r="G16" s="14" t="s">
        <v>242</v>
      </c>
      <c r="H16" s="14" t="s">
        <v>309</v>
      </c>
      <c r="I16" s="14"/>
      <c r="J16" s="14" t="s">
        <v>346</v>
      </c>
      <c r="K16" s="43" t="s">
        <v>418</v>
      </c>
      <c r="L16" s="14">
        <v>3</v>
      </c>
      <c r="M16" s="14">
        <f>L16*5</f>
        <v>15</v>
      </c>
      <c r="N16" s="14">
        <v>20</v>
      </c>
      <c r="O16" s="46" t="s">
        <v>465</v>
      </c>
      <c r="P16" s="21" t="s">
        <v>471</v>
      </c>
      <c r="Q16" s="15">
        <f>P16*N16</f>
        <v>4.4879999999999995</v>
      </c>
      <c r="R16" s="14"/>
    </row>
    <row r="17" spans="1:25">
      <c r="A17" s="1"/>
      <c r="B17" s="17">
        <f t="shared" si="0"/>
        <v>10</v>
      </c>
      <c r="C17" s="23" t="s">
        <v>6</v>
      </c>
      <c r="D17" s="20" t="s">
        <v>40</v>
      </c>
      <c r="E17" s="20" t="s">
        <v>119</v>
      </c>
      <c r="F17" s="20" t="s">
        <v>195</v>
      </c>
      <c r="G17" s="20" t="s">
        <v>243</v>
      </c>
      <c r="H17" s="20" t="s">
        <v>308</v>
      </c>
      <c r="I17" s="20"/>
      <c r="J17" s="20" t="s">
        <v>347</v>
      </c>
      <c r="K17" s="42" t="s">
        <v>425</v>
      </c>
      <c r="L17" s="20">
        <v>1</v>
      </c>
      <c r="M17" s="20">
        <f t="shared" ref="M17" si="9">L17*5</f>
        <v>5</v>
      </c>
      <c r="N17" s="20">
        <v>100</v>
      </c>
      <c r="O17" s="46" t="s">
        <v>465</v>
      </c>
      <c r="P17" s="21" t="s">
        <v>506</v>
      </c>
      <c r="Q17" s="21">
        <f t="shared" ref="Q17" si="10">P17*N17</f>
        <v>0.15</v>
      </c>
      <c r="R17" s="20"/>
    </row>
    <row r="18" spans="1:25">
      <c r="A18" s="1"/>
      <c r="B18" s="16">
        <f>ROW(B18) - ROW($B$7)</f>
        <v>11</v>
      </c>
      <c r="C18" s="23" t="s">
        <v>6</v>
      </c>
      <c r="D18" s="14" t="s">
        <v>41</v>
      </c>
      <c r="E18" s="14" t="s">
        <v>120</v>
      </c>
      <c r="F18" s="14" t="s">
        <v>195</v>
      </c>
      <c r="G18" s="14" t="s">
        <v>244</v>
      </c>
      <c r="H18" s="14" t="s">
        <v>309</v>
      </c>
      <c r="I18" s="14"/>
      <c r="J18" s="14" t="s">
        <v>348</v>
      </c>
      <c r="K18" s="43" t="s">
        <v>426</v>
      </c>
      <c r="L18" s="14">
        <v>2</v>
      </c>
      <c r="M18" s="14">
        <f>L18*5</f>
        <v>10</v>
      </c>
      <c r="N18" s="14">
        <v>100</v>
      </c>
      <c r="O18" s="46" t="s">
        <v>465</v>
      </c>
      <c r="P18" s="15" t="s">
        <v>507</v>
      </c>
      <c r="Q18" s="15">
        <f>P18*N18</f>
        <v>1.76</v>
      </c>
      <c r="R18" s="14"/>
    </row>
    <row r="19" spans="1:25">
      <c r="A19" s="1"/>
      <c r="B19" s="17">
        <f t="shared" si="0"/>
        <v>12</v>
      </c>
      <c r="C19" s="23" t="s">
        <v>6</v>
      </c>
      <c r="D19" s="20" t="s">
        <v>42</v>
      </c>
      <c r="E19" s="20" t="s">
        <v>121</v>
      </c>
      <c r="F19" s="20" t="s">
        <v>195</v>
      </c>
      <c r="G19" s="20" t="s">
        <v>245</v>
      </c>
      <c r="H19" s="20" t="s">
        <v>308</v>
      </c>
      <c r="I19" s="20"/>
      <c r="J19" s="20" t="s">
        <v>349</v>
      </c>
      <c r="K19" s="42" t="s">
        <v>423</v>
      </c>
      <c r="L19" s="20">
        <v>3</v>
      </c>
      <c r="M19" s="20">
        <f t="shared" ref="M19" si="11">L19*5</f>
        <v>15</v>
      </c>
      <c r="N19" s="20">
        <v>50</v>
      </c>
      <c r="O19" s="46" t="s">
        <v>465</v>
      </c>
      <c r="P19" s="21">
        <v>1.77E-2</v>
      </c>
      <c r="Q19" s="21">
        <f t="shared" ref="Q19" si="12">P19*N19</f>
        <v>0.88500000000000001</v>
      </c>
      <c r="R19" s="20"/>
    </row>
    <row r="20" spans="1:25" ht="24">
      <c r="A20" s="1"/>
      <c r="B20" s="16">
        <f>ROW(B20) - ROW($B$7)</f>
        <v>13</v>
      </c>
      <c r="C20" s="23" t="s">
        <v>6</v>
      </c>
      <c r="D20" s="14" t="s">
        <v>43</v>
      </c>
      <c r="E20" s="14" t="s">
        <v>122</v>
      </c>
      <c r="F20" s="14" t="s">
        <v>195</v>
      </c>
      <c r="G20" s="14" t="s">
        <v>246</v>
      </c>
      <c r="H20" s="14" t="s">
        <v>308</v>
      </c>
      <c r="I20" s="14"/>
      <c r="J20" s="14" t="s">
        <v>350</v>
      </c>
      <c r="K20" s="43" t="s">
        <v>422</v>
      </c>
      <c r="L20" s="14">
        <v>14</v>
      </c>
      <c r="M20" s="14">
        <f>L20*5</f>
        <v>70</v>
      </c>
      <c r="N20" s="14">
        <v>100</v>
      </c>
      <c r="O20" s="46" t="s">
        <v>465</v>
      </c>
      <c r="P20" s="21" t="s">
        <v>472</v>
      </c>
      <c r="Q20" s="15">
        <f>P20*N20</f>
        <v>0.13</v>
      </c>
      <c r="R20" s="14"/>
    </row>
    <row r="21" spans="1:25">
      <c r="A21" s="1"/>
      <c r="B21" s="17">
        <f t="shared" si="0"/>
        <v>14</v>
      </c>
      <c r="C21" s="23" t="s">
        <v>6</v>
      </c>
      <c r="D21" s="20" t="s">
        <v>44</v>
      </c>
      <c r="E21" s="20" t="s">
        <v>123</v>
      </c>
      <c r="F21" s="20" t="s">
        <v>195</v>
      </c>
      <c r="G21" s="20" t="s">
        <v>247</v>
      </c>
      <c r="H21" s="20" t="s">
        <v>308</v>
      </c>
      <c r="I21" s="20"/>
      <c r="J21" s="20" t="s">
        <v>351</v>
      </c>
      <c r="K21" s="42" t="s">
        <v>421</v>
      </c>
      <c r="L21" s="20">
        <v>2</v>
      </c>
      <c r="M21" s="20">
        <f t="shared" ref="M21" si="13">L21*5</f>
        <v>10</v>
      </c>
      <c r="N21" s="20">
        <v>50</v>
      </c>
      <c r="O21" s="46" t="s">
        <v>465</v>
      </c>
      <c r="P21" s="15" t="s">
        <v>473</v>
      </c>
      <c r="Q21" s="21">
        <f t="shared" ref="Q21" si="14">P21*N21</f>
        <v>0.19</v>
      </c>
      <c r="R21" s="20"/>
    </row>
    <row r="22" spans="1:25">
      <c r="A22" s="1"/>
      <c r="B22" s="16">
        <f>ROW(B22) - ROW($B$7)</f>
        <v>15</v>
      </c>
      <c r="C22" s="23" t="s">
        <v>6</v>
      </c>
      <c r="D22" s="14" t="s">
        <v>45</v>
      </c>
      <c r="E22" s="14" t="s">
        <v>124</v>
      </c>
      <c r="F22" s="14" t="s">
        <v>196</v>
      </c>
      <c r="G22" s="14" t="s">
        <v>248</v>
      </c>
      <c r="H22" s="14" t="s">
        <v>308</v>
      </c>
      <c r="I22" s="14"/>
      <c r="J22" s="14" t="s">
        <v>352</v>
      </c>
      <c r="K22" s="43" t="s">
        <v>427</v>
      </c>
      <c r="L22" s="14">
        <v>4</v>
      </c>
      <c r="M22" s="14">
        <f>L22*5</f>
        <v>20</v>
      </c>
      <c r="N22" s="14">
        <v>100</v>
      </c>
      <c r="O22" s="46" t="s">
        <v>465</v>
      </c>
      <c r="P22" s="15" t="s">
        <v>474</v>
      </c>
      <c r="Q22" s="15">
        <f>P22*N22</f>
        <v>0.1</v>
      </c>
      <c r="R22" s="14"/>
    </row>
    <row r="23" spans="1:25" ht="24">
      <c r="A23" s="1"/>
      <c r="B23" s="16">
        <f>ROW(B23) - ROW($B$7)</f>
        <v>16</v>
      </c>
      <c r="C23" s="23" t="s">
        <v>6</v>
      </c>
      <c r="D23" s="20" t="s">
        <v>510</v>
      </c>
      <c r="E23" s="42" t="s">
        <v>125</v>
      </c>
      <c r="F23" s="20" t="s">
        <v>197</v>
      </c>
      <c r="G23" s="42" t="s">
        <v>249</v>
      </c>
      <c r="H23" s="20" t="s">
        <v>312</v>
      </c>
      <c r="I23" s="14"/>
      <c r="J23" s="14" t="s">
        <v>353</v>
      </c>
      <c r="K23" s="43" t="s">
        <v>428</v>
      </c>
      <c r="L23" s="14">
        <v>9</v>
      </c>
      <c r="M23" s="14">
        <f>L23*5</f>
        <v>45</v>
      </c>
      <c r="N23" s="14">
        <v>50</v>
      </c>
      <c r="O23" s="46" t="s">
        <v>465</v>
      </c>
      <c r="P23" s="15">
        <v>8.6999999999999994E-3</v>
      </c>
      <c r="Q23" s="15">
        <f>P23*N23</f>
        <v>0.43499999999999994</v>
      </c>
      <c r="R23" s="14"/>
    </row>
    <row r="24" spans="1:25" ht="36">
      <c r="A24" s="1"/>
      <c r="B24" s="16">
        <f>ROW(B24) - ROW($B$7)</f>
        <v>17</v>
      </c>
      <c r="C24" s="23" t="s">
        <v>6</v>
      </c>
      <c r="D24" s="14" t="s">
        <v>46</v>
      </c>
      <c r="E24" s="43" t="s">
        <v>511</v>
      </c>
      <c r="F24" s="20" t="s">
        <v>456</v>
      </c>
      <c r="G24" s="43" t="s">
        <v>512</v>
      </c>
      <c r="H24" s="14" t="s">
        <v>513</v>
      </c>
      <c r="I24" s="14"/>
      <c r="J24" s="14" t="s">
        <v>533</v>
      </c>
      <c r="K24" s="43" t="s">
        <v>429</v>
      </c>
      <c r="L24" s="14">
        <v>8</v>
      </c>
      <c r="M24" s="14">
        <f>L24*5</f>
        <v>40</v>
      </c>
      <c r="N24" s="14">
        <v>45</v>
      </c>
      <c r="O24" s="46" t="s">
        <v>465</v>
      </c>
      <c r="P24" s="15">
        <v>0.1691</v>
      </c>
      <c r="Q24" s="15">
        <f>P24*N24</f>
        <v>7.6094999999999997</v>
      </c>
      <c r="R24" s="14"/>
    </row>
    <row r="25" spans="1:25">
      <c r="A25" s="1"/>
      <c r="B25" s="17">
        <f t="shared" si="0"/>
        <v>18</v>
      </c>
      <c r="C25" s="23" t="s">
        <v>6</v>
      </c>
      <c r="D25" s="20" t="s">
        <v>47</v>
      </c>
      <c r="E25" s="20" t="s">
        <v>126</v>
      </c>
      <c r="F25" s="20" t="s">
        <v>195</v>
      </c>
      <c r="G25" s="20" t="s">
        <v>250</v>
      </c>
      <c r="H25" s="20" t="s">
        <v>312</v>
      </c>
      <c r="I25" s="20"/>
      <c r="J25" s="20" t="s">
        <v>354</v>
      </c>
      <c r="K25" s="42" t="s">
        <v>430</v>
      </c>
      <c r="L25" s="20">
        <v>4</v>
      </c>
      <c r="M25" s="20">
        <f t="shared" ref="M25" si="15">L25*5</f>
        <v>20</v>
      </c>
      <c r="N25" s="20">
        <v>50</v>
      </c>
      <c r="O25" s="46" t="s">
        <v>465</v>
      </c>
      <c r="P25" s="21">
        <v>9.1000000000000004E-3</v>
      </c>
      <c r="Q25" s="21">
        <f t="shared" ref="Q25" si="16">P25*N25</f>
        <v>0.45500000000000002</v>
      </c>
      <c r="R25" s="20"/>
    </row>
    <row r="26" spans="1:25">
      <c r="A26" s="1"/>
      <c r="B26" s="16">
        <f>ROW(B26) - ROW($B$7)</f>
        <v>19</v>
      </c>
      <c r="C26" s="22" t="s">
        <v>8</v>
      </c>
      <c r="D26" s="14" t="s">
        <v>48</v>
      </c>
      <c r="E26" s="14" t="s">
        <v>127</v>
      </c>
      <c r="F26" s="14" t="s">
        <v>198</v>
      </c>
      <c r="G26" s="14" t="s">
        <v>251</v>
      </c>
      <c r="H26" s="14" t="s">
        <v>313</v>
      </c>
      <c r="I26" s="14"/>
      <c r="J26" s="14" t="s">
        <v>355</v>
      </c>
      <c r="K26" s="43" t="s">
        <v>359</v>
      </c>
      <c r="L26" s="14">
        <v>1</v>
      </c>
      <c r="M26" s="14">
        <f>L26*5</f>
        <v>5</v>
      </c>
      <c r="N26" s="14">
        <v>10</v>
      </c>
      <c r="O26" s="46" t="s">
        <v>465</v>
      </c>
      <c r="P26" s="15" t="s">
        <v>475</v>
      </c>
      <c r="Q26" s="15">
        <f>P26*N26</f>
        <v>1.2829999999999999</v>
      </c>
      <c r="R26" s="14"/>
    </row>
    <row r="27" spans="1:25" ht="24">
      <c r="A27" s="1"/>
      <c r="B27" s="17">
        <f t="shared" si="0"/>
        <v>20</v>
      </c>
      <c r="C27" s="23" t="s">
        <v>9</v>
      </c>
      <c r="D27" s="20" t="s">
        <v>49</v>
      </c>
      <c r="E27" s="20" t="s">
        <v>128</v>
      </c>
      <c r="F27" s="20" t="s">
        <v>199</v>
      </c>
      <c r="G27" s="20" t="s">
        <v>252</v>
      </c>
      <c r="H27" s="20" t="s">
        <v>314</v>
      </c>
      <c r="I27" s="20"/>
      <c r="J27" s="20" t="s">
        <v>356</v>
      </c>
      <c r="K27" s="43" t="s">
        <v>359</v>
      </c>
      <c r="L27" s="20">
        <v>1</v>
      </c>
      <c r="M27" s="20">
        <f t="shared" ref="M27" si="17">L27*5</f>
        <v>5</v>
      </c>
      <c r="N27" s="20">
        <v>10</v>
      </c>
      <c r="O27" s="46" t="s">
        <v>476</v>
      </c>
      <c r="P27" s="21">
        <v>0.35</v>
      </c>
      <c r="Q27" s="21">
        <f t="shared" ref="Q27" si="18">P27*N27</f>
        <v>3.5</v>
      </c>
      <c r="R27" s="20"/>
    </row>
    <row r="28" spans="1:25">
      <c r="A28" s="1"/>
      <c r="B28" s="16">
        <f>ROW(B28) - ROW($B$7)</f>
        <v>21</v>
      </c>
      <c r="C28" s="22" t="s">
        <v>10</v>
      </c>
      <c r="D28" s="14" t="s">
        <v>50</v>
      </c>
      <c r="E28" s="14" t="s">
        <v>129</v>
      </c>
      <c r="F28" s="14" t="s">
        <v>198</v>
      </c>
      <c r="G28" s="14" t="s">
        <v>253</v>
      </c>
      <c r="H28" s="14" t="s">
        <v>313</v>
      </c>
      <c r="I28" s="14"/>
      <c r="J28" s="14" t="s">
        <v>357</v>
      </c>
      <c r="K28" s="43" t="s">
        <v>359</v>
      </c>
      <c r="L28" s="14">
        <v>1</v>
      </c>
      <c r="M28" s="14">
        <f>L28*5</f>
        <v>5</v>
      </c>
      <c r="N28" s="14">
        <v>10</v>
      </c>
      <c r="O28" s="46" t="s">
        <v>465</v>
      </c>
      <c r="P28" s="15" t="s">
        <v>478</v>
      </c>
      <c r="Q28" s="15">
        <f>P28*N28</f>
        <v>1.3850000000000002</v>
      </c>
      <c r="R28" s="14"/>
    </row>
    <row r="29" spans="1:25" ht="24">
      <c r="A29" s="1"/>
      <c r="B29" s="17">
        <f t="shared" si="0"/>
        <v>22</v>
      </c>
      <c r="C29" s="23" t="s">
        <v>9</v>
      </c>
      <c r="D29" s="20" t="s">
        <v>51</v>
      </c>
      <c r="E29" s="20" t="s">
        <v>130</v>
      </c>
      <c r="F29" s="20" t="s">
        <v>199</v>
      </c>
      <c r="G29" s="20" t="s">
        <v>254</v>
      </c>
      <c r="H29" s="20" t="s">
        <v>314</v>
      </c>
      <c r="I29" s="20"/>
      <c r="J29" s="20" t="s">
        <v>358</v>
      </c>
      <c r="K29" s="43" t="s">
        <v>359</v>
      </c>
      <c r="L29" s="20">
        <v>1</v>
      </c>
      <c r="M29" s="20">
        <f t="shared" ref="M29" si="19">L29*5</f>
        <v>5</v>
      </c>
      <c r="N29" s="20">
        <v>10</v>
      </c>
      <c r="O29" s="46" t="s">
        <v>476</v>
      </c>
      <c r="P29" s="21">
        <v>0.35</v>
      </c>
      <c r="Q29" s="21">
        <f t="shared" ref="Q29" si="20">P29*N29</f>
        <v>3.5</v>
      </c>
      <c r="R29" s="20"/>
    </row>
    <row r="30" spans="1:25" s="45" customFormat="1">
      <c r="A30" s="44"/>
      <c r="B30" s="16">
        <f>ROW(B30) - ROW($B$7)</f>
        <v>23</v>
      </c>
      <c r="C30" s="22" t="s">
        <v>8</v>
      </c>
      <c r="D30" s="14" t="s">
        <v>52</v>
      </c>
      <c r="E30" s="14" t="s">
        <v>131</v>
      </c>
      <c r="F30" s="14" t="s">
        <v>199</v>
      </c>
      <c r="G30" s="14" t="s">
        <v>255</v>
      </c>
      <c r="H30" s="14" t="s">
        <v>315</v>
      </c>
      <c r="I30" s="14"/>
      <c r="J30" s="14" t="s">
        <v>359</v>
      </c>
      <c r="K30" s="43" t="s">
        <v>359</v>
      </c>
      <c r="L30" s="14">
        <v>1</v>
      </c>
      <c r="M30" s="14">
        <f>L30*5</f>
        <v>5</v>
      </c>
      <c r="N30" s="14">
        <v>10</v>
      </c>
      <c r="O30" s="46" t="s">
        <v>476</v>
      </c>
      <c r="P30" s="15">
        <v>0.35</v>
      </c>
      <c r="Q30" s="15">
        <f>P30*N30</f>
        <v>3.5</v>
      </c>
      <c r="R30" s="14"/>
      <c r="T30"/>
      <c r="U30"/>
      <c r="V30"/>
      <c r="W30"/>
      <c r="X30"/>
      <c r="Y30"/>
    </row>
    <row r="31" spans="1:25">
      <c r="A31" s="1"/>
      <c r="B31" s="17">
        <f t="shared" si="0"/>
        <v>24</v>
      </c>
      <c r="C31" s="23" t="s">
        <v>9</v>
      </c>
      <c r="D31" s="20" t="s">
        <v>53</v>
      </c>
      <c r="E31" s="20" t="s">
        <v>132</v>
      </c>
      <c r="F31" s="20" t="s">
        <v>200</v>
      </c>
      <c r="G31" s="20" t="s">
        <v>256</v>
      </c>
      <c r="H31" s="20" t="s">
        <v>316</v>
      </c>
      <c r="I31" s="20"/>
      <c r="J31" s="20" t="s">
        <v>360</v>
      </c>
      <c r="K31" s="43" t="s">
        <v>359</v>
      </c>
      <c r="L31" s="20">
        <v>4</v>
      </c>
      <c r="M31" s="20">
        <f t="shared" ref="M31" si="21">L31*5</f>
        <v>20</v>
      </c>
      <c r="N31" s="20">
        <v>20</v>
      </c>
      <c r="O31" s="46" t="s">
        <v>477</v>
      </c>
      <c r="P31" s="21">
        <v>4.2840000000000003E-2</v>
      </c>
      <c r="Q31" s="21">
        <f t="shared" ref="Q31" si="22">P31*N31</f>
        <v>0.85680000000000001</v>
      </c>
      <c r="R31" s="20"/>
    </row>
    <row r="32" spans="1:25">
      <c r="A32" s="1"/>
      <c r="B32" s="16">
        <f>ROW(B32) - ROW($B$7)</f>
        <v>25</v>
      </c>
      <c r="C32" s="22" t="s">
        <v>10</v>
      </c>
      <c r="D32" s="14" t="s">
        <v>54</v>
      </c>
      <c r="E32" s="14" t="s">
        <v>133</v>
      </c>
      <c r="F32" s="14" t="s">
        <v>201</v>
      </c>
      <c r="G32" s="14" t="s">
        <v>257</v>
      </c>
      <c r="H32" s="14" t="s">
        <v>317</v>
      </c>
      <c r="I32" s="14"/>
      <c r="J32" s="14" t="s">
        <v>361</v>
      </c>
      <c r="K32" s="43" t="s">
        <v>359</v>
      </c>
      <c r="L32" s="14">
        <v>1</v>
      </c>
      <c r="M32" s="14">
        <f>L32*5</f>
        <v>5</v>
      </c>
      <c r="N32" s="14">
        <v>10</v>
      </c>
      <c r="O32" s="46" t="s">
        <v>465</v>
      </c>
      <c r="P32" s="15" t="s">
        <v>479</v>
      </c>
      <c r="Q32" s="15">
        <f>P32*N32</f>
        <v>1.4339999999999999</v>
      </c>
      <c r="R32" s="14"/>
    </row>
    <row r="33" spans="1:18">
      <c r="A33" s="1"/>
      <c r="B33" s="17">
        <f t="shared" si="0"/>
        <v>26</v>
      </c>
      <c r="C33" s="23" t="s">
        <v>10</v>
      </c>
      <c r="D33" s="20" t="s">
        <v>55</v>
      </c>
      <c r="E33" s="20" t="s">
        <v>134</v>
      </c>
      <c r="F33" s="20" t="s">
        <v>202</v>
      </c>
      <c r="G33" s="20" t="s">
        <v>258</v>
      </c>
      <c r="H33" s="20" t="s">
        <v>317</v>
      </c>
      <c r="I33" s="20"/>
      <c r="J33" s="20" t="s">
        <v>362</v>
      </c>
      <c r="K33" s="43" t="s">
        <v>359</v>
      </c>
      <c r="L33" s="20">
        <v>1</v>
      </c>
      <c r="M33" s="20">
        <f t="shared" ref="M33" si="23">L33*5</f>
        <v>5</v>
      </c>
      <c r="N33" s="20">
        <v>10</v>
      </c>
      <c r="O33" s="46" t="s">
        <v>465</v>
      </c>
      <c r="P33" s="21" t="s">
        <v>480</v>
      </c>
      <c r="Q33" s="21">
        <f t="shared" ref="Q33" si="24">P33*N33</f>
        <v>1.649</v>
      </c>
      <c r="R33" s="20"/>
    </row>
    <row r="34" spans="1:18">
      <c r="A34" s="1"/>
      <c r="B34" s="16">
        <f>ROW(B34) - ROW($B$7)</f>
        <v>27</v>
      </c>
      <c r="C34" s="22" t="s">
        <v>10</v>
      </c>
      <c r="D34" s="14" t="s">
        <v>56</v>
      </c>
      <c r="E34" s="14" t="s">
        <v>135</v>
      </c>
      <c r="F34" s="14" t="s">
        <v>203</v>
      </c>
      <c r="G34" s="14" t="s">
        <v>259</v>
      </c>
      <c r="H34" s="14" t="s">
        <v>318</v>
      </c>
      <c r="I34" s="14"/>
      <c r="J34" s="14" t="s">
        <v>363</v>
      </c>
      <c r="K34" s="43" t="s">
        <v>359</v>
      </c>
      <c r="L34" s="14">
        <v>1</v>
      </c>
      <c r="M34" s="14">
        <f>L34*5</f>
        <v>5</v>
      </c>
      <c r="N34" s="14">
        <v>10</v>
      </c>
      <c r="O34" s="46" t="s">
        <v>465</v>
      </c>
      <c r="P34" s="21" t="s">
        <v>481</v>
      </c>
      <c r="Q34" s="15">
        <f>P34*N34</f>
        <v>0.90700000000000003</v>
      </c>
      <c r="R34" s="14"/>
    </row>
    <row r="35" spans="1:18">
      <c r="A35" s="1"/>
      <c r="B35" s="17">
        <f t="shared" si="0"/>
        <v>28</v>
      </c>
      <c r="C35" s="23" t="s">
        <v>8</v>
      </c>
      <c r="D35" s="20" t="s">
        <v>57</v>
      </c>
      <c r="E35" s="20" t="s">
        <v>136</v>
      </c>
      <c r="F35" s="20" t="s">
        <v>203</v>
      </c>
      <c r="G35" s="20" t="s">
        <v>260</v>
      </c>
      <c r="H35" s="20" t="s">
        <v>319</v>
      </c>
      <c r="I35" s="20"/>
      <c r="J35" s="20" t="s">
        <v>364</v>
      </c>
      <c r="K35" s="43" t="s">
        <v>359</v>
      </c>
      <c r="L35" s="20">
        <v>1</v>
      </c>
      <c r="M35" s="20">
        <f t="shared" ref="M35" si="25">L35*5</f>
        <v>5</v>
      </c>
      <c r="N35" s="20">
        <v>10</v>
      </c>
      <c r="O35" s="46" t="s">
        <v>465</v>
      </c>
      <c r="P35" s="21" t="s">
        <v>482</v>
      </c>
      <c r="Q35" s="21">
        <f t="shared" ref="Q35" si="26">P35*N35</f>
        <v>0.34399999999999997</v>
      </c>
      <c r="R35" s="20"/>
    </row>
    <row r="36" spans="1:18">
      <c r="A36" s="1"/>
      <c r="B36" s="16">
        <f>ROW(B36) - ROW($B$7)</f>
        <v>29</v>
      </c>
      <c r="C36" s="22" t="s">
        <v>11</v>
      </c>
      <c r="D36" s="14" t="s">
        <v>58</v>
      </c>
      <c r="E36" s="14" t="s">
        <v>137</v>
      </c>
      <c r="F36" s="14" t="s">
        <v>204</v>
      </c>
      <c r="G36" s="14" t="s">
        <v>261</v>
      </c>
      <c r="H36" s="14" t="s">
        <v>320</v>
      </c>
      <c r="I36" s="14"/>
      <c r="J36" s="14" t="s">
        <v>365</v>
      </c>
      <c r="K36" s="43" t="s">
        <v>359</v>
      </c>
      <c r="L36" s="14">
        <v>1</v>
      </c>
      <c r="M36" s="14">
        <f>L36*5</f>
        <v>5</v>
      </c>
      <c r="N36" s="14">
        <v>10</v>
      </c>
      <c r="O36" s="46" t="s">
        <v>465</v>
      </c>
      <c r="P36" s="15" t="s">
        <v>483</v>
      </c>
      <c r="Q36" s="15">
        <f>P36*N36</f>
        <v>8.0779999999999994</v>
      </c>
      <c r="R36" s="14"/>
    </row>
    <row r="37" spans="1:18">
      <c r="A37" s="1"/>
      <c r="B37" s="17">
        <f t="shared" si="0"/>
        <v>30</v>
      </c>
      <c r="C37" s="23" t="s">
        <v>12</v>
      </c>
      <c r="D37" s="20" t="s">
        <v>59</v>
      </c>
      <c r="E37" s="20" t="s">
        <v>138</v>
      </c>
      <c r="F37" s="20" t="s">
        <v>205</v>
      </c>
      <c r="G37" s="20" t="s">
        <v>262</v>
      </c>
      <c r="H37" s="20" t="s">
        <v>309</v>
      </c>
      <c r="I37" s="20"/>
      <c r="J37" s="20" t="s">
        <v>366</v>
      </c>
      <c r="K37" s="43" t="s">
        <v>359</v>
      </c>
      <c r="L37" s="20">
        <v>1</v>
      </c>
      <c r="M37" s="20">
        <f t="shared" ref="M37" si="27">L37*5</f>
        <v>5</v>
      </c>
      <c r="N37" s="20">
        <v>10</v>
      </c>
      <c r="O37" s="46" t="s">
        <v>465</v>
      </c>
      <c r="P37" s="15" t="s">
        <v>484</v>
      </c>
      <c r="Q37" s="21">
        <f t="shared" ref="Q37" si="28">P37*N37</f>
        <v>7.2999999999999995E-2</v>
      </c>
      <c r="R37" s="20"/>
    </row>
    <row r="38" spans="1:18">
      <c r="A38" s="1"/>
      <c r="B38" s="16">
        <f>ROW(B38) - ROW($B$7)</f>
        <v>31</v>
      </c>
      <c r="C38" s="22" t="s">
        <v>13</v>
      </c>
      <c r="D38" s="14" t="s">
        <v>60</v>
      </c>
      <c r="E38" s="14" t="s">
        <v>139</v>
      </c>
      <c r="F38" s="20" t="s">
        <v>456</v>
      </c>
      <c r="G38" s="14" t="s">
        <v>206</v>
      </c>
      <c r="H38" s="14" t="s">
        <v>321</v>
      </c>
      <c r="I38" s="14"/>
      <c r="J38" s="14" t="s">
        <v>367</v>
      </c>
      <c r="K38" s="43" t="s">
        <v>359</v>
      </c>
      <c r="L38" s="14">
        <v>1</v>
      </c>
      <c r="M38" s="14">
        <f>L38*5</f>
        <v>5</v>
      </c>
      <c r="N38" s="14">
        <v>6</v>
      </c>
      <c r="O38" s="46" t="s">
        <v>485</v>
      </c>
      <c r="P38" s="21">
        <v>1.0395000000000001</v>
      </c>
      <c r="Q38" s="15">
        <f>P38*N38</f>
        <v>6.2370000000000001</v>
      </c>
      <c r="R38" s="14"/>
    </row>
    <row r="39" spans="1:18" ht="48">
      <c r="A39" s="1"/>
      <c r="B39" s="17">
        <f t="shared" si="0"/>
        <v>32</v>
      </c>
      <c r="C39" s="23" t="s">
        <v>14</v>
      </c>
      <c r="D39" s="20" t="s">
        <v>61</v>
      </c>
      <c r="E39" s="20" t="s">
        <v>140</v>
      </c>
      <c r="F39" s="20" t="s">
        <v>456</v>
      </c>
      <c r="G39" s="20" t="s">
        <v>207</v>
      </c>
      <c r="H39" s="20" t="s">
        <v>322</v>
      </c>
      <c r="I39" s="20"/>
      <c r="J39" s="20" t="s">
        <v>368</v>
      </c>
      <c r="K39" s="43" t="s">
        <v>359</v>
      </c>
      <c r="L39" s="20">
        <v>1</v>
      </c>
      <c r="M39" s="20">
        <f t="shared" ref="M39" si="29">L39*5</f>
        <v>5</v>
      </c>
      <c r="N39" s="20">
        <v>10</v>
      </c>
      <c r="O39" s="46" t="s">
        <v>465</v>
      </c>
      <c r="P39" s="15" t="s">
        <v>486</v>
      </c>
      <c r="Q39" s="21">
        <f t="shared" ref="Q39" si="30">P39*N39</f>
        <v>2.6740000000000004</v>
      </c>
      <c r="R39" s="20"/>
    </row>
    <row r="40" spans="1:18" ht="48">
      <c r="A40" s="1"/>
      <c r="B40" s="16">
        <f>ROW(B40) - ROW($B$7)</f>
        <v>33</v>
      </c>
      <c r="C40" s="22" t="s">
        <v>15</v>
      </c>
      <c r="D40" s="14" t="s">
        <v>62</v>
      </c>
      <c r="E40" s="14" t="s">
        <v>141</v>
      </c>
      <c r="F40" s="14" t="s">
        <v>208</v>
      </c>
      <c r="G40" s="14" t="s">
        <v>263</v>
      </c>
      <c r="H40" s="14" t="s">
        <v>323</v>
      </c>
      <c r="I40" s="14"/>
      <c r="J40" s="14" t="s">
        <v>369</v>
      </c>
      <c r="K40" s="43" t="s">
        <v>359</v>
      </c>
      <c r="L40" s="14">
        <v>1</v>
      </c>
      <c r="M40" s="14">
        <f>L40*5</f>
        <v>5</v>
      </c>
      <c r="N40" s="14">
        <v>10</v>
      </c>
      <c r="O40" s="46" t="s">
        <v>465</v>
      </c>
      <c r="P40" s="21" t="s">
        <v>487</v>
      </c>
      <c r="Q40" s="15">
        <f>P40*N40</f>
        <v>0.4</v>
      </c>
      <c r="R40" s="14"/>
    </row>
    <row r="41" spans="1:18">
      <c r="A41" s="1"/>
      <c r="B41" s="17">
        <f t="shared" si="0"/>
        <v>34</v>
      </c>
      <c r="C41" s="23"/>
      <c r="D41" s="20" t="s">
        <v>63</v>
      </c>
      <c r="E41" s="20" t="s">
        <v>142</v>
      </c>
      <c r="F41" s="20" t="s">
        <v>456</v>
      </c>
      <c r="G41" s="20" t="s">
        <v>264</v>
      </c>
      <c r="H41" s="20" t="s">
        <v>324</v>
      </c>
      <c r="I41" s="20"/>
      <c r="J41" s="20" t="s">
        <v>359</v>
      </c>
      <c r="K41" s="43" t="s">
        <v>359</v>
      </c>
      <c r="L41" s="20">
        <v>1</v>
      </c>
      <c r="M41" s="20">
        <f t="shared" ref="M41" si="31">L41*5</f>
        <v>5</v>
      </c>
      <c r="N41" s="20">
        <v>1</v>
      </c>
      <c r="O41" s="47" t="s">
        <v>477</v>
      </c>
      <c r="P41" s="15">
        <v>84.874279999999999</v>
      </c>
      <c r="Q41" s="21">
        <f t="shared" ref="Q41" si="32">P41*N41</f>
        <v>84.874279999999999</v>
      </c>
      <c r="R41" s="20"/>
    </row>
    <row r="42" spans="1:18" ht="24">
      <c r="A42" s="1"/>
      <c r="B42" s="16">
        <f>ROW(B42) - ROW($B$7)</f>
        <v>35</v>
      </c>
      <c r="C42" s="22" t="s">
        <v>16</v>
      </c>
      <c r="D42" s="14" t="s">
        <v>64</v>
      </c>
      <c r="E42" s="14" t="s">
        <v>143</v>
      </c>
      <c r="F42" s="20" t="s">
        <v>456</v>
      </c>
      <c r="G42" s="14" t="s">
        <v>209</v>
      </c>
      <c r="H42" s="14" t="s">
        <v>325</v>
      </c>
      <c r="I42" s="14"/>
      <c r="J42" s="14" t="s">
        <v>370</v>
      </c>
      <c r="K42" s="43" t="s">
        <v>359</v>
      </c>
      <c r="L42" s="14">
        <v>1</v>
      </c>
      <c r="M42" s="14">
        <f>L42*5</f>
        <v>5</v>
      </c>
      <c r="N42" s="14">
        <v>6</v>
      </c>
      <c r="O42" s="47" t="s">
        <v>465</v>
      </c>
      <c r="P42" s="15">
        <v>0.58750000000000002</v>
      </c>
      <c r="Q42" s="15">
        <f>P42*N42</f>
        <v>3.5250000000000004</v>
      </c>
      <c r="R42" s="14"/>
    </row>
    <row r="43" spans="1:18" ht="48">
      <c r="A43" s="1"/>
      <c r="B43" s="17">
        <f t="shared" si="0"/>
        <v>36</v>
      </c>
      <c r="C43" s="23" t="s">
        <v>17</v>
      </c>
      <c r="D43" s="20" t="s">
        <v>65</v>
      </c>
      <c r="E43" s="20" t="s">
        <v>144</v>
      </c>
      <c r="F43" s="20" t="s">
        <v>456</v>
      </c>
      <c r="G43" s="20" t="s">
        <v>210</v>
      </c>
      <c r="H43" s="20" t="s">
        <v>326</v>
      </c>
      <c r="I43" s="20"/>
      <c r="J43" s="20" t="s">
        <v>371</v>
      </c>
      <c r="K43" s="43" t="s">
        <v>359</v>
      </c>
      <c r="L43" s="20">
        <v>1</v>
      </c>
      <c r="M43" s="20">
        <f t="shared" ref="M43" si="33">L43*5</f>
        <v>5</v>
      </c>
      <c r="N43" s="20">
        <v>10</v>
      </c>
      <c r="O43" s="47" t="s">
        <v>465</v>
      </c>
      <c r="P43" s="21">
        <v>0.15720000000000001</v>
      </c>
      <c r="Q43" s="21">
        <f t="shared" ref="Q43" si="34">P43*N43</f>
        <v>1.5720000000000001</v>
      </c>
      <c r="R43" s="20"/>
    </row>
    <row r="44" spans="1:18" ht="48">
      <c r="A44" s="1"/>
      <c r="B44" s="16">
        <f>ROW(B44) - ROW($B$7)</f>
        <v>37</v>
      </c>
      <c r="C44" s="22" t="s">
        <v>15</v>
      </c>
      <c r="D44" s="14" t="s">
        <v>66</v>
      </c>
      <c r="E44" s="14" t="s">
        <v>145</v>
      </c>
      <c r="F44" s="14" t="s">
        <v>211</v>
      </c>
      <c r="G44" s="14" t="s">
        <v>265</v>
      </c>
      <c r="H44" s="14" t="s">
        <v>323</v>
      </c>
      <c r="I44" s="14"/>
      <c r="J44" s="14" t="s">
        <v>372</v>
      </c>
      <c r="K44" s="43" t="s">
        <v>359</v>
      </c>
      <c r="L44" s="14">
        <v>2</v>
      </c>
      <c r="M44" s="14">
        <f>L44*5</f>
        <v>10</v>
      </c>
      <c r="N44" s="14">
        <v>15</v>
      </c>
      <c r="O44" s="46" t="s">
        <v>465</v>
      </c>
      <c r="P44" s="15" t="s">
        <v>488</v>
      </c>
      <c r="Q44" s="15">
        <f>P44*N44</f>
        <v>0.435</v>
      </c>
      <c r="R44" s="14"/>
    </row>
    <row r="45" spans="1:18" ht="48">
      <c r="A45" s="1"/>
      <c r="B45" s="17">
        <f t="shared" si="0"/>
        <v>38</v>
      </c>
      <c r="C45" s="23" t="s">
        <v>14</v>
      </c>
      <c r="D45" s="20" t="s">
        <v>67</v>
      </c>
      <c r="E45" s="20" t="s">
        <v>146</v>
      </c>
      <c r="F45" s="20" t="s">
        <v>456</v>
      </c>
      <c r="G45" s="20" t="s">
        <v>212</v>
      </c>
      <c r="H45" s="20" t="s">
        <v>322</v>
      </c>
      <c r="I45" s="20"/>
      <c r="J45" s="20" t="s">
        <v>373</v>
      </c>
      <c r="K45" s="43" t="s">
        <v>359</v>
      </c>
      <c r="L45" s="20">
        <v>4</v>
      </c>
      <c r="M45" s="20">
        <f t="shared" ref="M45" si="35">L45*5</f>
        <v>20</v>
      </c>
      <c r="N45" s="20">
        <v>25</v>
      </c>
      <c r="O45" s="46" t="s">
        <v>465</v>
      </c>
      <c r="P45" s="21">
        <v>0.37790000000000001</v>
      </c>
      <c r="Q45" s="21">
        <f t="shared" ref="Q45" si="36">P45*N45</f>
        <v>9.4474999999999998</v>
      </c>
      <c r="R45" s="20"/>
    </row>
    <row r="46" spans="1:18">
      <c r="A46" s="1"/>
      <c r="B46" s="16">
        <f>ROW(B46) - ROW($B$7)</f>
        <v>39</v>
      </c>
      <c r="C46" s="22" t="s">
        <v>18</v>
      </c>
      <c r="D46" s="14" t="s">
        <v>68</v>
      </c>
      <c r="E46" s="14" t="s">
        <v>147</v>
      </c>
      <c r="F46" s="20" t="s">
        <v>456</v>
      </c>
      <c r="G46" s="14" t="s">
        <v>213</v>
      </c>
      <c r="H46" s="14" t="s">
        <v>318</v>
      </c>
      <c r="I46" s="14"/>
      <c r="J46" s="14" t="s">
        <v>374</v>
      </c>
      <c r="K46" s="43" t="s">
        <v>431</v>
      </c>
      <c r="L46" s="14">
        <v>1</v>
      </c>
      <c r="M46" s="14">
        <f>L46*5</f>
        <v>5</v>
      </c>
      <c r="N46" s="14">
        <v>6</v>
      </c>
      <c r="O46" s="46" t="s">
        <v>465</v>
      </c>
      <c r="P46" s="15" t="s">
        <v>489</v>
      </c>
      <c r="Q46" s="15">
        <f>P46*N46</f>
        <v>4.4202000000000004</v>
      </c>
      <c r="R46" s="14"/>
    </row>
    <row r="47" spans="1:18" ht="24">
      <c r="A47" s="1"/>
      <c r="B47" s="17">
        <f t="shared" si="0"/>
        <v>40</v>
      </c>
      <c r="C47" s="23" t="s">
        <v>19</v>
      </c>
      <c r="D47" s="20" t="s">
        <v>69</v>
      </c>
      <c r="E47" s="20" t="s">
        <v>148</v>
      </c>
      <c r="F47" s="20" t="s">
        <v>214</v>
      </c>
      <c r="G47" s="20" t="s">
        <v>266</v>
      </c>
      <c r="H47" s="20" t="s">
        <v>327</v>
      </c>
      <c r="I47" s="20"/>
      <c r="J47" s="20" t="s">
        <v>375</v>
      </c>
      <c r="K47" s="42" t="s">
        <v>359</v>
      </c>
      <c r="L47" s="20">
        <v>8</v>
      </c>
      <c r="M47" s="20">
        <f t="shared" ref="M47" si="37">L47*5</f>
        <v>40</v>
      </c>
      <c r="N47" s="20">
        <v>60</v>
      </c>
      <c r="O47" s="46" t="s">
        <v>465</v>
      </c>
      <c r="P47" s="15" t="s">
        <v>490</v>
      </c>
      <c r="Q47" s="21">
        <f t="shared" ref="Q47" si="38">P47*N47</f>
        <v>1.3320000000000001</v>
      </c>
      <c r="R47" s="20"/>
    </row>
    <row r="48" spans="1:18" ht="24">
      <c r="A48" s="1"/>
      <c r="B48" s="16">
        <f>ROW(B48) - ROW($B$7)</f>
        <v>41</v>
      </c>
      <c r="C48" s="22" t="s">
        <v>19</v>
      </c>
      <c r="D48" s="14" t="s">
        <v>70</v>
      </c>
      <c r="E48" s="14" t="s">
        <v>149</v>
      </c>
      <c r="F48" s="14" t="s">
        <v>214</v>
      </c>
      <c r="G48" s="14" t="s">
        <v>267</v>
      </c>
      <c r="H48" s="14" t="s">
        <v>327</v>
      </c>
      <c r="I48" s="14"/>
      <c r="J48" s="14" t="s">
        <v>376</v>
      </c>
      <c r="K48" s="42" t="s">
        <v>359</v>
      </c>
      <c r="L48" s="14">
        <v>1</v>
      </c>
      <c r="M48" s="14">
        <f>L48*5</f>
        <v>5</v>
      </c>
      <c r="N48" s="14">
        <v>10</v>
      </c>
      <c r="O48" s="46" t="s">
        <v>465</v>
      </c>
      <c r="P48" s="15" t="s">
        <v>491</v>
      </c>
      <c r="Q48" s="15">
        <f>P48*N48</f>
        <v>0.21499999999999997</v>
      </c>
      <c r="R48" s="14"/>
    </row>
    <row r="49" spans="1:18">
      <c r="A49" s="1"/>
      <c r="B49" s="17">
        <f t="shared" si="0"/>
        <v>42</v>
      </c>
      <c r="C49" s="23" t="s">
        <v>20</v>
      </c>
      <c r="D49" s="20" t="s">
        <v>71</v>
      </c>
      <c r="E49" s="20" t="s">
        <v>150</v>
      </c>
      <c r="F49" s="20" t="s">
        <v>456</v>
      </c>
      <c r="G49" s="20" t="s">
        <v>215</v>
      </c>
      <c r="H49" s="20" t="s">
        <v>328</v>
      </c>
      <c r="I49" s="20"/>
      <c r="J49" s="20" t="s">
        <v>377</v>
      </c>
      <c r="K49" s="42" t="s">
        <v>359</v>
      </c>
      <c r="L49" s="20">
        <v>5</v>
      </c>
      <c r="M49" s="20">
        <f t="shared" ref="M49" si="39">L49*5</f>
        <v>25</v>
      </c>
      <c r="N49" s="20">
        <v>30</v>
      </c>
      <c r="O49" s="46" t="s">
        <v>465</v>
      </c>
      <c r="P49" s="21" t="s">
        <v>492</v>
      </c>
      <c r="Q49" s="21">
        <f t="shared" ref="Q49" si="40">P49*N49</f>
        <v>3.0990000000000002</v>
      </c>
      <c r="R49" s="20"/>
    </row>
    <row r="50" spans="1:18" ht="48">
      <c r="A50" s="1"/>
      <c r="B50" s="16">
        <f>ROW(B50) - ROW($B$7)</f>
        <v>43</v>
      </c>
      <c r="C50" s="22" t="s">
        <v>19</v>
      </c>
      <c r="D50" s="14" t="s">
        <v>72</v>
      </c>
      <c r="E50" s="14" t="s">
        <v>151</v>
      </c>
      <c r="F50" s="14" t="s">
        <v>214</v>
      </c>
      <c r="G50" s="14" t="s">
        <v>268</v>
      </c>
      <c r="H50" s="14" t="s">
        <v>329</v>
      </c>
      <c r="I50" s="14"/>
      <c r="J50" s="14" t="s">
        <v>378</v>
      </c>
      <c r="K50" s="42" t="s">
        <v>359</v>
      </c>
      <c r="L50" s="14">
        <v>4</v>
      </c>
      <c r="M50" s="14">
        <f>L50*5</f>
        <v>20</v>
      </c>
      <c r="N50" s="14">
        <v>40</v>
      </c>
      <c r="O50" s="46" t="s">
        <v>465</v>
      </c>
      <c r="P50" s="15">
        <v>2.3300000000000001E-2</v>
      </c>
      <c r="Q50" s="15">
        <f>P50*N50</f>
        <v>0.93200000000000005</v>
      </c>
      <c r="R50" s="14"/>
    </row>
    <row r="51" spans="1:18">
      <c r="A51" s="1"/>
      <c r="B51" s="17">
        <f t="shared" si="0"/>
        <v>44</v>
      </c>
      <c r="C51" s="23" t="s">
        <v>21</v>
      </c>
      <c r="D51" s="20" t="s">
        <v>73</v>
      </c>
      <c r="E51" s="20" t="s">
        <v>152</v>
      </c>
      <c r="F51" s="20" t="s">
        <v>216</v>
      </c>
      <c r="G51" s="20" t="s">
        <v>269</v>
      </c>
      <c r="H51" s="20" t="s">
        <v>330</v>
      </c>
      <c r="I51" s="20"/>
      <c r="J51" s="20" t="s">
        <v>379</v>
      </c>
      <c r="K51" s="42" t="s">
        <v>359</v>
      </c>
      <c r="L51" s="20">
        <v>1</v>
      </c>
      <c r="M51" s="20">
        <f t="shared" ref="M51" si="41">L51*5</f>
        <v>5</v>
      </c>
      <c r="N51" s="20">
        <v>6</v>
      </c>
      <c r="O51" s="46" t="s">
        <v>465</v>
      </c>
      <c r="P51" s="21">
        <v>2.867</v>
      </c>
      <c r="Q51" s="21">
        <f t="shared" ref="Q51" si="42">P51*N51</f>
        <v>17.201999999999998</v>
      </c>
      <c r="R51" s="20"/>
    </row>
    <row r="52" spans="1:18">
      <c r="A52" s="1"/>
      <c r="B52" s="16">
        <f>ROW(B52) - ROW($B$7)</f>
        <v>45</v>
      </c>
      <c r="C52" s="22" t="s">
        <v>22</v>
      </c>
      <c r="D52" s="14" t="s">
        <v>74</v>
      </c>
      <c r="E52" s="14" t="s">
        <v>153</v>
      </c>
      <c r="F52" s="14" t="s">
        <v>217</v>
      </c>
      <c r="G52" s="14" t="s">
        <v>270</v>
      </c>
      <c r="H52" s="14" t="s">
        <v>319</v>
      </c>
      <c r="I52" s="14"/>
      <c r="J52" s="14" t="s">
        <v>380</v>
      </c>
      <c r="K52" s="42" t="s">
        <v>359</v>
      </c>
      <c r="L52" s="14">
        <v>1</v>
      </c>
      <c r="M52" s="14">
        <f>L52*5</f>
        <v>5</v>
      </c>
      <c r="N52" s="14">
        <v>40</v>
      </c>
      <c r="O52" s="46" t="s">
        <v>465</v>
      </c>
      <c r="P52" s="21" t="s">
        <v>493</v>
      </c>
      <c r="Q52" s="15">
        <f>P52*N52</f>
        <v>1.06</v>
      </c>
      <c r="R52" s="14"/>
    </row>
    <row r="53" spans="1:18" ht="24">
      <c r="A53" s="1"/>
      <c r="B53" s="17">
        <f t="shared" si="0"/>
        <v>46</v>
      </c>
      <c r="C53" s="23" t="s">
        <v>23</v>
      </c>
      <c r="D53" s="20" t="s">
        <v>75</v>
      </c>
      <c r="E53" s="20" t="s">
        <v>154</v>
      </c>
      <c r="F53" s="20" t="s">
        <v>203</v>
      </c>
      <c r="G53" s="20" t="s">
        <v>271</v>
      </c>
      <c r="H53" s="20" t="s">
        <v>331</v>
      </c>
      <c r="I53" s="20"/>
      <c r="J53" s="20" t="s">
        <v>381</v>
      </c>
      <c r="K53" s="42" t="s">
        <v>359</v>
      </c>
      <c r="L53" s="20">
        <v>1</v>
      </c>
      <c r="M53" s="20">
        <f t="shared" ref="M53:M54" si="43">L53*5</f>
        <v>5</v>
      </c>
      <c r="N53" s="20">
        <v>20</v>
      </c>
      <c r="O53" s="46" t="s">
        <v>465</v>
      </c>
      <c r="P53" s="15" t="s">
        <v>494</v>
      </c>
      <c r="Q53" s="21">
        <f t="shared" ref="Q53:Q54" si="44">P53*N53</f>
        <v>0.14000000000000001</v>
      </c>
      <c r="R53" s="20"/>
    </row>
    <row r="54" spans="1:18">
      <c r="A54" s="1"/>
      <c r="B54" s="16">
        <f>ROW(B54) - ROW($B$7)</f>
        <v>47</v>
      </c>
      <c r="C54" s="22" t="s">
        <v>24</v>
      </c>
      <c r="D54" s="20" t="s">
        <v>508</v>
      </c>
      <c r="E54" s="20" t="s">
        <v>157</v>
      </c>
      <c r="F54" s="20" t="s">
        <v>219</v>
      </c>
      <c r="G54" s="20" t="s">
        <v>274</v>
      </c>
      <c r="H54" s="20" t="s">
        <v>308</v>
      </c>
      <c r="I54" s="20"/>
      <c r="J54" s="20" t="s">
        <v>384</v>
      </c>
      <c r="K54" s="42" t="s">
        <v>432</v>
      </c>
      <c r="L54" s="20">
        <v>3</v>
      </c>
      <c r="M54" s="20">
        <f t="shared" si="43"/>
        <v>15</v>
      </c>
      <c r="N54" s="14">
        <v>100</v>
      </c>
      <c r="O54" s="46" t="s">
        <v>465</v>
      </c>
      <c r="P54" s="21" t="s">
        <v>498</v>
      </c>
      <c r="Q54" s="21">
        <f t="shared" si="44"/>
        <v>1.79</v>
      </c>
      <c r="R54" s="14"/>
    </row>
    <row r="55" spans="1:18">
      <c r="A55" s="1"/>
      <c r="B55" s="17">
        <f t="shared" si="0"/>
        <v>48</v>
      </c>
      <c r="C55" s="23" t="s">
        <v>24</v>
      </c>
      <c r="D55" s="20" t="s">
        <v>76</v>
      </c>
      <c r="E55" s="20" t="s">
        <v>155</v>
      </c>
      <c r="F55" s="20" t="s">
        <v>219</v>
      </c>
      <c r="G55" s="20" t="s">
        <v>272</v>
      </c>
      <c r="H55" s="20" t="s">
        <v>308</v>
      </c>
      <c r="I55" s="20"/>
      <c r="J55" s="20" t="s">
        <v>382</v>
      </c>
      <c r="K55" s="42" t="s">
        <v>433</v>
      </c>
      <c r="L55" s="20">
        <v>1</v>
      </c>
      <c r="M55" s="20">
        <f t="shared" ref="M55" si="45">L55*5</f>
        <v>5</v>
      </c>
      <c r="N55" s="20">
        <v>100</v>
      </c>
      <c r="O55" s="46" t="s">
        <v>465</v>
      </c>
      <c r="P55" s="15" t="s">
        <v>496</v>
      </c>
      <c r="Q55" s="21">
        <f t="shared" ref="Q55" si="46">P55*N55</f>
        <v>0.06</v>
      </c>
      <c r="R55" s="20"/>
    </row>
    <row r="56" spans="1:18">
      <c r="A56" s="1"/>
      <c r="B56" s="16">
        <f>ROW(B56) - ROW($B$7)</f>
        <v>49</v>
      </c>
      <c r="C56" s="22" t="s">
        <v>24</v>
      </c>
      <c r="D56" s="14" t="s">
        <v>77</v>
      </c>
      <c r="E56" s="14" t="s">
        <v>156</v>
      </c>
      <c r="F56" s="14" t="s">
        <v>218</v>
      </c>
      <c r="G56" s="14" t="s">
        <v>273</v>
      </c>
      <c r="H56" s="14" t="s">
        <v>308</v>
      </c>
      <c r="I56" s="14"/>
      <c r="J56" s="14" t="s">
        <v>383</v>
      </c>
      <c r="K56" s="43" t="s">
        <v>434</v>
      </c>
      <c r="L56" s="14">
        <v>1</v>
      </c>
      <c r="M56" s="14">
        <f>L56*5</f>
        <v>5</v>
      </c>
      <c r="N56" s="14">
        <v>20</v>
      </c>
      <c r="O56" s="46" t="s">
        <v>465</v>
      </c>
      <c r="P56" s="21" t="s">
        <v>495</v>
      </c>
      <c r="Q56" s="15">
        <f>P56*N56</f>
        <v>0.72199999999999998</v>
      </c>
      <c r="R56" s="14"/>
    </row>
    <row r="57" spans="1:18">
      <c r="A57" s="1"/>
      <c r="B57" s="16">
        <f>ROW(B57) - ROW($B$7)</f>
        <v>50</v>
      </c>
      <c r="C57" s="22" t="s">
        <v>25</v>
      </c>
      <c r="D57" s="14" t="s">
        <v>78</v>
      </c>
      <c r="E57" s="14" t="s">
        <v>158</v>
      </c>
      <c r="F57" s="14" t="s">
        <v>218</v>
      </c>
      <c r="G57" s="14" t="s">
        <v>275</v>
      </c>
      <c r="H57" s="14" t="s">
        <v>308</v>
      </c>
      <c r="I57" s="14"/>
      <c r="J57" s="14" t="s">
        <v>385</v>
      </c>
      <c r="K57" s="43" t="s">
        <v>435</v>
      </c>
      <c r="L57" s="14">
        <v>1</v>
      </c>
      <c r="M57" s="14">
        <f>L57*5</f>
        <v>5</v>
      </c>
      <c r="N57" s="14">
        <v>20</v>
      </c>
      <c r="O57" s="46" t="s">
        <v>465</v>
      </c>
      <c r="P57" s="15" t="s">
        <v>497</v>
      </c>
      <c r="Q57" s="15">
        <f>P57*N57</f>
        <v>0.68199999999999994</v>
      </c>
      <c r="R57" s="14"/>
    </row>
    <row r="58" spans="1:18">
      <c r="A58" s="1"/>
      <c r="B58" s="17">
        <f t="shared" si="0"/>
        <v>51</v>
      </c>
      <c r="C58" s="23" t="s">
        <v>25</v>
      </c>
      <c r="D58" s="20" t="s">
        <v>79</v>
      </c>
      <c r="E58" s="20" t="s">
        <v>159</v>
      </c>
      <c r="F58" s="20" t="s">
        <v>219</v>
      </c>
      <c r="G58" s="20" t="s">
        <v>276</v>
      </c>
      <c r="H58" s="20" t="s">
        <v>308</v>
      </c>
      <c r="I58" s="20"/>
      <c r="J58" s="20" t="s">
        <v>386</v>
      </c>
      <c r="K58" s="42" t="s">
        <v>436</v>
      </c>
      <c r="L58" s="20">
        <v>1</v>
      </c>
      <c r="M58" s="20">
        <f t="shared" ref="M58" si="47">L58*5</f>
        <v>5</v>
      </c>
      <c r="N58" s="20" t="s">
        <v>500</v>
      </c>
      <c r="O58" s="46" t="s">
        <v>465</v>
      </c>
      <c r="P58" s="21" t="s">
        <v>498</v>
      </c>
      <c r="Q58" s="21">
        <f t="shared" ref="Q58" si="48">P58*N58</f>
        <v>0.89500000000000002</v>
      </c>
      <c r="R58" s="20"/>
    </row>
    <row r="59" spans="1:18">
      <c r="A59" s="1"/>
      <c r="B59" s="16">
        <f>ROW(B59) - ROW($B$7)</f>
        <v>52</v>
      </c>
      <c r="C59" s="22"/>
      <c r="D59" s="14" t="s">
        <v>80</v>
      </c>
      <c r="E59" s="14" t="s">
        <v>160</v>
      </c>
      <c r="F59" s="14" t="s">
        <v>219</v>
      </c>
      <c r="G59" s="14" t="s">
        <v>277</v>
      </c>
      <c r="H59" s="14" t="s">
        <v>308</v>
      </c>
      <c r="I59" s="14"/>
      <c r="J59" s="14" t="s">
        <v>387</v>
      </c>
      <c r="K59" s="43" t="s">
        <v>437</v>
      </c>
      <c r="L59" s="14">
        <v>1</v>
      </c>
      <c r="M59" s="14">
        <f>L59*5</f>
        <v>5</v>
      </c>
      <c r="N59" s="14" t="s">
        <v>501</v>
      </c>
      <c r="O59" s="46" t="s">
        <v>465</v>
      </c>
      <c r="P59" s="15" t="s">
        <v>499</v>
      </c>
      <c r="Q59" s="15">
        <f>P59*N59</f>
        <v>6.9999999999999993E-2</v>
      </c>
      <c r="R59" s="14"/>
    </row>
    <row r="60" spans="1:18">
      <c r="A60" s="1"/>
      <c r="B60" s="17">
        <f t="shared" si="0"/>
        <v>53</v>
      </c>
      <c r="C60" s="23" t="s">
        <v>25</v>
      </c>
      <c r="D60" s="20" t="s">
        <v>81</v>
      </c>
      <c r="E60" s="20" t="s">
        <v>161</v>
      </c>
      <c r="F60" s="20" t="s">
        <v>219</v>
      </c>
      <c r="G60" s="20" t="s">
        <v>278</v>
      </c>
      <c r="H60" s="20" t="s">
        <v>308</v>
      </c>
      <c r="I60" s="20"/>
      <c r="J60" s="20" t="s">
        <v>388</v>
      </c>
      <c r="K60" s="42" t="s">
        <v>438</v>
      </c>
      <c r="L60" s="20">
        <v>3</v>
      </c>
      <c r="M60" s="20">
        <f t="shared" ref="M60" si="49">L60*5</f>
        <v>15</v>
      </c>
      <c r="N60" s="20" t="s">
        <v>501</v>
      </c>
      <c r="O60" s="46" t="s">
        <v>465</v>
      </c>
      <c r="P60" s="21" t="s">
        <v>496</v>
      </c>
      <c r="Q60" s="21">
        <f t="shared" ref="Q60" si="50">P60*N60</f>
        <v>0.06</v>
      </c>
      <c r="R60" s="20"/>
    </row>
    <row r="61" spans="1:18" ht="120">
      <c r="A61" s="1"/>
      <c r="B61" s="16">
        <f>ROW(B61) - ROW($B$7)</f>
        <v>54</v>
      </c>
      <c r="C61" s="22" t="s">
        <v>25</v>
      </c>
      <c r="D61" s="14" t="s">
        <v>82</v>
      </c>
      <c r="E61" s="14" t="s">
        <v>162</v>
      </c>
      <c r="F61" s="14" t="s">
        <v>219</v>
      </c>
      <c r="G61" s="14" t="s">
        <v>279</v>
      </c>
      <c r="H61" s="14" t="s">
        <v>308</v>
      </c>
      <c r="I61" s="14"/>
      <c r="J61" s="14" t="s">
        <v>389</v>
      </c>
      <c r="K61" s="43" t="s">
        <v>439</v>
      </c>
      <c r="L61" s="14">
        <v>67</v>
      </c>
      <c r="M61" s="14">
        <f>L61*5</f>
        <v>335</v>
      </c>
      <c r="N61" s="14">
        <v>400</v>
      </c>
      <c r="O61" s="46" t="s">
        <v>465</v>
      </c>
      <c r="P61" s="15">
        <v>5.9999999999999995E-4</v>
      </c>
      <c r="Q61" s="15">
        <f>P61*N61</f>
        <v>0.24</v>
      </c>
      <c r="R61" s="14"/>
    </row>
    <row r="62" spans="1:18" ht="24">
      <c r="A62" s="1"/>
      <c r="B62" s="17">
        <f t="shared" si="0"/>
        <v>55</v>
      </c>
      <c r="C62" s="23" t="s">
        <v>24</v>
      </c>
      <c r="D62" s="20" t="s">
        <v>83</v>
      </c>
      <c r="E62" s="20" t="s">
        <v>163</v>
      </c>
      <c r="F62" s="20" t="s">
        <v>219</v>
      </c>
      <c r="G62" s="20" t="s">
        <v>280</v>
      </c>
      <c r="H62" s="20" t="s">
        <v>308</v>
      </c>
      <c r="I62" s="20"/>
      <c r="J62" s="20" t="s">
        <v>390</v>
      </c>
      <c r="K62" s="42" t="s">
        <v>440</v>
      </c>
      <c r="L62" s="20">
        <v>14</v>
      </c>
      <c r="M62" s="20">
        <f t="shared" ref="M62" si="51">L62*5</f>
        <v>70</v>
      </c>
      <c r="N62" s="20">
        <v>100</v>
      </c>
      <c r="O62" s="46" t="s">
        <v>465</v>
      </c>
      <c r="P62" s="21">
        <v>5.9999999999999995E-4</v>
      </c>
      <c r="Q62" s="21">
        <f t="shared" ref="Q62" si="52">P62*N62</f>
        <v>0.06</v>
      </c>
      <c r="R62" s="20"/>
    </row>
    <row r="63" spans="1:18">
      <c r="A63" s="1"/>
      <c r="B63" s="16">
        <f>ROW(B63) - ROW($B$7)</f>
        <v>56</v>
      </c>
      <c r="C63" s="22" t="s">
        <v>24</v>
      </c>
      <c r="D63" s="14" t="s">
        <v>84</v>
      </c>
      <c r="E63" s="14" t="s">
        <v>164</v>
      </c>
      <c r="F63" s="14" t="s">
        <v>219</v>
      </c>
      <c r="G63" s="14" t="s">
        <v>281</v>
      </c>
      <c r="H63" s="14" t="s">
        <v>308</v>
      </c>
      <c r="I63" s="14"/>
      <c r="J63" s="14" t="s">
        <v>391</v>
      </c>
      <c r="K63" s="43" t="s">
        <v>441</v>
      </c>
      <c r="L63" s="14">
        <v>5</v>
      </c>
      <c r="M63" s="14">
        <f>L63*5</f>
        <v>25</v>
      </c>
      <c r="N63" s="14">
        <v>100</v>
      </c>
      <c r="O63" s="46" t="s">
        <v>465</v>
      </c>
      <c r="P63" s="21" t="s">
        <v>496</v>
      </c>
      <c r="Q63" s="15">
        <f>P63*N63</f>
        <v>0.06</v>
      </c>
      <c r="R63" s="14"/>
    </row>
    <row r="64" spans="1:18">
      <c r="A64" s="1"/>
      <c r="B64" s="17">
        <f t="shared" si="0"/>
        <v>57</v>
      </c>
      <c r="C64" s="23" t="s">
        <v>24</v>
      </c>
      <c r="D64" s="20" t="s">
        <v>85</v>
      </c>
      <c r="E64" s="20" t="s">
        <v>165</v>
      </c>
      <c r="F64" s="20" t="s">
        <v>219</v>
      </c>
      <c r="G64" s="20" t="s">
        <v>282</v>
      </c>
      <c r="H64" s="20" t="s">
        <v>308</v>
      </c>
      <c r="I64" s="20"/>
      <c r="J64" s="20" t="s">
        <v>392</v>
      </c>
      <c r="K64" s="42" t="s">
        <v>442</v>
      </c>
      <c r="L64" s="20">
        <v>3</v>
      </c>
      <c r="M64" s="20">
        <f t="shared" ref="M64" si="53">L64*5</f>
        <v>15</v>
      </c>
      <c r="N64" s="20">
        <v>100</v>
      </c>
      <c r="O64" s="46" t="s">
        <v>465</v>
      </c>
      <c r="P64" s="15" t="s">
        <v>496</v>
      </c>
      <c r="Q64" s="21">
        <f t="shared" ref="Q64" si="54">P64*N64</f>
        <v>0.06</v>
      </c>
      <c r="R64" s="20"/>
    </row>
    <row r="65" spans="1:18">
      <c r="A65" s="1"/>
      <c r="B65" s="16">
        <f>ROW(B65) - ROW($B$7)</f>
        <v>58</v>
      </c>
      <c r="C65" s="22" t="s">
        <v>24</v>
      </c>
      <c r="D65" s="14" t="s">
        <v>86</v>
      </c>
      <c r="E65" s="14" t="s">
        <v>166</v>
      </c>
      <c r="F65" s="14" t="s">
        <v>219</v>
      </c>
      <c r="G65" s="14" t="s">
        <v>283</v>
      </c>
      <c r="H65" s="14" t="s">
        <v>308</v>
      </c>
      <c r="I65" s="14"/>
      <c r="J65" s="14" t="s">
        <v>393</v>
      </c>
      <c r="K65" s="43" t="s">
        <v>443</v>
      </c>
      <c r="L65" s="14">
        <v>3</v>
      </c>
      <c r="M65" s="14">
        <f>L65*5</f>
        <v>15</v>
      </c>
      <c r="N65" s="14" t="s">
        <v>501</v>
      </c>
      <c r="O65" s="46" t="s">
        <v>465</v>
      </c>
      <c r="P65" s="15" t="s">
        <v>496</v>
      </c>
      <c r="Q65" s="15">
        <f>P65*N65</f>
        <v>0.06</v>
      </c>
      <c r="R65" s="14"/>
    </row>
    <row r="66" spans="1:18">
      <c r="A66" s="1"/>
      <c r="B66" s="17">
        <f t="shared" si="0"/>
        <v>59</v>
      </c>
      <c r="C66" s="23" t="s">
        <v>24</v>
      </c>
      <c r="D66" s="20" t="s">
        <v>87</v>
      </c>
      <c r="E66" s="20" t="s">
        <v>167</v>
      </c>
      <c r="F66" s="20" t="s">
        <v>219</v>
      </c>
      <c r="G66" s="20" t="s">
        <v>284</v>
      </c>
      <c r="H66" s="20" t="s">
        <v>308</v>
      </c>
      <c r="I66" s="20"/>
      <c r="J66" s="20" t="s">
        <v>394</v>
      </c>
      <c r="K66" s="42" t="s">
        <v>444</v>
      </c>
      <c r="L66" s="20">
        <v>1</v>
      </c>
      <c r="M66" s="20">
        <f t="shared" ref="M66" si="55">L66*5</f>
        <v>5</v>
      </c>
      <c r="N66" s="20">
        <v>100</v>
      </c>
      <c r="O66" s="48" t="s">
        <v>465</v>
      </c>
      <c r="P66" s="21">
        <v>6.9999999999999999E-4</v>
      </c>
      <c r="Q66" s="21">
        <f t="shared" ref="Q66" si="56">P66*N66</f>
        <v>6.9999999999999993E-2</v>
      </c>
      <c r="R66" s="20"/>
    </row>
    <row r="67" spans="1:18">
      <c r="A67" s="1"/>
      <c r="B67" s="16">
        <f>ROW(B67) - ROW($B$7)</f>
        <v>60</v>
      </c>
      <c r="C67" s="22" t="s">
        <v>24</v>
      </c>
      <c r="D67" s="14" t="s">
        <v>88</v>
      </c>
      <c r="E67" s="14" t="s">
        <v>168</v>
      </c>
      <c r="F67" s="14" t="s">
        <v>219</v>
      </c>
      <c r="G67" s="14" t="s">
        <v>285</v>
      </c>
      <c r="H67" s="14" t="s">
        <v>308</v>
      </c>
      <c r="I67" s="14"/>
      <c r="J67" s="14" t="s">
        <v>395</v>
      </c>
      <c r="K67" s="43" t="s">
        <v>445</v>
      </c>
      <c r="L67" s="14">
        <v>1</v>
      </c>
      <c r="M67" s="14">
        <f>L67*5</f>
        <v>5</v>
      </c>
      <c r="N67" s="14">
        <v>100</v>
      </c>
      <c r="O67" s="48" t="s">
        <v>465</v>
      </c>
      <c r="P67" s="15">
        <v>6.9999999999999999E-4</v>
      </c>
      <c r="Q67" s="15">
        <f>P67*N67</f>
        <v>6.9999999999999993E-2</v>
      </c>
      <c r="R67" s="14"/>
    </row>
    <row r="68" spans="1:18">
      <c r="A68" s="1"/>
      <c r="B68" s="17">
        <f t="shared" si="0"/>
        <v>61</v>
      </c>
      <c r="C68" s="23" t="s">
        <v>24</v>
      </c>
      <c r="D68" s="20" t="s">
        <v>89</v>
      </c>
      <c r="E68" s="20" t="s">
        <v>169</v>
      </c>
      <c r="F68" s="20" t="s">
        <v>219</v>
      </c>
      <c r="G68" s="20" t="s">
        <v>286</v>
      </c>
      <c r="H68" s="20" t="s">
        <v>308</v>
      </c>
      <c r="I68" s="20"/>
      <c r="J68" s="20" t="s">
        <v>396</v>
      </c>
      <c r="K68" s="42" t="s">
        <v>446</v>
      </c>
      <c r="L68" s="20">
        <v>2</v>
      </c>
      <c r="M68" s="20">
        <f t="shared" ref="M68" si="57">L68*5</f>
        <v>10</v>
      </c>
      <c r="N68" s="20">
        <v>100</v>
      </c>
      <c r="O68" s="46" t="s">
        <v>465</v>
      </c>
      <c r="P68" s="21" t="s">
        <v>496</v>
      </c>
      <c r="Q68" s="21">
        <f t="shared" ref="Q68" si="58">P68*N68</f>
        <v>0.06</v>
      </c>
      <c r="R68" s="20"/>
    </row>
    <row r="69" spans="1:18">
      <c r="A69" s="1"/>
      <c r="B69" s="16">
        <f>ROW(B69) - ROW($B$7)</f>
        <v>62</v>
      </c>
      <c r="C69" s="22" t="s">
        <v>24</v>
      </c>
      <c r="D69" s="14" t="s">
        <v>90</v>
      </c>
      <c r="E69" s="14" t="s">
        <v>170</v>
      </c>
      <c r="F69" s="14" t="s">
        <v>220</v>
      </c>
      <c r="G69" s="14" t="s">
        <v>287</v>
      </c>
      <c r="H69" s="14" t="s">
        <v>308</v>
      </c>
      <c r="I69" s="14"/>
      <c r="J69" s="14" t="s">
        <v>397</v>
      </c>
      <c r="K69" s="43" t="s">
        <v>447</v>
      </c>
      <c r="L69" s="14">
        <v>2</v>
      </c>
      <c r="M69" s="14">
        <f>L69*5</f>
        <v>10</v>
      </c>
      <c r="N69" s="14">
        <v>100</v>
      </c>
      <c r="O69" s="46" t="s">
        <v>465</v>
      </c>
      <c r="P69" s="15" t="s">
        <v>502</v>
      </c>
      <c r="Q69" s="15">
        <f>P69*N69</f>
        <v>0.12</v>
      </c>
      <c r="R69" s="14"/>
    </row>
    <row r="70" spans="1:18" ht="48">
      <c r="A70" s="1"/>
      <c r="B70" s="17">
        <f t="shared" si="0"/>
        <v>63</v>
      </c>
      <c r="C70" s="23" t="s">
        <v>26</v>
      </c>
      <c r="D70" s="20" t="s">
        <v>91</v>
      </c>
      <c r="E70" s="20" t="s">
        <v>171</v>
      </c>
      <c r="F70" s="20" t="s">
        <v>221</v>
      </c>
      <c r="G70" s="20" t="s">
        <v>288</v>
      </c>
      <c r="H70" s="20" t="s">
        <v>332</v>
      </c>
      <c r="I70" s="20"/>
      <c r="J70" s="20" t="s">
        <v>398</v>
      </c>
      <c r="K70" s="42" t="s">
        <v>448</v>
      </c>
      <c r="L70" s="20">
        <v>8</v>
      </c>
      <c r="M70" s="20">
        <f t="shared" ref="M70" si="59">L70*5</f>
        <v>40</v>
      </c>
      <c r="N70" s="20">
        <v>50</v>
      </c>
      <c r="O70" s="46" t="s">
        <v>465</v>
      </c>
      <c r="P70" s="21">
        <v>6.25E-2</v>
      </c>
      <c r="Q70" s="21">
        <f t="shared" ref="Q70" si="60">P70*N70</f>
        <v>3.125</v>
      </c>
      <c r="R70" s="20"/>
    </row>
    <row r="71" spans="1:18">
      <c r="A71" s="1"/>
      <c r="B71" s="16">
        <f>ROW(B71) - ROW($B$7)</f>
        <v>64</v>
      </c>
      <c r="C71" s="22" t="s">
        <v>24</v>
      </c>
      <c r="D71" s="14" t="s">
        <v>92</v>
      </c>
      <c r="E71" s="14" t="s">
        <v>172</v>
      </c>
      <c r="F71" s="14" t="s">
        <v>219</v>
      </c>
      <c r="G71" s="14" t="s">
        <v>289</v>
      </c>
      <c r="H71" s="14" t="s">
        <v>308</v>
      </c>
      <c r="I71" s="14"/>
      <c r="J71" s="14" t="s">
        <v>399</v>
      </c>
      <c r="K71" s="43" t="s">
        <v>449</v>
      </c>
      <c r="L71" s="14">
        <v>4</v>
      </c>
      <c r="M71" s="14">
        <f>L71*5</f>
        <v>20</v>
      </c>
      <c r="N71" s="14">
        <v>100</v>
      </c>
      <c r="O71" s="46" t="s">
        <v>465</v>
      </c>
      <c r="P71" s="15">
        <v>6.9999999999999999E-4</v>
      </c>
      <c r="Q71" s="15">
        <f>P71*N71</f>
        <v>6.9999999999999993E-2</v>
      </c>
      <c r="R71" s="14"/>
    </row>
    <row r="72" spans="1:18" ht="24">
      <c r="A72" s="1"/>
      <c r="B72" s="17">
        <f t="shared" si="0"/>
        <v>65</v>
      </c>
      <c r="C72" s="23"/>
      <c r="D72" s="20" t="s">
        <v>93</v>
      </c>
      <c r="E72" s="20" t="s">
        <v>173</v>
      </c>
      <c r="F72" s="20" t="s">
        <v>219</v>
      </c>
      <c r="G72" s="20" t="s">
        <v>290</v>
      </c>
      <c r="H72" s="20" t="s">
        <v>308</v>
      </c>
      <c r="I72" s="20"/>
      <c r="J72" s="20" t="s">
        <v>400</v>
      </c>
      <c r="K72" s="42" t="s">
        <v>450</v>
      </c>
      <c r="L72" s="20">
        <v>8</v>
      </c>
      <c r="M72" s="20">
        <f t="shared" ref="M72" si="61">L72*5</f>
        <v>40</v>
      </c>
      <c r="N72" s="20">
        <v>100</v>
      </c>
      <c r="O72" s="46" t="s">
        <v>465</v>
      </c>
      <c r="P72" s="21">
        <v>6.9999999999999999E-4</v>
      </c>
      <c r="Q72" s="21">
        <f t="shared" ref="Q72" si="62">P72*N72</f>
        <v>6.9999999999999993E-2</v>
      </c>
      <c r="R72" s="20"/>
    </row>
    <row r="73" spans="1:18">
      <c r="A73" s="1"/>
      <c r="B73" s="16">
        <f>ROW(B73) - ROW($B$7)</f>
        <v>66</v>
      </c>
      <c r="C73" s="22" t="s">
        <v>27</v>
      </c>
      <c r="D73" s="14" t="s">
        <v>94</v>
      </c>
      <c r="E73" s="14" t="s">
        <v>174</v>
      </c>
      <c r="F73" s="20" t="s">
        <v>456</v>
      </c>
      <c r="G73" s="14" t="s">
        <v>222</v>
      </c>
      <c r="H73" s="14" t="s">
        <v>333</v>
      </c>
      <c r="I73" s="14"/>
      <c r="J73" s="14" t="s">
        <v>401</v>
      </c>
      <c r="K73" s="43" t="s">
        <v>359</v>
      </c>
      <c r="L73" s="14">
        <v>2</v>
      </c>
      <c r="M73" s="14">
        <f>L73*5</f>
        <v>10</v>
      </c>
      <c r="N73" s="14">
        <v>15</v>
      </c>
      <c r="O73" s="46" t="s">
        <v>465</v>
      </c>
      <c r="P73" s="15">
        <v>0.13730000000000001</v>
      </c>
      <c r="Q73" s="15">
        <f>P73*N73</f>
        <v>2.0594999999999999</v>
      </c>
      <c r="R73" s="14"/>
    </row>
    <row r="74" spans="1:18" ht="36">
      <c r="A74" s="1"/>
      <c r="B74" s="17">
        <f t="shared" si="0"/>
        <v>67</v>
      </c>
      <c r="C74" s="23" t="s">
        <v>28</v>
      </c>
      <c r="D74" s="20" t="s">
        <v>95</v>
      </c>
      <c r="E74" s="20" t="s">
        <v>175</v>
      </c>
      <c r="F74" s="20" t="s">
        <v>456</v>
      </c>
      <c r="G74" s="20" t="s">
        <v>223</v>
      </c>
      <c r="H74" s="20" t="s">
        <v>334</v>
      </c>
      <c r="I74" s="20"/>
      <c r="J74" s="20" t="s">
        <v>402</v>
      </c>
      <c r="K74" s="43" t="s">
        <v>359</v>
      </c>
      <c r="L74" s="20">
        <v>1</v>
      </c>
      <c r="M74" s="20">
        <f t="shared" ref="M74" si="63">L74*5</f>
        <v>5</v>
      </c>
      <c r="N74" s="20">
        <v>6</v>
      </c>
      <c r="O74" s="46" t="s">
        <v>465</v>
      </c>
      <c r="P74" s="15" t="s">
        <v>503</v>
      </c>
      <c r="Q74" s="21">
        <f t="shared" ref="Q74" si="64">P74*N74</f>
        <v>1.6787999999999998</v>
      </c>
      <c r="R74" s="20"/>
    </row>
    <row r="75" spans="1:18" ht="24">
      <c r="A75" s="1"/>
      <c r="B75" s="16">
        <f>ROW(B75) - ROW($B$7)</f>
        <v>68</v>
      </c>
      <c r="C75" s="22" t="s">
        <v>29</v>
      </c>
      <c r="D75" s="14" t="s">
        <v>96</v>
      </c>
      <c r="E75" s="14" t="s">
        <v>176</v>
      </c>
      <c r="F75" s="14" t="s">
        <v>224</v>
      </c>
      <c r="G75" s="14" t="s">
        <v>291</v>
      </c>
      <c r="H75" s="14" t="s">
        <v>330</v>
      </c>
      <c r="I75" s="14"/>
      <c r="J75" s="14" t="s">
        <v>403</v>
      </c>
      <c r="K75" s="43" t="s">
        <v>359</v>
      </c>
      <c r="L75" s="14">
        <v>1</v>
      </c>
      <c r="M75" s="14">
        <f>L75*5</f>
        <v>5</v>
      </c>
      <c r="N75" s="14">
        <v>6</v>
      </c>
      <c r="O75" s="46" t="s">
        <v>465</v>
      </c>
      <c r="P75" s="21" t="s">
        <v>504</v>
      </c>
      <c r="Q75" s="15">
        <f>P75*N75</f>
        <v>3.3684000000000003</v>
      </c>
      <c r="R75" s="14"/>
    </row>
    <row r="76" spans="1:18">
      <c r="A76" s="1"/>
      <c r="B76" s="17">
        <f t="shared" si="0"/>
        <v>69</v>
      </c>
      <c r="C76" s="23" t="s">
        <v>29</v>
      </c>
      <c r="D76" s="20" t="s">
        <v>97</v>
      </c>
      <c r="E76" s="20" t="s">
        <v>177</v>
      </c>
      <c r="F76" s="20" t="s">
        <v>225</v>
      </c>
      <c r="G76" s="20" t="s">
        <v>292</v>
      </c>
      <c r="H76" s="20" t="s">
        <v>330</v>
      </c>
      <c r="I76" s="20"/>
      <c r="J76" s="20" t="s">
        <v>359</v>
      </c>
      <c r="K76" s="43" t="s">
        <v>359</v>
      </c>
      <c r="L76" s="20">
        <v>1</v>
      </c>
      <c r="M76" s="20">
        <f t="shared" ref="M76" si="65">L76*5</f>
        <v>5</v>
      </c>
      <c r="N76" s="20">
        <v>6</v>
      </c>
      <c r="O76" s="46" t="s">
        <v>477</v>
      </c>
      <c r="P76" s="15">
        <v>17.25</v>
      </c>
      <c r="Q76" s="21">
        <f t="shared" ref="Q76" si="66">P76*N76</f>
        <v>103.5</v>
      </c>
      <c r="R76" s="20"/>
    </row>
    <row r="77" spans="1:18">
      <c r="A77" s="1"/>
      <c r="B77" s="16">
        <f>ROW(B77) - ROW($B$7)</f>
        <v>70</v>
      </c>
      <c r="C77" s="22" t="s">
        <v>29</v>
      </c>
      <c r="D77" s="14" t="s">
        <v>98</v>
      </c>
      <c r="E77" s="14" t="s">
        <v>178</v>
      </c>
      <c r="F77" s="14" t="s">
        <v>226</v>
      </c>
      <c r="G77" s="14" t="s">
        <v>293</v>
      </c>
      <c r="H77" s="14" t="s">
        <v>317</v>
      </c>
      <c r="I77" s="14"/>
      <c r="J77" s="14" t="s">
        <v>405</v>
      </c>
      <c r="K77" s="43" t="s">
        <v>359</v>
      </c>
      <c r="L77" s="14">
        <v>1</v>
      </c>
      <c r="M77" s="14">
        <f>L77*5</f>
        <v>5</v>
      </c>
      <c r="N77" s="14">
        <v>6</v>
      </c>
      <c r="O77" s="46" t="s">
        <v>485</v>
      </c>
      <c r="P77" s="21">
        <v>0.69020000000000004</v>
      </c>
      <c r="Q77" s="15">
        <f>P77*N77</f>
        <v>4.1412000000000004</v>
      </c>
      <c r="R77" s="14"/>
    </row>
    <row r="78" spans="1:18">
      <c r="A78" s="1"/>
      <c r="B78" s="17">
        <f t="shared" si="0"/>
        <v>71</v>
      </c>
      <c r="C78" s="23" t="s">
        <v>29</v>
      </c>
      <c r="D78" s="20" t="s">
        <v>99</v>
      </c>
      <c r="E78" s="20" t="s">
        <v>179</v>
      </c>
      <c r="F78" s="20" t="s">
        <v>227</v>
      </c>
      <c r="G78" s="20" t="s">
        <v>294</v>
      </c>
      <c r="H78" s="20" t="s">
        <v>317</v>
      </c>
      <c r="I78" s="20"/>
      <c r="J78" s="20" t="s">
        <v>406</v>
      </c>
      <c r="K78" s="43" t="s">
        <v>359</v>
      </c>
      <c r="L78" s="20">
        <v>1</v>
      </c>
      <c r="M78" s="20">
        <f t="shared" ref="M78" si="67">L78*5</f>
        <v>5</v>
      </c>
      <c r="N78" s="20">
        <v>6</v>
      </c>
      <c r="O78" s="46" t="s">
        <v>465</v>
      </c>
      <c r="P78" s="21">
        <v>4.3250999999999999</v>
      </c>
      <c r="Q78" s="21">
        <f t="shared" ref="Q78" si="68">P78*N78</f>
        <v>25.950600000000001</v>
      </c>
      <c r="R78" s="20"/>
    </row>
    <row r="79" spans="1:18">
      <c r="A79" s="1"/>
      <c r="B79" s="16">
        <f>ROW(B79) - ROW($B$7)</f>
        <v>72</v>
      </c>
      <c r="C79" s="22" t="s">
        <v>29</v>
      </c>
      <c r="D79" s="14" t="s">
        <v>100</v>
      </c>
      <c r="E79" s="14" t="s">
        <v>180</v>
      </c>
      <c r="F79" s="14" t="s">
        <v>228</v>
      </c>
      <c r="G79" s="14" t="s">
        <v>295</v>
      </c>
      <c r="H79" s="14" t="s">
        <v>335</v>
      </c>
      <c r="I79" s="14"/>
      <c r="J79" s="14" t="s">
        <v>407</v>
      </c>
      <c r="K79" s="43" t="s">
        <v>359</v>
      </c>
      <c r="L79" s="14">
        <v>1</v>
      </c>
      <c r="M79" s="14">
        <f>L79*5</f>
        <v>5</v>
      </c>
      <c r="N79" s="14">
        <v>6</v>
      </c>
      <c r="O79" s="46" t="s">
        <v>465</v>
      </c>
      <c r="P79" s="15">
        <v>1.5323</v>
      </c>
      <c r="Q79" s="15">
        <f>P79*N79</f>
        <v>9.1937999999999995</v>
      </c>
      <c r="R79" s="14"/>
    </row>
    <row r="80" spans="1:18">
      <c r="A80" s="1"/>
      <c r="B80" s="17">
        <f t="shared" si="0"/>
        <v>73</v>
      </c>
      <c r="C80" s="23" t="s">
        <v>29</v>
      </c>
      <c r="D80" s="20" t="s">
        <v>101</v>
      </c>
      <c r="E80" s="20" t="s">
        <v>181</v>
      </c>
      <c r="F80" s="20" t="s">
        <v>229</v>
      </c>
      <c r="G80" s="20" t="s">
        <v>296</v>
      </c>
      <c r="H80" s="20" t="s">
        <v>317</v>
      </c>
      <c r="I80" s="20"/>
      <c r="J80" s="20" t="s">
        <v>408</v>
      </c>
      <c r="K80" s="43" t="s">
        <v>359</v>
      </c>
      <c r="L80" s="20">
        <v>1</v>
      </c>
      <c r="M80" s="20">
        <f t="shared" ref="M80" si="69">L80*5</f>
        <v>5</v>
      </c>
      <c r="N80" s="20">
        <v>6</v>
      </c>
      <c r="O80" s="46" t="s">
        <v>465</v>
      </c>
      <c r="P80" s="21">
        <v>0.49419999999999997</v>
      </c>
      <c r="Q80" s="21">
        <f t="shared" ref="Q80" si="70">P80*N80</f>
        <v>2.9651999999999998</v>
      </c>
      <c r="R80" s="20"/>
    </row>
    <row r="81" spans="1:18" ht="36">
      <c r="A81" s="1"/>
      <c r="B81" s="16">
        <f>ROW(B81) - ROW($B$7)</f>
        <v>74</v>
      </c>
      <c r="C81" s="22" t="s">
        <v>9</v>
      </c>
      <c r="D81" s="14" t="s">
        <v>102</v>
      </c>
      <c r="E81" s="14" t="s">
        <v>182</v>
      </c>
      <c r="F81" s="14" t="s">
        <v>224</v>
      </c>
      <c r="G81" s="14" t="s">
        <v>297</v>
      </c>
      <c r="H81" s="14" t="s">
        <v>319</v>
      </c>
      <c r="I81" s="14"/>
      <c r="J81" s="14" t="s">
        <v>409</v>
      </c>
      <c r="K81" s="43" t="s">
        <v>359</v>
      </c>
      <c r="L81" s="14">
        <v>1</v>
      </c>
      <c r="M81" s="14">
        <f>L81*5</f>
        <v>5</v>
      </c>
      <c r="N81" s="14">
        <v>10</v>
      </c>
      <c r="O81" s="46" t="s">
        <v>465</v>
      </c>
      <c r="P81" s="15">
        <v>3.7999999999999999E-2</v>
      </c>
      <c r="Q81" s="15">
        <f>P81*N81</f>
        <v>0.38</v>
      </c>
      <c r="R81" s="14"/>
    </row>
    <row r="82" spans="1:18" ht="24">
      <c r="A82" s="1"/>
      <c r="B82" s="17">
        <f t="shared" si="0"/>
        <v>75</v>
      </c>
      <c r="C82" s="23" t="s">
        <v>29</v>
      </c>
      <c r="D82" s="20" t="s">
        <v>103</v>
      </c>
      <c r="E82" s="20" t="s">
        <v>183</v>
      </c>
      <c r="F82" s="20" t="s">
        <v>230</v>
      </c>
      <c r="G82" s="20" t="s">
        <v>298</v>
      </c>
      <c r="H82" s="20" t="s">
        <v>330</v>
      </c>
      <c r="I82" s="20"/>
      <c r="J82" s="20" t="s">
        <v>410</v>
      </c>
      <c r="K82" s="43" t="s">
        <v>359</v>
      </c>
      <c r="L82" s="20">
        <v>1</v>
      </c>
      <c r="M82" s="20">
        <f t="shared" ref="M82" si="71">L82*5</f>
        <v>5</v>
      </c>
      <c r="N82" s="20">
        <v>6</v>
      </c>
      <c r="O82" s="46" t="s">
        <v>465</v>
      </c>
      <c r="P82" s="21">
        <v>1.4438</v>
      </c>
      <c r="Q82" s="21">
        <f t="shared" ref="Q82" si="72">P82*N82</f>
        <v>8.6628000000000007</v>
      </c>
      <c r="R82" s="20"/>
    </row>
    <row r="83" spans="1:18" ht="24">
      <c r="A83" s="1"/>
      <c r="B83" s="16">
        <f>ROW(B83) - ROW($B$7)</f>
        <v>76</v>
      </c>
      <c r="C83" s="22" t="s">
        <v>29</v>
      </c>
      <c r="D83" s="14" t="s">
        <v>104</v>
      </c>
      <c r="E83" s="14" t="s">
        <v>183</v>
      </c>
      <c r="F83" s="14" t="s">
        <v>230</v>
      </c>
      <c r="G83" s="14" t="s">
        <v>299</v>
      </c>
      <c r="H83" s="14" t="s">
        <v>330</v>
      </c>
      <c r="I83" s="14"/>
      <c r="J83" s="14" t="s">
        <v>411</v>
      </c>
      <c r="K83" s="43" t="s">
        <v>359</v>
      </c>
      <c r="L83" s="14">
        <v>1</v>
      </c>
      <c r="M83" s="14">
        <f>L83*5</f>
        <v>5</v>
      </c>
      <c r="N83" s="14">
        <v>6</v>
      </c>
      <c r="O83" s="46" t="s">
        <v>465</v>
      </c>
      <c r="P83" s="15">
        <v>4.4534000000000002</v>
      </c>
      <c r="Q83" s="15">
        <f>P83*N83</f>
        <v>26.720400000000001</v>
      </c>
      <c r="R83" s="14"/>
    </row>
    <row r="84" spans="1:18" ht="36">
      <c r="A84" s="1"/>
      <c r="B84" s="17">
        <f t="shared" si="0"/>
        <v>77</v>
      </c>
      <c r="C84" s="23" t="s">
        <v>29</v>
      </c>
      <c r="D84" s="20" t="s">
        <v>105</v>
      </c>
      <c r="E84" s="20" t="s">
        <v>184</v>
      </c>
      <c r="F84" s="20" t="s">
        <v>231</v>
      </c>
      <c r="G84" s="20" t="s">
        <v>300</v>
      </c>
      <c r="H84" s="20" t="s">
        <v>330</v>
      </c>
      <c r="I84" s="20"/>
      <c r="J84" s="20" t="s">
        <v>412</v>
      </c>
      <c r="K84" s="43" t="s">
        <v>359</v>
      </c>
      <c r="L84" s="20">
        <v>16</v>
      </c>
      <c r="M84" s="20">
        <f t="shared" ref="M84" si="73">L84*5</f>
        <v>80</v>
      </c>
      <c r="N84" s="20">
        <v>81</v>
      </c>
      <c r="O84" s="46" t="s">
        <v>465</v>
      </c>
      <c r="P84" s="21">
        <v>0.54010000000000002</v>
      </c>
      <c r="Q84" s="21">
        <f t="shared" ref="Q84" si="74">P84*N84</f>
        <v>43.748100000000001</v>
      </c>
      <c r="R84" s="20"/>
    </row>
    <row r="85" spans="1:18">
      <c r="A85" s="1"/>
      <c r="B85" s="16">
        <f>ROW(B85) - ROW($B$7)</f>
        <v>78</v>
      </c>
      <c r="C85" s="22" t="s">
        <v>29</v>
      </c>
      <c r="D85" s="14" t="s">
        <v>106</v>
      </c>
      <c r="E85" s="14" t="s">
        <v>185</v>
      </c>
      <c r="F85" s="14" t="s">
        <v>232</v>
      </c>
      <c r="G85" s="14" t="s">
        <v>301</v>
      </c>
      <c r="H85" s="14" t="s">
        <v>330</v>
      </c>
      <c r="I85" s="14"/>
      <c r="J85" s="14" t="s">
        <v>413</v>
      </c>
      <c r="K85" s="43" t="s">
        <v>359</v>
      </c>
      <c r="L85" s="14">
        <v>4</v>
      </c>
      <c r="M85" s="14">
        <f>L85*5</f>
        <v>20</v>
      </c>
      <c r="N85" s="14">
        <v>21</v>
      </c>
      <c r="O85" s="46" t="s">
        <v>465</v>
      </c>
      <c r="P85" s="15">
        <v>1.5858000000000001</v>
      </c>
      <c r="Q85" s="15">
        <f>P85*N85</f>
        <v>33.3018</v>
      </c>
      <c r="R85" s="14"/>
    </row>
    <row r="86" spans="1:18">
      <c r="A86" s="1"/>
      <c r="B86" s="17">
        <f t="shared" si="0"/>
        <v>79</v>
      </c>
      <c r="C86" s="23" t="s">
        <v>29</v>
      </c>
      <c r="D86" s="20" t="s">
        <v>107</v>
      </c>
      <c r="E86" s="20" t="s">
        <v>186</v>
      </c>
      <c r="F86" s="20" t="s">
        <v>233</v>
      </c>
      <c r="G86" s="20" t="s">
        <v>302</v>
      </c>
      <c r="H86" s="20" t="s">
        <v>330</v>
      </c>
      <c r="I86" s="20"/>
      <c r="J86" s="20" t="s">
        <v>414</v>
      </c>
      <c r="K86" s="43" t="s">
        <v>359</v>
      </c>
      <c r="L86" s="20">
        <v>1</v>
      </c>
      <c r="M86" s="20">
        <f t="shared" ref="M86" si="75">L86*5</f>
        <v>5</v>
      </c>
      <c r="N86" s="20">
        <v>6</v>
      </c>
      <c r="O86" s="46" t="s">
        <v>465</v>
      </c>
      <c r="P86" s="21">
        <v>0.99299999999999999</v>
      </c>
      <c r="Q86" s="21">
        <f t="shared" ref="Q86" si="76">P86*N86</f>
        <v>5.9580000000000002</v>
      </c>
      <c r="R86" s="20"/>
    </row>
    <row r="87" spans="1:18" ht="36">
      <c r="A87" s="1"/>
      <c r="B87" s="16">
        <f>ROW(B87) - ROW($B$7)</f>
        <v>80</v>
      </c>
      <c r="C87" s="22" t="s">
        <v>30</v>
      </c>
      <c r="D87" s="14" t="s">
        <v>108</v>
      </c>
      <c r="E87" s="14" t="s">
        <v>187</v>
      </c>
      <c r="F87" s="14" t="s">
        <v>234</v>
      </c>
      <c r="G87" s="14" t="s">
        <v>303</v>
      </c>
      <c r="H87" s="14" t="s">
        <v>336</v>
      </c>
      <c r="I87" s="14"/>
      <c r="J87" s="14" t="s">
        <v>415</v>
      </c>
      <c r="K87" s="43" t="s">
        <v>451</v>
      </c>
      <c r="L87" s="14">
        <v>1</v>
      </c>
      <c r="M87" s="14">
        <f>L87*5</f>
        <v>5</v>
      </c>
      <c r="N87" s="14">
        <v>10</v>
      </c>
      <c r="O87" s="46" t="s">
        <v>465</v>
      </c>
      <c r="P87" s="15">
        <v>8.3299999999999999E-2</v>
      </c>
      <c r="Q87" s="15">
        <f>P87*N87</f>
        <v>0.83299999999999996</v>
      </c>
      <c r="R87" s="14"/>
    </row>
    <row r="88" spans="1:18">
      <c r="A88" s="1"/>
      <c r="B88" s="17">
        <f t="shared" si="0"/>
        <v>81</v>
      </c>
      <c r="C88" s="22" t="s">
        <v>30</v>
      </c>
      <c r="D88" s="20" t="s">
        <v>109</v>
      </c>
      <c r="E88" s="20" t="s">
        <v>188</v>
      </c>
      <c r="F88" s="20" t="s">
        <v>456</v>
      </c>
      <c r="G88" s="20" t="s">
        <v>304</v>
      </c>
      <c r="H88" s="20" t="s">
        <v>337</v>
      </c>
      <c r="I88" s="20"/>
      <c r="J88" s="20" t="s">
        <v>416</v>
      </c>
      <c r="K88" s="42" t="s">
        <v>452</v>
      </c>
      <c r="L88" s="20">
        <v>1</v>
      </c>
      <c r="M88" s="20">
        <f t="shared" ref="M88:M92" si="77">L88*5</f>
        <v>5</v>
      </c>
      <c r="N88" s="20">
        <v>10</v>
      </c>
      <c r="O88" s="46" t="s">
        <v>465</v>
      </c>
      <c r="P88" s="21">
        <v>0.24840000000000001</v>
      </c>
      <c r="Q88" s="21">
        <f t="shared" ref="Q88:Q92" si="78">P88*N88</f>
        <v>2.484</v>
      </c>
      <c r="R88" s="20"/>
    </row>
    <row r="89" spans="1:18" ht="24">
      <c r="A89" s="1"/>
      <c r="B89" s="17">
        <f t="shared" si="0"/>
        <v>82</v>
      </c>
      <c r="C89" s="23" t="s">
        <v>524</v>
      </c>
      <c r="D89" s="20" t="s">
        <v>514</v>
      </c>
      <c r="E89" s="42" t="s">
        <v>515</v>
      </c>
      <c r="F89" s="20" t="s">
        <v>456</v>
      </c>
      <c r="G89" s="42" t="s">
        <v>516</v>
      </c>
      <c r="H89" s="20" t="s">
        <v>320</v>
      </c>
      <c r="I89" s="20"/>
      <c r="J89" s="20" t="s">
        <v>527</v>
      </c>
      <c r="K89" s="42" t="s">
        <v>359</v>
      </c>
      <c r="L89" s="20">
        <v>1</v>
      </c>
      <c r="M89" s="20">
        <f t="shared" si="77"/>
        <v>5</v>
      </c>
      <c r="N89" s="20">
        <v>10</v>
      </c>
      <c r="O89" s="46" t="s">
        <v>465</v>
      </c>
      <c r="P89" s="21">
        <v>9.6000000000000002E-2</v>
      </c>
      <c r="Q89" s="21">
        <f t="shared" si="78"/>
        <v>0.96</v>
      </c>
      <c r="R89" s="20"/>
    </row>
    <row r="90" spans="1:18" ht="24">
      <c r="A90" s="1"/>
      <c r="B90" s="17">
        <f t="shared" ref="B90:B92" si="79">ROW(B90) - ROW($B$7)</f>
        <v>83</v>
      </c>
      <c r="C90" s="23" t="s">
        <v>524</v>
      </c>
      <c r="D90" s="14" t="s">
        <v>517</v>
      </c>
      <c r="E90" s="43" t="s">
        <v>518</v>
      </c>
      <c r="F90" s="20" t="s">
        <v>456</v>
      </c>
      <c r="G90" s="43" t="s">
        <v>519</v>
      </c>
      <c r="H90" s="14" t="s">
        <v>325</v>
      </c>
      <c r="I90" s="20" t="s">
        <v>359</v>
      </c>
      <c r="J90" s="20" t="s">
        <v>528</v>
      </c>
      <c r="K90" s="42" t="s">
        <v>359</v>
      </c>
      <c r="L90" s="14">
        <v>2</v>
      </c>
      <c r="M90" s="20">
        <f t="shared" si="77"/>
        <v>10</v>
      </c>
      <c r="N90" s="20">
        <v>20</v>
      </c>
      <c r="O90" s="46" t="s">
        <v>465</v>
      </c>
      <c r="P90" s="21">
        <v>2.41E-2</v>
      </c>
      <c r="Q90" s="21">
        <f t="shared" si="78"/>
        <v>0.48199999999999998</v>
      </c>
      <c r="R90" s="20"/>
    </row>
    <row r="91" spans="1:18" ht="51">
      <c r="A91" s="1"/>
      <c r="B91" s="17">
        <f t="shared" si="79"/>
        <v>84</v>
      </c>
      <c r="C91" s="23" t="s">
        <v>524</v>
      </c>
      <c r="D91" s="20" t="s">
        <v>520</v>
      </c>
      <c r="E91" s="42" t="s">
        <v>359</v>
      </c>
      <c r="F91" s="20" t="s">
        <v>456</v>
      </c>
      <c r="G91" s="42" t="s">
        <v>359</v>
      </c>
      <c r="H91" s="20" t="s">
        <v>359</v>
      </c>
      <c r="I91" s="20"/>
      <c r="J91" s="20"/>
      <c r="K91" s="42" t="s">
        <v>359</v>
      </c>
      <c r="L91" s="20" t="s">
        <v>359</v>
      </c>
      <c r="M91" s="20" t="s">
        <v>359</v>
      </c>
      <c r="N91" s="20" t="s">
        <v>359</v>
      </c>
      <c r="O91" s="14" t="s">
        <v>359</v>
      </c>
      <c r="P91" s="21" t="s">
        <v>359</v>
      </c>
      <c r="Q91" s="21" t="s">
        <v>359</v>
      </c>
      <c r="R91" s="52" t="s">
        <v>525</v>
      </c>
    </row>
    <row r="92" spans="1:18" ht="64.5" thickBot="1">
      <c r="A92" s="1"/>
      <c r="B92" s="17">
        <f t="shared" si="79"/>
        <v>85</v>
      </c>
      <c r="C92" s="23" t="s">
        <v>524</v>
      </c>
      <c r="D92" s="14" t="s">
        <v>521</v>
      </c>
      <c r="E92" s="43" t="s">
        <v>522</v>
      </c>
      <c r="F92" s="20" t="s">
        <v>456</v>
      </c>
      <c r="G92" s="43" t="s">
        <v>523</v>
      </c>
      <c r="H92" s="14" t="s">
        <v>359</v>
      </c>
      <c r="I92" s="20"/>
      <c r="J92" s="20"/>
      <c r="K92" s="42" t="s">
        <v>359</v>
      </c>
      <c r="L92" s="14">
        <v>1</v>
      </c>
      <c r="M92" s="20">
        <f t="shared" si="77"/>
        <v>5</v>
      </c>
      <c r="N92" s="20">
        <v>1</v>
      </c>
      <c r="O92" s="46" t="s">
        <v>534</v>
      </c>
      <c r="P92" s="21">
        <v>78.72</v>
      </c>
      <c r="Q92" s="21">
        <f t="shared" si="78"/>
        <v>78.72</v>
      </c>
      <c r="R92" s="53" t="s">
        <v>526</v>
      </c>
    </row>
    <row r="93" spans="1:18" ht="19.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0" t="s">
        <v>3</v>
      </c>
      <c r="O93" s="51"/>
      <c r="P93" s="51"/>
      <c r="Q93" s="18">
        <f>SUM(Q8:Q92)</f>
        <v>552.00188000000003</v>
      </c>
      <c r="R93" s="1"/>
    </row>
    <row r="94" spans="1:18" ht="19.5" thickBo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0" t="s">
        <v>4</v>
      </c>
      <c r="O94" s="51"/>
      <c r="P94" s="51"/>
      <c r="Q94" s="19">
        <f>Q93/5</f>
        <v>110.40037600000001</v>
      </c>
      <c r="R94" s="1"/>
    </row>
    <row r="106" spans="13:13">
      <c r="M106" s="38"/>
    </row>
  </sheetData>
  <mergeCells count="3">
    <mergeCell ref="K1:R1"/>
    <mergeCell ref="N93:P93"/>
    <mergeCell ref="N94:P94"/>
  </mergeCells>
  <hyperlinks>
    <hyperlink ref="O8" r:id="rId1"/>
    <hyperlink ref="O9" r:id="rId2"/>
    <hyperlink ref="O10" r:id="rId3"/>
    <hyperlink ref="O11" r:id="rId4"/>
    <hyperlink ref="O12" r:id="rId5"/>
    <hyperlink ref="O16" r:id="rId6"/>
    <hyperlink ref="O20" r:id="rId7"/>
    <hyperlink ref="O21" r:id="rId8"/>
    <hyperlink ref="O22" r:id="rId9"/>
    <hyperlink ref="O26" r:id="rId10"/>
    <hyperlink ref="O27" r:id="rId11"/>
    <hyperlink ref="O29" r:id="rId12"/>
    <hyperlink ref="O30" r:id="rId13"/>
    <hyperlink ref="O31" r:id="rId14"/>
    <hyperlink ref="O28" r:id="rId15"/>
    <hyperlink ref="O32" r:id="rId16"/>
    <hyperlink ref="O33" r:id="rId17"/>
    <hyperlink ref="O34" r:id="rId18"/>
    <hyperlink ref="O35" r:id="rId19"/>
    <hyperlink ref="O36" r:id="rId20"/>
    <hyperlink ref="O37" r:id="rId21"/>
    <hyperlink ref="O38" r:id="rId22"/>
    <hyperlink ref="O39" r:id="rId23"/>
    <hyperlink ref="O40" r:id="rId24" display="url"/>
    <hyperlink ref="O41" r:id="rId25"/>
    <hyperlink ref="O44" r:id="rId26"/>
    <hyperlink ref="O46" r:id="rId27"/>
    <hyperlink ref="O47" r:id="rId28"/>
    <hyperlink ref="O48" r:id="rId29"/>
    <hyperlink ref="O49" r:id="rId30"/>
    <hyperlink ref="O52" r:id="rId31"/>
    <hyperlink ref="O53" r:id="rId32"/>
    <hyperlink ref="O56" r:id="rId33"/>
    <hyperlink ref="O55" r:id="rId34"/>
    <hyperlink ref="O57" r:id="rId35"/>
    <hyperlink ref="O58" r:id="rId36"/>
    <hyperlink ref="O59" r:id="rId37"/>
    <hyperlink ref="O60" r:id="rId38"/>
    <hyperlink ref="O61" r:id="rId39"/>
    <hyperlink ref="O62" r:id="rId40"/>
    <hyperlink ref="O63" r:id="rId41"/>
    <hyperlink ref="O64" r:id="rId42"/>
    <hyperlink ref="O65" r:id="rId43"/>
    <hyperlink ref="O68" r:id="rId44"/>
    <hyperlink ref="O69" r:id="rId45"/>
    <hyperlink ref="O74" r:id="rId46"/>
    <hyperlink ref="O75" r:id="rId47"/>
    <hyperlink ref="O76" r:id="rId48"/>
    <hyperlink ref="O77" r:id="rId49"/>
    <hyperlink ref="O14" r:id="rId50"/>
    <hyperlink ref="O17" r:id="rId51"/>
    <hyperlink ref="O18" r:id="rId52"/>
    <hyperlink ref="O54" r:id="rId53"/>
    <hyperlink ref="O89" r:id="rId54"/>
    <hyperlink ref="O90" r:id="rId55"/>
    <hyperlink ref="O13" r:id="rId56"/>
    <hyperlink ref="O15" r:id="rId57"/>
    <hyperlink ref="O19" r:id="rId58"/>
    <hyperlink ref="O23" r:id="rId59"/>
    <hyperlink ref="O24" r:id="rId60"/>
    <hyperlink ref="O25" r:id="rId61"/>
    <hyperlink ref="O42" r:id="rId62"/>
    <hyperlink ref="O43" r:id="rId63"/>
    <hyperlink ref="O45" r:id="rId64"/>
    <hyperlink ref="O50" r:id="rId65"/>
    <hyperlink ref="O51" r:id="rId66"/>
    <hyperlink ref="O66" r:id="rId67"/>
    <hyperlink ref="O67" r:id="rId68"/>
    <hyperlink ref="O70" r:id="rId69"/>
    <hyperlink ref="O71" r:id="rId70"/>
    <hyperlink ref="O72" r:id="rId71"/>
    <hyperlink ref="O73" r:id="rId72"/>
    <hyperlink ref="O78" r:id="rId73"/>
    <hyperlink ref="O79" r:id="rId74"/>
    <hyperlink ref="O80" r:id="rId75"/>
    <hyperlink ref="O81" r:id="rId76"/>
    <hyperlink ref="O82" r:id="rId77"/>
    <hyperlink ref="O83" r:id="rId78"/>
    <hyperlink ref="O84" r:id="rId79"/>
    <hyperlink ref="O85" r:id="rId80"/>
    <hyperlink ref="O86" r:id="rId81"/>
    <hyperlink ref="O87" r:id="rId82"/>
    <hyperlink ref="O88" r:id="rId83"/>
    <hyperlink ref="O92" r:id="rId84"/>
  </hyperlinks>
  <pageMargins left="0.7" right="0.7" top="0.75" bottom="0.75" header="0.3" footer="0.3"/>
  <pageSetup paperSize="9" orientation="portrait" r:id="rId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"/>
  <sheetViews>
    <sheetView tabSelected="1" topLeftCell="E43" workbookViewId="0">
      <selection activeCell="N55" sqref="N55"/>
    </sheetView>
  </sheetViews>
  <sheetFormatPr defaultRowHeight="15"/>
  <cols>
    <col min="2" max="2" width="3" bestFit="1" customWidth="1"/>
    <col min="3" max="3" width="13.42578125" customWidth="1"/>
    <col min="4" max="4" width="34" customWidth="1"/>
    <col min="5" max="5" width="26.7109375" customWidth="1"/>
    <col min="6" max="6" width="18" customWidth="1"/>
    <col min="7" max="7" width="25.28515625" bestFit="1" customWidth="1"/>
    <col min="8" max="8" width="16.85546875" customWidth="1"/>
    <col min="9" max="9" width="21.5703125" bestFit="1" customWidth="1"/>
    <col min="10" max="10" width="17" bestFit="1" customWidth="1"/>
    <col min="11" max="11" width="8.5703125" bestFit="1" customWidth="1"/>
    <col min="12" max="12" width="8.7109375" bestFit="1" customWidth="1"/>
    <col min="13" max="13" width="18.28515625" bestFit="1" customWidth="1"/>
    <col min="14" max="14" width="15.140625" bestFit="1" customWidth="1"/>
    <col min="16" max="16" width="18.7109375" bestFit="1" customWidth="1"/>
    <col min="17" max="17" width="19.28515625" bestFit="1" customWidth="1"/>
    <col min="18" max="18" width="8.5703125" bestFit="1" customWidth="1"/>
    <col min="20" max="20" width="10.5703125" bestFit="1" customWidth="1"/>
    <col min="21" max="21" width="25.28515625" bestFit="1" customWidth="1"/>
    <col min="22" max="22" width="8.7109375" bestFit="1" customWidth="1"/>
  </cols>
  <sheetData>
    <row r="1" spans="1:23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9"/>
      <c r="L1" s="49"/>
      <c r="M1" s="49"/>
      <c r="N1" s="49"/>
      <c r="O1" s="49"/>
      <c r="P1" s="49"/>
      <c r="Q1" s="49"/>
      <c r="R1" s="49"/>
    </row>
    <row r="2" spans="1:23" ht="32.25" thickBot="1">
      <c r="A2" s="1"/>
      <c r="B2" s="7"/>
      <c r="C2" s="13"/>
      <c r="D2" s="4" t="s">
        <v>0</v>
      </c>
      <c r="E2" s="4"/>
      <c r="F2" s="40" t="s">
        <v>454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23" ht="16.5" thickBot="1">
      <c r="A3" s="1"/>
      <c r="B3" s="8"/>
      <c r="C3" s="26"/>
      <c r="D3" s="39" t="s">
        <v>1</v>
      </c>
      <c r="E3" s="27"/>
      <c r="F3" s="41" t="s">
        <v>455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23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23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23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23" ht="15.75" thickBot="1">
      <c r="A7" s="1"/>
      <c r="B7" s="12" t="s">
        <v>2</v>
      </c>
      <c r="C7" s="12" t="s">
        <v>5</v>
      </c>
      <c r="D7" s="12" t="s">
        <v>31</v>
      </c>
      <c r="E7" s="12" t="s">
        <v>110</v>
      </c>
      <c r="F7" s="12" t="s">
        <v>189</v>
      </c>
      <c r="G7" s="12" t="s">
        <v>235</v>
      </c>
      <c r="H7" s="12" t="s">
        <v>305</v>
      </c>
      <c r="I7" s="12" t="s">
        <v>457</v>
      </c>
      <c r="J7" s="12" t="s">
        <v>338</v>
      </c>
      <c r="K7" s="12" t="s">
        <v>458</v>
      </c>
      <c r="L7" s="12" t="s">
        <v>453</v>
      </c>
      <c r="M7" s="12" t="s">
        <v>529</v>
      </c>
      <c r="N7" s="12" t="s">
        <v>530</v>
      </c>
      <c r="O7" s="12" t="s">
        <v>461</v>
      </c>
      <c r="P7" s="12" t="s">
        <v>531</v>
      </c>
      <c r="Q7" s="12" t="s">
        <v>532</v>
      </c>
      <c r="R7" s="12" t="s">
        <v>464</v>
      </c>
      <c r="T7" s="45"/>
      <c r="U7" s="45"/>
      <c r="V7" s="45"/>
      <c r="W7" s="45"/>
    </row>
    <row r="8" spans="1:23" s="45" customFormat="1">
      <c r="A8" s="44"/>
      <c r="B8" s="16">
        <f>ROW(B8) - ROW($B$7)</f>
        <v>1</v>
      </c>
      <c r="C8" s="22" t="s">
        <v>6</v>
      </c>
      <c r="D8" s="14" t="s">
        <v>32</v>
      </c>
      <c r="E8" s="14" t="s">
        <v>111</v>
      </c>
      <c r="F8" s="14" t="s">
        <v>190</v>
      </c>
      <c r="G8" s="14" t="s">
        <v>236</v>
      </c>
      <c r="H8" s="14" t="s">
        <v>306</v>
      </c>
      <c r="I8" s="14"/>
      <c r="J8" s="14" t="s">
        <v>339</v>
      </c>
      <c r="K8" s="43" t="s">
        <v>417</v>
      </c>
      <c r="L8" s="14">
        <v>2</v>
      </c>
      <c r="M8" s="14">
        <f>L8*25</f>
        <v>50</v>
      </c>
      <c r="N8" s="14">
        <v>55</v>
      </c>
      <c r="O8" s="46" t="s">
        <v>465</v>
      </c>
      <c r="P8" s="21">
        <v>0.24060000000000001</v>
      </c>
      <c r="Q8" s="15">
        <f>P8*N8</f>
        <v>13.233000000000001</v>
      </c>
      <c r="R8" s="14"/>
    </row>
    <row r="9" spans="1:23" s="45" customFormat="1" ht="48">
      <c r="A9" s="44"/>
      <c r="B9" s="17">
        <f t="shared" ref="B9:B88" si="0">ROW(B9) - ROW($B$7)</f>
        <v>2</v>
      </c>
      <c r="C9" s="23" t="s">
        <v>6</v>
      </c>
      <c r="D9" s="20" t="s">
        <v>33</v>
      </c>
      <c r="E9" s="20" t="s">
        <v>112</v>
      </c>
      <c r="F9" s="20" t="s">
        <v>456</v>
      </c>
      <c r="G9" s="20" t="s">
        <v>191</v>
      </c>
      <c r="H9" s="20" t="s">
        <v>307</v>
      </c>
      <c r="I9" s="20"/>
      <c r="J9" s="20" t="s">
        <v>340</v>
      </c>
      <c r="K9" s="42" t="s">
        <v>418</v>
      </c>
      <c r="L9" s="20">
        <v>1</v>
      </c>
      <c r="M9" s="14">
        <f t="shared" ref="M9:M72" si="1">L9*25</f>
        <v>25</v>
      </c>
      <c r="N9" s="20">
        <v>40</v>
      </c>
      <c r="O9" s="46" t="s">
        <v>465</v>
      </c>
      <c r="P9" s="15">
        <v>2.7199999999999998E-2</v>
      </c>
      <c r="Q9" s="21">
        <f t="shared" ref="Q9" si="2">P9*N9</f>
        <v>1.0879999999999999</v>
      </c>
      <c r="R9" s="20"/>
    </row>
    <row r="10" spans="1:23" s="45" customFormat="1">
      <c r="A10" s="44"/>
      <c r="B10" s="16">
        <f>ROW(B10) - ROW($B$7)</f>
        <v>3</v>
      </c>
      <c r="C10" s="22" t="s">
        <v>7</v>
      </c>
      <c r="D10" s="14" t="s">
        <v>34</v>
      </c>
      <c r="E10" s="14" t="s">
        <v>113</v>
      </c>
      <c r="F10" s="14" t="s">
        <v>192</v>
      </c>
      <c r="G10" s="14" t="s">
        <v>237</v>
      </c>
      <c r="H10" s="14" t="s">
        <v>308</v>
      </c>
      <c r="I10" s="14"/>
      <c r="J10" s="14" t="s">
        <v>341</v>
      </c>
      <c r="K10" s="43" t="s">
        <v>419</v>
      </c>
      <c r="L10" s="14">
        <v>1</v>
      </c>
      <c r="M10" s="14">
        <f t="shared" si="1"/>
        <v>25</v>
      </c>
      <c r="N10" s="14">
        <v>50</v>
      </c>
      <c r="O10" s="46" t="s">
        <v>465</v>
      </c>
      <c r="P10" s="21" t="s">
        <v>468</v>
      </c>
      <c r="Q10" s="15">
        <f>P10*N10</f>
        <v>0.61</v>
      </c>
      <c r="R10" s="14"/>
    </row>
    <row r="11" spans="1:23" s="45" customFormat="1">
      <c r="A11" s="44"/>
      <c r="B11" s="17">
        <f t="shared" si="0"/>
        <v>4</v>
      </c>
      <c r="C11" s="23"/>
      <c r="D11" s="20" t="s">
        <v>35</v>
      </c>
      <c r="E11" s="20" t="s">
        <v>114</v>
      </c>
      <c r="F11" s="20" t="s">
        <v>192</v>
      </c>
      <c r="G11" s="20" t="s">
        <v>238</v>
      </c>
      <c r="H11" s="20" t="s">
        <v>309</v>
      </c>
      <c r="I11" s="20"/>
      <c r="J11" s="20" t="s">
        <v>342</v>
      </c>
      <c r="K11" s="42" t="s">
        <v>420</v>
      </c>
      <c r="L11" s="20">
        <v>1</v>
      </c>
      <c r="M11" s="14">
        <f t="shared" si="1"/>
        <v>25</v>
      </c>
      <c r="N11" s="20">
        <v>30</v>
      </c>
      <c r="O11" s="46" t="s">
        <v>465</v>
      </c>
      <c r="P11" s="15" t="s">
        <v>469</v>
      </c>
      <c r="Q11" s="21">
        <f t="shared" ref="Q11" si="3">P11*N11</f>
        <v>3.6719999999999997</v>
      </c>
      <c r="R11" s="20"/>
    </row>
    <row r="12" spans="1:23" s="45" customFormat="1" ht="24">
      <c r="A12" s="44"/>
      <c r="B12" s="16">
        <f>ROW(B12) - ROW($B$7)</f>
        <v>5</v>
      </c>
      <c r="C12" s="22" t="s">
        <v>6</v>
      </c>
      <c r="D12" s="14" t="s">
        <v>36</v>
      </c>
      <c r="E12" s="14" t="s">
        <v>115</v>
      </c>
      <c r="F12" s="14" t="s">
        <v>193</v>
      </c>
      <c r="G12" s="14" t="s">
        <v>239</v>
      </c>
      <c r="H12" s="14" t="s">
        <v>310</v>
      </c>
      <c r="I12" s="14"/>
      <c r="J12" s="14" t="s">
        <v>343</v>
      </c>
      <c r="K12" s="43" t="s">
        <v>421</v>
      </c>
      <c r="L12" s="14">
        <v>15</v>
      </c>
      <c r="M12" s="14">
        <f t="shared" si="1"/>
        <v>375</v>
      </c>
      <c r="N12" s="14">
        <v>400</v>
      </c>
      <c r="O12" s="46" t="s">
        <v>465</v>
      </c>
      <c r="P12" s="21" t="s">
        <v>470</v>
      </c>
      <c r="Q12" s="15">
        <f>P12*N12</f>
        <v>1.48</v>
      </c>
      <c r="R12" s="14"/>
    </row>
    <row r="13" spans="1:23" s="45" customFormat="1">
      <c r="A13" s="44"/>
      <c r="B13" s="17">
        <f t="shared" si="0"/>
        <v>6</v>
      </c>
      <c r="C13" s="23" t="s">
        <v>6</v>
      </c>
      <c r="D13" s="20" t="s">
        <v>509</v>
      </c>
      <c r="E13" s="42" t="s">
        <v>125</v>
      </c>
      <c r="F13" s="20" t="s">
        <v>197</v>
      </c>
      <c r="G13" s="42" t="s">
        <v>249</v>
      </c>
      <c r="H13" s="20" t="s">
        <v>312</v>
      </c>
      <c r="I13" s="20"/>
      <c r="J13" s="20" t="s">
        <v>353</v>
      </c>
      <c r="K13" s="42" t="s">
        <v>428</v>
      </c>
      <c r="L13" s="20">
        <v>3</v>
      </c>
      <c r="M13" s="14">
        <f t="shared" si="1"/>
        <v>75</v>
      </c>
      <c r="N13" s="20">
        <v>80</v>
      </c>
      <c r="O13" s="46" t="s">
        <v>465</v>
      </c>
      <c r="P13" s="21">
        <v>8.6999999999999994E-3</v>
      </c>
      <c r="Q13" s="21">
        <f t="shared" ref="Q13" si="4">P13*N13</f>
        <v>0.69599999999999995</v>
      </c>
      <c r="R13" s="20"/>
    </row>
    <row r="14" spans="1:23" s="45" customFormat="1">
      <c r="A14" s="44"/>
      <c r="B14" s="16">
        <f>ROW(B14) - ROW($B$7)</f>
        <v>7</v>
      </c>
      <c r="C14" s="22" t="s">
        <v>6</v>
      </c>
      <c r="D14" s="14" t="s">
        <v>37</v>
      </c>
      <c r="E14" s="14" t="s">
        <v>116</v>
      </c>
      <c r="F14" s="14" t="s">
        <v>194</v>
      </c>
      <c r="G14" s="14" t="s">
        <v>240</v>
      </c>
      <c r="H14" s="14" t="s">
        <v>311</v>
      </c>
      <c r="I14" s="14"/>
      <c r="J14" s="14" t="s">
        <v>344</v>
      </c>
      <c r="K14" s="43" t="s">
        <v>423</v>
      </c>
      <c r="L14" s="14">
        <v>3</v>
      </c>
      <c r="M14" s="14">
        <f t="shared" si="1"/>
        <v>75</v>
      </c>
      <c r="N14" s="14">
        <v>80</v>
      </c>
      <c r="O14" s="46" t="s">
        <v>465</v>
      </c>
      <c r="P14" s="15">
        <v>4.2299999999999997E-2</v>
      </c>
      <c r="Q14" s="15">
        <f>P14*N14</f>
        <v>3.3839999999999999</v>
      </c>
      <c r="R14" s="14"/>
    </row>
    <row r="15" spans="1:23" s="45" customFormat="1">
      <c r="A15" s="44"/>
      <c r="B15" s="17">
        <f t="shared" si="0"/>
        <v>8</v>
      </c>
      <c r="C15" s="23" t="s">
        <v>6</v>
      </c>
      <c r="D15" s="20" t="s">
        <v>38</v>
      </c>
      <c r="E15" s="20" t="s">
        <v>117</v>
      </c>
      <c r="F15" s="20" t="s">
        <v>194</v>
      </c>
      <c r="G15" s="20" t="s">
        <v>241</v>
      </c>
      <c r="H15" s="20" t="s">
        <v>308</v>
      </c>
      <c r="I15" s="20"/>
      <c r="J15" s="20" t="s">
        <v>345</v>
      </c>
      <c r="K15" s="42" t="s">
        <v>424</v>
      </c>
      <c r="L15" s="20">
        <v>2</v>
      </c>
      <c r="M15" s="14">
        <f t="shared" si="1"/>
        <v>50</v>
      </c>
      <c r="N15" s="20">
        <v>60</v>
      </c>
      <c r="O15" s="46" t="s">
        <v>465</v>
      </c>
      <c r="P15" s="21">
        <v>4.0599999999999997E-2</v>
      </c>
      <c r="Q15" s="21">
        <f t="shared" ref="Q15" si="5">P15*N15</f>
        <v>2.4359999999999999</v>
      </c>
      <c r="R15" s="20"/>
    </row>
    <row r="16" spans="1:23" s="45" customFormat="1">
      <c r="A16" s="44"/>
      <c r="B16" s="16">
        <f>ROW(B16) - ROW($B$7)</f>
        <v>9</v>
      </c>
      <c r="C16" s="22" t="s">
        <v>6</v>
      </c>
      <c r="D16" s="14" t="s">
        <v>39</v>
      </c>
      <c r="E16" s="14" t="s">
        <v>118</v>
      </c>
      <c r="F16" s="14" t="s">
        <v>194</v>
      </c>
      <c r="G16" s="14" t="s">
        <v>242</v>
      </c>
      <c r="H16" s="14" t="s">
        <v>309</v>
      </c>
      <c r="I16" s="14"/>
      <c r="J16" s="14" t="s">
        <v>346</v>
      </c>
      <c r="K16" s="43" t="s">
        <v>418</v>
      </c>
      <c r="L16" s="14">
        <v>3</v>
      </c>
      <c r="M16" s="14">
        <f t="shared" si="1"/>
        <v>75</v>
      </c>
      <c r="N16" s="14">
        <v>80</v>
      </c>
      <c r="O16" s="46" t="s">
        <v>465</v>
      </c>
      <c r="P16" s="21" t="s">
        <v>471</v>
      </c>
      <c r="Q16" s="15">
        <f>P16*N16</f>
        <v>17.951999999999998</v>
      </c>
      <c r="R16" s="14"/>
    </row>
    <row r="17" spans="1:18" s="45" customFormat="1">
      <c r="A17" s="44"/>
      <c r="B17" s="17">
        <f t="shared" si="0"/>
        <v>10</v>
      </c>
      <c r="C17" s="23" t="s">
        <v>6</v>
      </c>
      <c r="D17" s="20" t="s">
        <v>40</v>
      </c>
      <c r="E17" s="20" t="s">
        <v>119</v>
      </c>
      <c r="F17" s="20" t="s">
        <v>195</v>
      </c>
      <c r="G17" s="20" t="s">
        <v>243</v>
      </c>
      <c r="H17" s="20" t="s">
        <v>308</v>
      </c>
      <c r="I17" s="20"/>
      <c r="J17" s="20" t="s">
        <v>347</v>
      </c>
      <c r="K17" s="42" t="s">
        <v>425</v>
      </c>
      <c r="L17" s="20">
        <v>1</v>
      </c>
      <c r="M17" s="14">
        <f t="shared" si="1"/>
        <v>25</v>
      </c>
      <c r="N17" s="20">
        <v>100</v>
      </c>
      <c r="O17" s="46" t="s">
        <v>465</v>
      </c>
      <c r="P17" s="21">
        <v>1.6000000000000001E-3</v>
      </c>
      <c r="Q17" s="21">
        <f t="shared" ref="Q17" si="6">P17*N17</f>
        <v>0.16</v>
      </c>
      <c r="R17" s="20"/>
    </row>
    <row r="18" spans="1:18" s="45" customFormat="1">
      <c r="A18" s="44"/>
      <c r="B18" s="16">
        <f>ROW(B18) - ROW($B$7)</f>
        <v>11</v>
      </c>
      <c r="C18" s="22" t="s">
        <v>6</v>
      </c>
      <c r="D18" s="14" t="s">
        <v>41</v>
      </c>
      <c r="E18" s="14" t="s">
        <v>120</v>
      </c>
      <c r="F18" s="14" t="s">
        <v>195</v>
      </c>
      <c r="G18" s="14" t="s">
        <v>244</v>
      </c>
      <c r="H18" s="14" t="s">
        <v>309</v>
      </c>
      <c r="I18" s="14"/>
      <c r="J18" s="14" t="s">
        <v>348</v>
      </c>
      <c r="K18" s="43" t="s">
        <v>426</v>
      </c>
      <c r="L18" s="14">
        <v>2</v>
      </c>
      <c r="M18" s="14">
        <f t="shared" si="1"/>
        <v>50</v>
      </c>
      <c r="N18" s="14">
        <v>100</v>
      </c>
      <c r="O18" s="46" t="s">
        <v>465</v>
      </c>
      <c r="P18" s="15">
        <v>1.8499999999999999E-2</v>
      </c>
      <c r="Q18" s="15">
        <f>P18*N18</f>
        <v>1.8499999999999999</v>
      </c>
      <c r="R18" s="14"/>
    </row>
    <row r="19" spans="1:18" s="45" customFormat="1">
      <c r="A19" s="44"/>
      <c r="B19" s="17">
        <f t="shared" si="0"/>
        <v>12</v>
      </c>
      <c r="C19" s="23"/>
      <c r="D19" s="20" t="s">
        <v>42</v>
      </c>
      <c r="E19" s="20" t="s">
        <v>121</v>
      </c>
      <c r="F19" s="20" t="s">
        <v>195</v>
      </c>
      <c r="G19" s="20" t="s">
        <v>245</v>
      </c>
      <c r="H19" s="20" t="s">
        <v>308</v>
      </c>
      <c r="I19" s="20"/>
      <c r="J19" s="20" t="s">
        <v>349</v>
      </c>
      <c r="K19" s="42" t="s">
        <v>423</v>
      </c>
      <c r="L19" s="20">
        <v>3</v>
      </c>
      <c r="M19" s="14">
        <f t="shared" si="1"/>
        <v>75</v>
      </c>
      <c r="N19" s="20">
        <v>100</v>
      </c>
      <c r="O19" s="46" t="s">
        <v>465</v>
      </c>
      <c r="P19" s="21">
        <v>1.77E-2</v>
      </c>
      <c r="Q19" s="21">
        <f t="shared" ref="Q19" si="7">P19*N19</f>
        <v>1.77</v>
      </c>
      <c r="R19" s="20"/>
    </row>
    <row r="20" spans="1:18" s="45" customFormat="1" ht="24">
      <c r="A20" s="44"/>
      <c r="B20" s="16">
        <f>ROW(B20) - ROW($B$7)</f>
        <v>13</v>
      </c>
      <c r="C20" s="22" t="s">
        <v>6</v>
      </c>
      <c r="D20" s="14" t="s">
        <v>43</v>
      </c>
      <c r="E20" s="14" t="s">
        <v>122</v>
      </c>
      <c r="F20" s="14" t="s">
        <v>195</v>
      </c>
      <c r="G20" s="14" t="s">
        <v>246</v>
      </c>
      <c r="H20" s="14" t="s">
        <v>308</v>
      </c>
      <c r="I20" s="14"/>
      <c r="J20" s="14" t="s">
        <v>350</v>
      </c>
      <c r="K20" s="43" t="s">
        <v>422</v>
      </c>
      <c r="L20" s="14">
        <v>14</v>
      </c>
      <c r="M20" s="14">
        <f t="shared" si="1"/>
        <v>350</v>
      </c>
      <c r="N20" s="14">
        <v>100</v>
      </c>
      <c r="O20" s="46" t="s">
        <v>465</v>
      </c>
      <c r="P20" s="21" t="s">
        <v>472</v>
      </c>
      <c r="Q20" s="15">
        <f>P20*N20</f>
        <v>0.13</v>
      </c>
      <c r="R20" s="14"/>
    </row>
    <row r="21" spans="1:18" s="45" customFormat="1">
      <c r="A21" s="44"/>
      <c r="B21" s="17">
        <f t="shared" si="0"/>
        <v>14</v>
      </c>
      <c r="C21" s="23" t="s">
        <v>6</v>
      </c>
      <c r="D21" s="20" t="s">
        <v>44</v>
      </c>
      <c r="E21" s="20" t="s">
        <v>123</v>
      </c>
      <c r="F21" s="20" t="s">
        <v>195</v>
      </c>
      <c r="G21" s="20" t="s">
        <v>247</v>
      </c>
      <c r="H21" s="20" t="s">
        <v>308</v>
      </c>
      <c r="I21" s="20"/>
      <c r="J21" s="20" t="s">
        <v>351</v>
      </c>
      <c r="K21" s="42" t="s">
        <v>421</v>
      </c>
      <c r="L21" s="20">
        <v>2</v>
      </c>
      <c r="M21" s="14">
        <f t="shared" si="1"/>
        <v>50</v>
      </c>
      <c r="N21" s="20">
        <v>50</v>
      </c>
      <c r="O21" s="46" t="s">
        <v>465</v>
      </c>
      <c r="P21" s="15" t="s">
        <v>473</v>
      </c>
      <c r="Q21" s="21">
        <f t="shared" ref="Q21" si="8">P21*N21</f>
        <v>0.19</v>
      </c>
      <c r="R21" s="20"/>
    </row>
    <row r="22" spans="1:18" s="45" customFormat="1">
      <c r="A22" s="44"/>
      <c r="B22" s="16">
        <f>ROW(B22) - ROW($B$7)</f>
        <v>15</v>
      </c>
      <c r="C22" s="22" t="s">
        <v>6</v>
      </c>
      <c r="D22" s="14" t="s">
        <v>45</v>
      </c>
      <c r="E22" s="14" t="s">
        <v>124</v>
      </c>
      <c r="F22" s="14" t="s">
        <v>196</v>
      </c>
      <c r="G22" s="14" t="s">
        <v>248</v>
      </c>
      <c r="H22" s="14" t="s">
        <v>308</v>
      </c>
      <c r="I22" s="14"/>
      <c r="J22" s="14" t="s">
        <v>352</v>
      </c>
      <c r="K22" s="43" t="s">
        <v>427</v>
      </c>
      <c r="L22" s="14">
        <v>4</v>
      </c>
      <c r="M22" s="14">
        <f t="shared" si="1"/>
        <v>100</v>
      </c>
      <c r="N22" s="14">
        <v>100</v>
      </c>
      <c r="O22" s="46" t="s">
        <v>465</v>
      </c>
      <c r="P22" s="15" t="s">
        <v>474</v>
      </c>
      <c r="Q22" s="15">
        <f>P22*N22</f>
        <v>0.1</v>
      </c>
      <c r="R22" s="14"/>
    </row>
    <row r="23" spans="1:18" s="45" customFormat="1">
      <c r="A23" s="44"/>
      <c r="B23" s="16">
        <f>ROW(B23) - ROW($B$7)</f>
        <v>16</v>
      </c>
      <c r="C23" s="23" t="s">
        <v>6</v>
      </c>
      <c r="D23" s="20" t="s">
        <v>510</v>
      </c>
      <c r="E23" s="42" t="s">
        <v>125</v>
      </c>
      <c r="F23" s="20" t="s">
        <v>197</v>
      </c>
      <c r="G23" s="42" t="s">
        <v>249</v>
      </c>
      <c r="H23" s="20" t="s">
        <v>312</v>
      </c>
      <c r="I23" s="14"/>
      <c r="J23" s="14" t="s">
        <v>353</v>
      </c>
      <c r="K23" s="43" t="s">
        <v>428</v>
      </c>
      <c r="L23" s="14">
        <v>9</v>
      </c>
      <c r="M23" s="14">
        <f t="shared" si="1"/>
        <v>225</v>
      </c>
      <c r="N23" s="14">
        <v>230</v>
      </c>
      <c r="O23" s="46" t="s">
        <v>465</v>
      </c>
      <c r="P23" s="15">
        <v>7.1999999999999998E-3</v>
      </c>
      <c r="Q23" s="15">
        <f>P23*N23</f>
        <v>1.6559999999999999</v>
      </c>
      <c r="R23" s="14"/>
    </row>
    <row r="24" spans="1:18" s="45" customFormat="1" ht="36">
      <c r="A24" s="44"/>
      <c r="B24" s="16">
        <f>ROW(B24) - ROW($B$7)</f>
        <v>17</v>
      </c>
      <c r="C24" s="22" t="s">
        <v>6</v>
      </c>
      <c r="D24" s="14" t="s">
        <v>46</v>
      </c>
      <c r="E24" s="43" t="s">
        <v>511</v>
      </c>
      <c r="F24" s="20" t="s">
        <v>456</v>
      </c>
      <c r="G24" s="43" t="s">
        <v>512</v>
      </c>
      <c r="H24" s="14" t="s">
        <v>513</v>
      </c>
      <c r="I24" s="14"/>
      <c r="J24" s="14" t="s">
        <v>533</v>
      </c>
      <c r="K24" s="43" t="s">
        <v>429</v>
      </c>
      <c r="L24" s="14">
        <v>8</v>
      </c>
      <c r="M24" s="14">
        <f t="shared" si="1"/>
        <v>200</v>
      </c>
      <c r="N24" s="14">
        <v>250</v>
      </c>
      <c r="O24" s="46" t="s">
        <v>465</v>
      </c>
      <c r="P24" s="15">
        <v>0.1691</v>
      </c>
      <c r="Q24" s="15">
        <f>P24*N24</f>
        <v>42.274999999999999</v>
      </c>
      <c r="R24" s="14"/>
    </row>
    <row r="25" spans="1:18" s="45" customFormat="1">
      <c r="A25" s="44"/>
      <c r="B25" s="17">
        <f t="shared" si="0"/>
        <v>18</v>
      </c>
      <c r="C25" s="23" t="s">
        <v>6</v>
      </c>
      <c r="D25" s="20" t="s">
        <v>47</v>
      </c>
      <c r="E25" s="20" t="s">
        <v>126</v>
      </c>
      <c r="F25" s="20" t="s">
        <v>195</v>
      </c>
      <c r="G25" s="20" t="s">
        <v>250</v>
      </c>
      <c r="H25" s="20" t="s">
        <v>312</v>
      </c>
      <c r="I25" s="20"/>
      <c r="J25" s="20" t="s">
        <v>354</v>
      </c>
      <c r="K25" s="42" t="s">
        <v>430</v>
      </c>
      <c r="L25" s="20">
        <v>4</v>
      </c>
      <c r="M25" s="14">
        <f t="shared" si="1"/>
        <v>100</v>
      </c>
      <c r="N25" s="20">
        <v>150</v>
      </c>
      <c r="O25" s="46" t="s">
        <v>465</v>
      </c>
      <c r="P25" s="21">
        <v>9.1000000000000004E-3</v>
      </c>
      <c r="Q25" s="21">
        <f t="shared" ref="Q25" si="9">P25*N25</f>
        <v>1.365</v>
      </c>
      <c r="R25" s="20"/>
    </row>
    <row r="26" spans="1:18" s="45" customFormat="1">
      <c r="A26" s="44"/>
      <c r="B26" s="16">
        <f>ROW(B26) - ROW($B$7)</f>
        <v>19</v>
      </c>
      <c r="C26" s="22" t="s">
        <v>8</v>
      </c>
      <c r="D26" s="14" t="s">
        <v>48</v>
      </c>
      <c r="E26" s="14" t="s">
        <v>127</v>
      </c>
      <c r="F26" s="14" t="s">
        <v>198</v>
      </c>
      <c r="G26" s="14" t="s">
        <v>251</v>
      </c>
      <c r="H26" s="14" t="s">
        <v>313</v>
      </c>
      <c r="I26" s="14"/>
      <c r="J26" s="14" t="s">
        <v>355</v>
      </c>
      <c r="K26" s="43" t="s">
        <v>359</v>
      </c>
      <c r="L26" s="14">
        <v>1</v>
      </c>
      <c r="M26" s="14">
        <f t="shared" si="1"/>
        <v>25</v>
      </c>
      <c r="N26" s="14">
        <v>10</v>
      </c>
      <c r="O26" s="46" t="s">
        <v>465</v>
      </c>
      <c r="P26" s="15" t="s">
        <v>475</v>
      </c>
      <c r="Q26" s="15">
        <f>P26*N26</f>
        <v>1.2829999999999999</v>
      </c>
      <c r="R26" s="14"/>
    </row>
    <row r="27" spans="1:18" s="45" customFormat="1" ht="24">
      <c r="A27" s="44"/>
      <c r="B27" s="17">
        <f t="shared" si="0"/>
        <v>20</v>
      </c>
      <c r="C27" s="23" t="s">
        <v>9</v>
      </c>
      <c r="D27" s="20" t="s">
        <v>49</v>
      </c>
      <c r="E27" s="20" t="s">
        <v>128</v>
      </c>
      <c r="F27" s="20" t="s">
        <v>199</v>
      </c>
      <c r="G27" s="20" t="s">
        <v>252</v>
      </c>
      <c r="H27" s="20" t="s">
        <v>314</v>
      </c>
      <c r="I27" s="20"/>
      <c r="J27" s="20" t="s">
        <v>359</v>
      </c>
      <c r="K27" s="43" t="s">
        <v>359</v>
      </c>
      <c r="L27" s="20">
        <v>1</v>
      </c>
      <c r="M27" s="14">
        <f t="shared" si="1"/>
        <v>25</v>
      </c>
      <c r="N27" s="20">
        <v>10</v>
      </c>
      <c r="O27" s="46" t="s">
        <v>476</v>
      </c>
      <c r="P27" s="21">
        <v>0.35</v>
      </c>
      <c r="Q27" s="21">
        <f t="shared" ref="Q27" si="10">P27*N27</f>
        <v>3.5</v>
      </c>
      <c r="R27" s="20"/>
    </row>
    <row r="28" spans="1:18" s="45" customFormat="1">
      <c r="A28" s="44"/>
      <c r="B28" s="16">
        <f>ROW(B28) - ROW($B$7)</f>
        <v>21</v>
      </c>
      <c r="C28" s="22" t="s">
        <v>10</v>
      </c>
      <c r="D28" s="14" t="s">
        <v>50</v>
      </c>
      <c r="E28" s="14" t="s">
        <v>129</v>
      </c>
      <c r="F28" s="14" t="s">
        <v>198</v>
      </c>
      <c r="G28" s="14" t="s">
        <v>253</v>
      </c>
      <c r="H28" s="14" t="s">
        <v>313</v>
      </c>
      <c r="I28" s="14"/>
      <c r="J28" s="14" t="s">
        <v>357</v>
      </c>
      <c r="K28" s="43" t="s">
        <v>359</v>
      </c>
      <c r="L28" s="14">
        <v>1</v>
      </c>
      <c r="M28" s="14">
        <f t="shared" si="1"/>
        <v>25</v>
      </c>
      <c r="N28" s="14">
        <v>30</v>
      </c>
      <c r="O28" s="46" t="s">
        <v>465</v>
      </c>
      <c r="P28" s="15">
        <v>0.13450000000000001</v>
      </c>
      <c r="Q28" s="15">
        <f>P28*N28</f>
        <v>4.0350000000000001</v>
      </c>
      <c r="R28" s="14"/>
    </row>
    <row r="29" spans="1:18" s="45" customFormat="1" ht="24">
      <c r="A29" s="44"/>
      <c r="B29" s="17">
        <f t="shared" si="0"/>
        <v>22</v>
      </c>
      <c r="C29" s="23" t="s">
        <v>9</v>
      </c>
      <c r="D29" s="20" t="s">
        <v>51</v>
      </c>
      <c r="E29" s="20" t="s">
        <v>130</v>
      </c>
      <c r="F29" s="20" t="s">
        <v>199</v>
      </c>
      <c r="G29" s="20" t="s">
        <v>254</v>
      </c>
      <c r="H29" s="20" t="s">
        <v>314</v>
      </c>
      <c r="I29" s="20"/>
      <c r="J29" s="20" t="s">
        <v>359</v>
      </c>
      <c r="K29" s="43" t="s">
        <v>359</v>
      </c>
      <c r="L29" s="20">
        <v>1</v>
      </c>
      <c r="M29" s="14">
        <f t="shared" si="1"/>
        <v>25</v>
      </c>
      <c r="N29" s="20">
        <v>10</v>
      </c>
      <c r="O29" s="46" t="s">
        <v>476</v>
      </c>
      <c r="P29" s="21">
        <v>0.35</v>
      </c>
      <c r="Q29" s="21">
        <f t="shared" ref="Q29" si="11">P29*N29</f>
        <v>3.5</v>
      </c>
      <c r="R29" s="20"/>
    </row>
    <row r="30" spans="1:18" s="45" customFormat="1">
      <c r="A30" s="44"/>
      <c r="B30" s="16">
        <f>ROW(B30) - ROW($B$7)</f>
        <v>23</v>
      </c>
      <c r="C30" s="22" t="s">
        <v>8</v>
      </c>
      <c r="D30" s="14" t="s">
        <v>52</v>
      </c>
      <c r="E30" s="14" t="s">
        <v>131</v>
      </c>
      <c r="F30" s="14" t="s">
        <v>199</v>
      </c>
      <c r="G30" s="14" t="s">
        <v>255</v>
      </c>
      <c r="H30" s="14" t="s">
        <v>315</v>
      </c>
      <c r="I30" s="14"/>
      <c r="J30" s="14" t="s">
        <v>359</v>
      </c>
      <c r="K30" s="43" t="s">
        <v>359</v>
      </c>
      <c r="L30" s="14">
        <v>1</v>
      </c>
      <c r="M30" s="14">
        <f t="shared" si="1"/>
        <v>25</v>
      </c>
      <c r="N30" s="14">
        <v>10</v>
      </c>
      <c r="O30" s="46" t="s">
        <v>476</v>
      </c>
      <c r="P30" s="15">
        <v>0.35</v>
      </c>
      <c r="Q30" s="15">
        <f>P30*N30</f>
        <v>3.5</v>
      </c>
      <c r="R30" s="14"/>
    </row>
    <row r="31" spans="1:18" s="45" customFormat="1" ht="30">
      <c r="A31" s="44"/>
      <c r="B31" s="17">
        <f t="shared" si="0"/>
        <v>24</v>
      </c>
      <c r="C31" s="23" t="s">
        <v>9</v>
      </c>
      <c r="D31" s="20" t="s">
        <v>53</v>
      </c>
      <c r="E31" s="20" t="s">
        <v>132</v>
      </c>
      <c r="F31" s="20" t="s">
        <v>200</v>
      </c>
      <c r="G31" s="20" t="s">
        <v>256</v>
      </c>
      <c r="H31" s="20" t="s">
        <v>316</v>
      </c>
      <c r="I31" s="20"/>
      <c r="J31" s="20" t="s">
        <v>360</v>
      </c>
      <c r="K31" s="43" t="s">
        <v>359</v>
      </c>
      <c r="L31" s="20">
        <v>4</v>
      </c>
      <c r="M31" s="14">
        <f t="shared" si="1"/>
        <v>100</v>
      </c>
      <c r="N31" s="20">
        <v>20</v>
      </c>
      <c r="O31" s="46" t="s">
        <v>477</v>
      </c>
      <c r="P31" s="21">
        <v>4.2840000000000003E-2</v>
      </c>
      <c r="Q31" s="21">
        <f t="shared" ref="Q31" si="12">P31*N31</f>
        <v>0.85680000000000001</v>
      </c>
      <c r="R31" s="20"/>
    </row>
    <row r="32" spans="1:18" s="45" customFormat="1" ht="24">
      <c r="A32" s="44"/>
      <c r="B32" s="16">
        <f>ROW(B32) - ROW($B$7)</f>
        <v>25</v>
      </c>
      <c r="C32" s="22" t="s">
        <v>10</v>
      </c>
      <c r="D32" s="14" t="s">
        <v>54</v>
      </c>
      <c r="E32" s="14" t="s">
        <v>133</v>
      </c>
      <c r="F32" s="14" t="s">
        <v>201</v>
      </c>
      <c r="G32" s="14" t="s">
        <v>257</v>
      </c>
      <c r="H32" s="14" t="s">
        <v>317</v>
      </c>
      <c r="I32" s="14"/>
      <c r="J32" s="14" t="s">
        <v>361</v>
      </c>
      <c r="K32" s="43" t="s">
        <v>359</v>
      </c>
      <c r="L32" s="14">
        <v>1</v>
      </c>
      <c r="M32" s="14">
        <f t="shared" si="1"/>
        <v>25</v>
      </c>
      <c r="N32" s="14">
        <v>30</v>
      </c>
      <c r="O32" s="46" t="s">
        <v>465</v>
      </c>
      <c r="P32" s="15">
        <v>0.1439</v>
      </c>
      <c r="Q32" s="15">
        <f>P32*N32</f>
        <v>4.3170000000000002</v>
      </c>
      <c r="R32" s="14"/>
    </row>
    <row r="33" spans="1:18" s="45" customFormat="1" ht="24">
      <c r="A33" s="44"/>
      <c r="B33" s="17">
        <f t="shared" si="0"/>
        <v>26</v>
      </c>
      <c r="C33" s="23" t="s">
        <v>10</v>
      </c>
      <c r="D33" s="20" t="s">
        <v>55</v>
      </c>
      <c r="E33" s="20" t="s">
        <v>134</v>
      </c>
      <c r="F33" s="20" t="s">
        <v>202</v>
      </c>
      <c r="G33" s="20" t="s">
        <v>258</v>
      </c>
      <c r="H33" s="20" t="s">
        <v>317</v>
      </c>
      <c r="I33" s="20"/>
      <c r="J33" s="20" t="s">
        <v>362</v>
      </c>
      <c r="K33" s="43" t="s">
        <v>359</v>
      </c>
      <c r="L33" s="20">
        <v>1</v>
      </c>
      <c r="M33" s="14">
        <f t="shared" si="1"/>
        <v>25</v>
      </c>
      <c r="N33" s="20">
        <v>30</v>
      </c>
      <c r="O33" s="46" t="s">
        <v>465</v>
      </c>
      <c r="P33" s="21">
        <v>0.15870000000000001</v>
      </c>
      <c r="Q33" s="21">
        <f t="shared" ref="Q33" si="13">P33*N33</f>
        <v>4.7610000000000001</v>
      </c>
      <c r="R33" s="20"/>
    </row>
    <row r="34" spans="1:18" s="45" customFormat="1">
      <c r="A34" s="44"/>
      <c r="B34" s="16">
        <f>ROW(B34) - ROW($B$7)</f>
        <v>27</v>
      </c>
      <c r="C34" s="22" t="s">
        <v>10</v>
      </c>
      <c r="D34" s="14" t="s">
        <v>56</v>
      </c>
      <c r="E34" s="14" t="s">
        <v>135</v>
      </c>
      <c r="F34" s="14" t="s">
        <v>203</v>
      </c>
      <c r="G34" s="14" t="s">
        <v>259</v>
      </c>
      <c r="H34" s="14" t="s">
        <v>318</v>
      </c>
      <c r="I34" s="14"/>
      <c r="J34" s="14" t="s">
        <v>363</v>
      </c>
      <c r="K34" s="43" t="s">
        <v>359</v>
      </c>
      <c r="L34" s="14">
        <v>1</v>
      </c>
      <c r="M34" s="14">
        <f t="shared" si="1"/>
        <v>25</v>
      </c>
      <c r="N34" s="14">
        <v>30</v>
      </c>
      <c r="O34" s="46" t="s">
        <v>465</v>
      </c>
      <c r="P34" s="15">
        <v>0.1489</v>
      </c>
      <c r="Q34" s="15">
        <f>P34*N34</f>
        <v>4.4670000000000005</v>
      </c>
      <c r="R34" s="14"/>
    </row>
    <row r="35" spans="1:18" s="45" customFormat="1">
      <c r="A35" s="44"/>
      <c r="B35" s="17">
        <f t="shared" si="0"/>
        <v>28</v>
      </c>
      <c r="C35" s="23" t="s">
        <v>8</v>
      </c>
      <c r="D35" s="20" t="s">
        <v>57</v>
      </c>
      <c r="E35" s="20" t="s">
        <v>136</v>
      </c>
      <c r="F35" s="20" t="s">
        <v>203</v>
      </c>
      <c r="G35" s="20" t="s">
        <v>260</v>
      </c>
      <c r="H35" s="20" t="s">
        <v>319</v>
      </c>
      <c r="I35" s="20"/>
      <c r="J35" s="20" t="s">
        <v>364</v>
      </c>
      <c r="K35" s="43" t="s">
        <v>359</v>
      </c>
      <c r="L35" s="20">
        <v>1</v>
      </c>
      <c r="M35" s="14">
        <f t="shared" si="1"/>
        <v>25</v>
      </c>
      <c r="N35" s="20">
        <v>30</v>
      </c>
      <c r="O35" s="46" t="s">
        <v>465</v>
      </c>
      <c r="P35" s="21">
        <v>3.9600000000000003E-2</v>
      </c>
      <c r="Q35" s="21">
        <f t="shared" ref="Q35" si="14">P35*N35</f>
        <v>1.1880000000000002</v>
      </c>
      <c r="R35" s="20"/>
    </row>
    <row r="36" spans="1:18" s="45" customFormat="1">
      <c r="A36" s="44"/>
      <c r="B36" s="16">
        <f>ROW(B36) - ROW($B$7)</f>
        <v>29</v>
      </c>
      <c r="C36" s="22" t="s">
        <v>11</v>
      </c>
      <c r="D36" s="14" t="s">
        <v>58</v>
      </c>
      <c r="E36" s="14" t="s">
        <v>137</v>
      </c>
      <c r="F36" s="14" t="s">
        <v>204</v>
      </c>
      <c r="G36" s="14" t="s">
        <v>261</v>
      </c>
      <c r="H36" s="14" t="s">
        <v>320</v>
      </c>
      <c r="I36" s="14"/>
      <c r="J36" s="14" t="s">
        <v>365</v>
      </c>
      <c r="K36" s="43" t="s">
        <v>359</v>
      </c>
      <c r="L36" s="14">
        <v>1</v>
      </c>
      <c r="M36" s="14">
        <f t="shared" si="1"/>
        <v>25</v>
      </c>
      <c r="N36" s="14">
        <v>30</v>
      </c>
      <c r="O36" s="46" t="s">
        <v>465</v>
      </c>
      <c r="P36" s="15">
        <v>0.79190000000000005</v>
      </c>
      <c r="Q36" s="15">
        <f>P36*N36</f>
        <v>23.757000000000001</v>
      </c>
      <c r="R36" s="14"/>
    </row>
    <row r="37" spans="1:18" s="45" customFormat="1" ht="24">
      <c r="A37" s="44"/>
      <c r="B37" s="17">
        <f t="shared" si="0"/>
        <v>30</v>
      </c>
      <c r="C37" s="23" t="s">
        <v>12</v>
      </c>
      <c r="D37" s="20" t="s">
        <v>59</v>
      </c>
      <c r="E37" s="20" t="s">
        <v>138</v>
      </c>
      <c r="F37" s="20" t="s">
        <v>205</v>
      </c>
      <c r="G37" s="20" t="s">
        <v>262</v>
      </c>
      <c r="H37" s="20" t="s">
        <v>309</v>
      </c>
      <c r="I37" s="20"/>
      <c r="J37" s="20" t="s">
        <v>366</v>
      </c>
      <c r="K37" s="43" t="s">
        <v>359</v>
      </c>
      <c r="L37" s="20">
        <v>1</v>
      </c>
      <c r="M37" s="14">
        <f t="shared" si="1"/>
        <v>25</v>
      </c>
      <c r="N37" s="20">
        <v>100</v>
      </c>
      <c r="O37" s="46" t="s">
        <v>465</v>
      </c>
      <c r="P37" s="21">
        <v>7.9000000000000008E-3</v>
      </c>
      <c r="Q37" s="21">
        <f t="shared" ref="Q37" si="15">P37*N37</f>
        <v>0.79</v>
      </c>
      <c r="R37" s="20"/>
    </row>
    <row r="38" spans="1:18" s="45" customFormat="1" ht="24">
      <c r="A38" s="44"/>
      <c r="B38" s="16">
        <f>ROW(B38) - ROW($B$7)</f>
        <v>31</v>
      </c>
      <c r="C38" s="22" t="s">
        <v>13</v>
      </c>
      <c r="D38" s="14" t="s">
        <v>60</v>
      </c>
      <c r="E38" s="14" t="s">
        <v>139</v>
      </c>
      <c r="F38" s="20" t="s">
        <v>456</v>
      </c>
      <c r="G38" s="14" t="s">
        <v>206</v>
      </c>
      <c r="H38" s="14" t="s">
        <v>321</v>
      </c>
      <c r="I38" s="14"/>
      <c r="J38" s="14" t="s">
        <v>367</v>
      </c>
      <c r="K38" s="43" t="s">
        <v>359</v>
      </c>
      <c r="L38" s="14">
        <v>1</v>
      </c>
      <c r="M38" s="14">
        <f t="shared" si="1"/>
        <v>25</v>
      </c>
      <c r="N38" s="14">
        <v>26</v>
      </c>
      <c r="O38" s="46" t="s">
        <v>485</v>
      </c>
      <c r="P38" s="15">
        <v>1.1445000000000001</v>
      </c>
      <c r="Q38" s="15">
        <f>P38*N38</f>
        <v>29.757000000000001</v>
      </c>
      <c r="R38" s="14"/>
    </row>
    <row r="39" spans="1:18" s="45" customFormat="1" ht="48">
      <c r="A39" s="44"/>
      <c r="B39" s="17">
        <f t="shared" si="0"/>
        <v>32</v>
      </c>
      <c r="C39" s="23" t="s">
        <v>14</v>
      </c>
      <c r="D39" s="20" t="s">
        <v>61</v>
      </c>
      <c r="E39" s="20" t="s">
        <v>140</v>
      </c>
      <c r="F39" s="20" t="s">
        <v>456</v>
      </c>
      <c r="G39" s="20" t="s">
        <v>207</v>
      </c>
      <c r="H39" s="20" t="s">
        <v>322</v>
      </c>
      <c r="I39" s="20"/>
      <c r="J39" s="20" t="s">
        <v>368</v>
      </c>
      <c r="K39" s="43" t="s">
        <v>359</v>
      </c>
      <c r="L39" s="20">
        <v>1</v>
      </c>
      <c r="M39" s="14">
        <f t="shared" si="1"/>
        <v>25</v>
      </c>
      <c r="N39" s="20">
        <v>30</v>
      </c>
      <c r="O39" s="46" t="s">
        <v>465</v>
      </c>
      <c r="P39" s="21">
        <v>0.29680000000000001</v>
      </c>
      <c r="Q39" s="21">
        <f t="shared" ref="Q39" si="16">P39*N39</f>
        <v>8.9039999999999999</v>
      </c>
      <c r="R39" s="20"/>
    </row>
    <row r="40" spans="1:18" s="45" customFormat="1" ht="72">
      <c r="A40" s="44"/>
      <c r="B40" s="16">
        <f>ROW(B40) - ROW($B$7)</f>
        <v>33</v>
      </c>
      <c r="C40" s="22" t="s">
        <v>15</v>
      </c>
      <c r="D40" s="14" t="s">
        <v>62</v>
      </c>
      <c r="E40" s="14" t="s">
        <v>141</v>
      </c>
      <c r="F40" s="14" t="s">
        <v>208</v>
      </c>
      <c r="G40" s="14" t="s">
        <v>263</v>
      </c>
      <c r="H40" s="14" t="s">
        <v>323</v>
      </c>
      <c r="I40" s="14"/>
      <c r="J40" s="14" t="s">
        <v>369</v>
      </c>
      <c r="K40" s="43" t="s">
        <v>359</v>
      </c>
      <c r="L40" s="14">
        <v>1</v>
      </c>
      <c r="M40" s="14">
        <f t="shared" si="1"/>
        <v>25</v>
      </c>
      <c r="N40" s="14">
        <v>30</v>
      </c>
      <c r="O40" s="46" t="s">
        <v>465</v>
      </c>
      <c r="P40" s="15">
        <v>4.82E-2</v>
      </c>
      <c r="Q40" s="15">
        <f>P40*N40</f>
        <v>1.446</v>
      </c>
      <c r="R40" s="14"/>
    </row>
    <row r="41" spans="1:18" s="45" customFormat="1" ht="25.5">
      <c r="A41" s="44"/>
      <c r="B41" s="17">
        <f t="shared" si="0"/>
        <v>34</v>
      </c>
      <c r="C41" s="23" t="s">
        <v>535</v>
      </c>
      <c r="D41" s="54" t="s">
        <v>63</v>
      </c>
      <c r="E41" s="54" t="s">
        <v>142</v>
      </c>
      <c r="F41" s="54" t="s">
        <v>456</v>
      </c>
      <c r="G41" s="54" t="s">
        <v>264</v>
      </c>
      <c r="H41" s="54" t="s">
        <v>324</v>
      </c>
      <c r="I41" s="54"/>
      <c r="J41" s="54" t="s">
        <v>359</v>
      </c>
      <c r="K41" s="55" t="s">
        <v>359</v>
      </c>
      <c r="L41" s="54">
        <v>1</v>
      </c>
      <c r="M41" s="56">
        <f t="shared" si="1"/>
        <v>25</v>
      </c>
      <c r="N41" s="54">
        <v>26</v>
      </c>
      <c r="O41" s="57" t="s">
        <v>359</v>
      </c>
      <c r="P41" s="58" t="s">
        <v>359</v>
      </c>
      <c r="Q41" s="58" t="s">
        <v>359</v>
      </c>
      <c r="R41" s="52" t="s">
        <v>536</v>
      </c>
    </row>
    <row r="42" spans="1:18" s="45" customFormat="1" ht="24">
      <c r="A42" s="44"/>
      <c r="B42" s="16">
        <f>ROW(B42) - ROW($B$7)</f>
        <v>35</v>
      </c>
      <c r="C42" s="22" t="s">
        <v>16</v>
      </c>
      <c r="D42" s="14" t="s">
        <v>64</v>
      </c>
      <c r="E42" s="14" t="s">
        <v>143</v>
      </c>
      <c r="F42" s="20" t="s">
        <v>456</v>
      </c>
      <c r="G42" s="14" t="s">
        <v>209</v>
      </c>
      <c r="H42" s="14" t="s">
        <v>325</v>
      </c>
      <c r="I42" s="14"/>
      <c r="J42" s="14" t="s">
        <v>370</v>
      </c>
      <c r="K42" s="43" t="s">
        <v>359</v>
      </c>
      <c r="L42" s="14">
        <v>1</v>
      </c>
      <c r="M42" s="14">
        <f t="shared" si="1"/>
        <v>25</v>
      </c>
      <c r="N42" s="14">
        <v>26</v>
      </c>
      <c r="O42" s="47" t="s">
        <v>465</v>
      </c>
      <c r="P42" s="15">
        <v>0.47589999999999999</v>
      </c>
      <c r="Q42" s="15">
        <f>P42*N42</f>
        <v>12.3734</v>
      </c>
      <c r="R42" s="14"/>
    </row>
    <row r="43" spans="1:18" s="45" customFormat="1" ht="60">
      <c r="A43" s="44"/>
      <c r="B43" s="17">
        <f t="shared" si="0"/>
        <v>36</v>
      </c>
      <c r="C43" s="23" t="s">
        <v>17</v>
      </c>
      <c r="D43" s="20" t="s">
        <v>65</v>
      </c>
      <c r="E43" s="20" t="s">
        <v>144</v>
      </c>
      <c r="F43" s="20" t="s">
        <v>456</v>
      </c>
      <c r="G43" s="20" t="s">
        <v>210</v>
      </c>
      <c r="H43" s="20" t="s">
        <v>326</v>
      </c>
      <c r="I43" s="20"/>
      <c r="J43" s="20" t="s">
        <v>371</v>
      </c>
      <c r="K43" s="43" t="s">
        <v>359</v>
      </c>
      <c r="L43" s="20">
        <v>1</v>
      </c>
      <c r="M43" s="14">
        <f t="shared" si="1"/>
        <v>25</v>
      </c>
      <c r="N43" s="20">
        <v>30</v>
      </c>
      <c r="O43" s="47" t="s">
        <v>465</v>
      </c>
      <c r="P43" s="21">
        <v>0.15720000000000001</v>
      </c>
      <c r="Q43" s="21">
        <f t="shared" ref="Q43" si="17">P43*N43</f>
        <v>4.7160000000000002</v>
      </c>
      <c r="R43" s="20"/>
    </row>
    <row r="44" spans="1:18" s="45" customFormat="1" ht="72">
      <c r="A44" s="44"/>
      <c r="B44" s="16">
        <f>ROW(B44) - ROW($B$7)</f>
        <v>37</v>
      </c>
      <c r="C44" s="22" t="s">
        <v>15</v>
      </c>
      <c r="D44" s="14" t="s">
        <v>66</v>
      </c>
      <c r="E44" s="14" t="s">
        <v>145</v>
      </c>
      <c r="F44" s="14" t="s">
        <v>211</v>
      </c>
      <c r="G44" s="14" t="s">
        <v>265</v>
      </c>
      <c r="H44" s="14" t="s">
        <v>323</v>
      </c>
      <c r="I44" s="14"/>
      <c r="J44" s="14" t="s">
        <v>372</v>
      </c>
      <c r="K44" s="43" t="s">
        <v>359</v>
      </c>
      <c r="L44" s="14">
        <v>2</v>
      </c>
      <c r="M44" s="14">
        <f t="shared" si="1"/>
        <v>50</v>
      </c>
      <c r="N44" s="14">
        <v>60</v>
      </c>
      <c r="O44" s="46" t="s">
        <v>465</v>
      </c>
      <c r="P44" s="15">
        <v>3.2599999999999997E-2</v>
      </c>
      <c r="Q44" s="15">
        <f>P44*N44</f>
        <v>1.9559999999999997</v>
      </c>
      <c r="R44" s="14"/>
    </row>
    <row r="45" spans="1:18" s="45" customFormat="1" ht="48">
      <c r="A45" s="44"/>
      <c r="B45" s="17">
        <f t="shared" si="0"/>
        <v>38</v>
      </c>
      <c r="C45" s="23" t="s">
        <v>14</v>
      </c>
      <c r="D45" s="20" t="s">
        <v>67</v>
      </c>
      <c r="E45" s="20" t="s">
        <v>146</v>
      </c>
      <c r="F45" s="20" t="s">
        <v>456</v>
      </c>
      <c r="G45" s="20" t="s">
        <v>212</v>
      </c>
      <c r="H45" s="20" t="s">
        <v>322</v>
      </c>
      <c r="I45" s="20"/>
      <c r="J45" s="20" t="s">
        <v>373</v>
      </c>
      <c r="K45" s="43" t="s">
        <v>359</v>
      </c>
      <c r="L45" s="20">
        <v>4</v>
      </c>
      <c r="M45" s="14">
        <f t="shared" si="1"/>
        <v>100</v>
      </c>
      <c r="N45" s="20">
        <v>105</v>
      </c>
      <c r="O45" s="46" t="s">
        <v>465</v>
      </c>
      <c r="P45" s="21">
        <v>0.30380000000000001</v>
      </c>
      <c r="Q45" s="21">
        <f t="shared" ref="Q45" si="18">P45*N45</f>
        <v>31.899000000000001</v>
      </c>
      <c r="R45" s="20"/>
    </row>
    <row r="46" spans="1:18" s="45" customFormat="1" ht="24">
      <c r="A46" s="44"/>
      <c r="B46" s="16">
        <f>ROW(B46) - ROW($B$7)</f>
        <v>39</v>
      </c>
      <c r="C46" s="22" t="s">
        <v>18</v>
      </c>
      <c r="D46" s="14" t="s">
        <v>68</v>
      </c>
      <c r="E46" s="14" t="s">
        <v>147</v>
      </c>
      <c r="F46" s="20" t="s">
        <v>456</v>
      </c>
      <c r="G46" s="14" t="s">
        <v>213</v>
      </c>
      <c r="H46" s="14" t="s">
        <v>318</v>
      </c>
      <c r="I46" s="14"/>
      <c r="J46" s="14" t="s">
        <v>374</v>
      </c>
      <c r="K46" s="43" t="s">
        <v>431</v>
      </c>
      <c r="L46" s="14">
        <v>1</v>
      </c>
      <c r="M46" s="14">
        <f t="shared" si="1"/>
        <v>25</v>
      </c>
      <c r="N46" s="14">
        <v>26</v>
      </c>
      <c r="O46" s="46" t="s">
        <v>465</v>
      </c>
      <c r="P46" s="15">
        <v>0.77880000000000005</v>
      </c>
      <c r="Q46" s="15">
        <f>P46*N46</f>
        <v>20.248800000000003</v>
      </c>
      <c r="R46" s="14"/>
    </row>
    <row r="47" spans="1:18" s="45" customFormat="1" ht="24">
      <c r="A47" s="44"/>
      <c r="B47" s="17">
        <f t="shared" si="0"/>
        <v>40</v>
      </c>
      <c r="C47" s="23" t="s">
        <v>19</v>
      </c>
      <c r="D47" s="20" t="s">
        <v>69</v>
      </c>
      <c r="E47" s="20" t="s">
        <v>148</v>
      </c>
      <c r="F47" s="20" t="s">
        <v>214</v>
      </c>
      <c r="G47" s="20" t="s">
        <v>266</v>
      </c>
      <c r="H47" s="20" t="s">
        <v>327</v>
      </c>
      <c r="I47" s="20"/>
      <c r="J47" s="20" t="s">
        <v>375</v>
      </c>
      <c r="K47" s="42" t="s">
        <v>359</v>
      </c>
      <c r="L47" s="20">
        <v>8</v>
      </c>
      <c r="M47" s="14">
        <f t="shared" si="1"/>
        <v>200</v>
      </c>
      <c r="N47" s="20">
        <v>220</v>
      </c>
      <c r="O47" s="46" t="s">
        <v>465</v>
      </c>
      <c r="P47" s="21">
        <v>2.0400000000000001E-2</v>
      </c>
      <c r="Q47" s="21">
        <f t="shared" ref="Q47" si="19">P47*N47</f>
        <v>4.4880000000000004</v>
      </c>
      <c r="R47" s="20"/>
    </row>
    <row r="48" spans="1:18" s="45" customFormat="1" ht="24">
      <c r="A48" s="44"/>
      <c r="B48" s="16">
        <f>ROW(B48) - ROW($B$7)</f>
        <v>41</v>
      </c>
      <c r="C48" s="22" t="s">
        <v>19</v>
      </c>
      <c r="D48" s="14" t="s">
        <v>70</v>
      </c>
      <c r="E48" s="14" t="s">
        <v>149</v>
      </c>
      <c r="F48" s="14" t="s">
        <v>214</v>
      </c>
      <c r="G48" s="14" t="s">
        <v>267</v>
      </c>
      <c r="H48" s="14" t="s">
        <v>327</v>
      </c>
      <c r="I48" s="14"/>
      <c r="J48" s="14" t="s">
        <v>376</v>
      </c>
      <c r="K48" s="42" t="s">
        <v>359</v>
      </c>
      <c r="L48" s="14">
        <v>1</v>
      </c>
      <c r="M48" s="14">
        <f t="shared" si="1"/>
        <v>25</v>
      </c>
      <c r="N48" s="14">
        <v>40</v>
      </c>
      <c r="O48" s="46" t="s">
        <v>465</v>
      </c>
      <c r="P48" s="15">
        <v>2.35E-2</v>
      </c>
      <c r="Q48" s="15">
        <f>P48*N48</f>
        <v>0.94</v>
      </c>
      <c r="R48" s="14"/>
    </row>
    <row r="49" spans="1:18" s="45" customFormat="1">
      <c r="A49" s="44"/>
      <c r="B49" s="17">
        <f t="shared" si="0"/>
        <v>42</v>
      </c>
      <c r="C49" s="23" t="s">
        <v>20</v>
      </c>
      <c r="D49" s="20" t="s">
        <v>71</v>
      </c>
      <c r="E49" s="20" t="s">
        <v>150</v>
      </c>
      <c r="F49" s="20" t="s">
        <v>456</v>
      </c>
      <c r="G49" s="20" t="s">
        <v>215</v>
      </c>
      <c r="H49" s="20" t="s">
        <v>328</v>
      </c>
      <c r="I49" s="20"/>
      <c r="J49" s="20" t="s">
        <v>377</v>
      </c>
      <c r="K49" s="42" t="s">
        <v>359</v>
      </c>
      <c r="L49" s="20">
        <v>5</v>
      </c>
      <c r="M49" s="14">
        <f t="shared" si="1"/>
        <v>125</v>
      </c>
      <c r="N49" s="20">
        <v>130</v>
      </c>
      <c r="O49" s="46" t="s">
        <v>465</v>
      </c>
      <c r="P49" s="21">
        <v>0.1293</v>
      </c>
      <c r="Q49" s="21">
        <f t="shared" ref="Q49" si="20">P49*N49</f>
        <v>16.809000000000001</v>
      </c>
      <c r="R49" s="20"/>
    </row>
    <row r="50" spans="1:18" s="45" customFormat="1" ht="60">
      <c r="A50" s="44"/>
      <c r="B50" s="16">
        <f>ROW(B50) - ROW($B$7)</f>
        <v>43</v>
      </c>
      <c r="C50" s="22" t="s">
        <v>19</v>
      </c>
      <c r="D50" s="14" t="s">
        <v>72</v>
      </c>
      <c r="E50" s="14" t="s">
        <v>151</v>
      </c>
      <c r="F50" s="14" t="s">
        <v>214</v>
      </c>
      <c r="G50" s="14" t="s">
        <v>268</v>
      </c>
      <c r="H50" s="14" t="s">
        <v>329</v>
      </c>
      <c r="I50" s="14"/>
      <c r="J50" s="14" t="s">
        <v>378</v>
      </c>
      <c r="K50" s="42" t="s">
        <v>359</v>
      </c>
      <c r="L50" s="14">
        <v>4</v>
      </c>
      <c r="M50" s="14">
        <f t="shared" si="1"/>
        <v>100</v>
      </c>
      <c r="N50" s="14">
        <v>120</v>
      </c>
      <c r="O50" s="46" t="s">
        <v>465</v>
      </c>
      <c r="P50" s="15">
        <v>2.3300000000000001E-2</v>
      </c>
      <c r="Q50" s="15">
        <f>P50*N50</f>
        <v>2.7960000000000003</v>
      </c>
      <c r="R50" s="14"/>
    </row>
    <row r="51" spans="1:18" s="45" customFormat="1" ht="24">
      <c r="A51" s="44"/>
      <c r="B51" s="17">
        <f t="shared" si="0"/>
        <v>44</v>
      </c>
      <c r="C51" s="23" t="s">
        <v>21</v>
      </c>
      <c r="D51" s="20" t="s">
        <v>73</v>
      </c>
      <c r="E51" s="20" t="s">
        <v>152</v>
      </c>
      <c r="F51" s="20" t="s">
        <v>216</v>
      </c>
      <c r="G51" s="20" t="s">
        <v>269</v>
      </c>
      <c r="H51" s="20" t="s">
        <v>330</v>
      </c>
      <c r="I51" s="20"/>
      <c r="J51" s="20" t="s">
        <v>379</v>
      </c>
      <c r="K51" s="42" t="s">
        <v>359</v>
      </c>
      <c r="L51" s="20">
        <v>1</v>
      </c>
      <c r="M51" s="14">
        <f t="shared" si="1"/>
        <v>25</v>
      </c>
      <c r="N51" s="20">
        <v>26</v>
      </c>
      <c r="O51" s="46" t="s">
        <v>465</v>
      </c>
      <c r="P51" s="21">
        <v>2.4323000000000001</v>
      </c>
      <c r="Q51" s="21">
        <f t="shared" ref="Q51" si="21">P51*N51</f>
        <v>63.239800000000002</v>
      </c>
      <c r="R51" s="20"/>
    </row>
    <row r="52" spans="1:18" s="45" customFormat="1">
      <c r="A52" s="44"/>
      <c r="B52" s="16">
        <f>ROW(B52) - ROW($B$7)</f>
        <v>45</v>
      </c>
      <c r="C52" s="22" t="s">
        <v>22</v>
      </c>
      <c r="D52" s="14" t="s">
        <v>74</v>
      </c>
      <c r="E52" s="14" t="s">
        <v>153</v>
      </c>
      <c r="F52" s="14" t="s">
        <v>217</v>
      </c>
      <c r="G52" s="14" t="s">
        <v>270</v>
      </c>
      <c r="H52" s="14" t="s">
        <v>319</v>
      </c>
      <c r="I52" s="14"/>
      <c r="J52" s="14" t="s">
        <v>380</v>
      </c>
      <c r="K52" s="42" t="s">
        <v>359</v>
      </c>
      <c r="L52" s="14">
        <v>1</v>
      </c>
      <c r="M52" s="14">
        <f t="shared" si="1"/>
        <v>25</v>
      </c>
      <c r="N52" s="14">
        <v>40</v>
      </c>
      <c r="O52" s="46" t="s">
        <v>465</v>
      </c>
      <c r="P52" s="15">
        <v>2.8199999999999999E-2</v>
      </c>
      <c r="Q52" s="15">
        <f>P52*N52</f>
        <v>1.1279999999999999</v>
      </c>
      <c r="R52" s="14"/>
    </row>
    <row r="53" spans="1:18" s="45" customFormat="1" ht="24">
      <c r="A53" s="44"/>
      <c r="B53" s="17">
        <f t="shared" si="0"/>
        <v>46</v>
      </c>
      <c r="C53" s="23" t="s">
        <v>23</v>
      </c>
      <c r="D53" s="20" t="s">
        <v>75</v>
      </c>
      <c r="E53" s="20" t="s">
        <v>154</v>
      </c>
      <c r="F53" s="20" t="s">
        <v>203</v>
      </c>
      <c r="G53" s="20" t="s">
        <v>271</v>
      </c>
      <c r="H53" s="20" t="s">
        <v>331</v>
      </c>
      <c r="I53" s="20"/>
      <c r="J53" s="20" t="s">
        <v>381</v>
      </c>
      <c r="K53" s="42" t="s">
        <v>359</v>
      </c>
      <c r="L53" s="20">
        <v>1</v>
      </c>
      <c r="M53" s="14">
        <f t="shared" si="1"/>
        <v>25</v>
      </c>
      <c r="N53" s="20">
        <v>40</v>
      </c>
      <c r="O53" s="46" t="s">
        <v>465</v>
      </c>
      <c r="P53" s="21">
        <v>7.7999999999999996E-3</v>
      </c>
      <c r="Q53" s="21">
        <f t="shared" ref="Q53:Q54" si="22">P53*N53</f>
        <v>0.312</v>
      </c>
      <c r="R53" s="20"/>
    </row>
    <row r="54" spans="1:18" s="45" customFormat="1" ht="24">
      <c r="A54" s="44"/>
      <c r="B54" s="16">
        <f>ROW(B54) - ROW($B$7)</f>
        <v>47</v>
      </c>
      <c r="C54" s="22" t="s">
        <v>24</v>
      </c>
      <c r="D54" s="20" t="s">
        <v>508</v>
      </c>
      <c r="E54" s="20" t="s">
        <v>157</v>
      </c>
      <c r="F54" s="20" t="s">
        <v>219</v>
      </c>
      <c r="G54" s="20" t="s">
        <v>274</v>
      </c>
      <c r="H54" s="20" t="s">
        <v>308</v>
      </c>
      <c r="I54" s="20"/>
      <c r="J54" s="20" t="s">
        <v>384</v>
      </c>
      <c r="K54" s="42" t="s">
        <v>432</v>
      </c>
      <c r="L54" s="20">
        <v>3</v>
      </c>
      <c r="M54" s="14">
        <f t="shared" si="1"/>
        <v>75</v>
      </c>
      <c r="N54" s="14">
        <v>100</v>
      </c>
      <c r="O54" s="46" t="s">
        <v>465</v>
      </c>
      <c r="P54" s="21" t="s">
        <v>498</v>
      </c>
      <c r="Q54" s="21">
        <f t="shared" si="22"/>
        <v>1.79</v>
      </c>
      <c r="R54" s="14"/>
    </row>
    <row r="55" spans="1:18" s="45" customFormat="1">
      <c r="A55" s="44"/>
      <c r="B55" s="17">
        <f t="shared" si="0"/>
        <v>48</v>
      </c>
      <c r="C55" s="23" t="s">
        <v>24</v>
      </c>
      <c r="D55" s="20" t="s">
        <v>76</v>
      </c>
      <c r="E55" s="20" t="s">
        <v>155</v>
      </c>
      <c r="F55" s="20" t="s">
        <v>219</v>
      </c>
      <c r="G55" s="20" t="s">
        <v>272</v>
      </c>
      <c r="H55" s="20" t="s">
        <v>308</v>
      </c>
      <c r="I55" s="20"/>
      <c r="J55" s="20" t="s">
        <v>382</v>
      </c>
      <c r="K55" s="42" t="s">
        <v>433</v>
      </c>
      <c r="L55" s="20">
        <v>1</v>
      </c>
      <c r="M55" s="14">
        <f t="shared" si="1"/>
        <v>25</v>
      </c>
      <c r="N55" s="20"/>
      <c r="O55" s="46" t="s">
        <v>465</v>
      </c>
      <c r="P55" s="21"/>
      <c r="Q55" s="21">
        <f t="shared" ref="Q55" si="23">P55*N55</f>
        <v>0</v>
      </c>
      <c r="R55" s="20"/>
    </row>
    <row r="56" spans="1:18" s="45" customFormat="1" ht="24">
      <c r="A56" s="44"/>
      <c r="B56" s="16">
        <f>ROW(B56) - ROW($B$7)</f>
        <v>49</v>
      </c>
      <c r="C56" s="22" t="s">
        <v>24</v>
      </c>
      <c r="D56" s="14" t="s">
        <v>77</v>
      </c>
      <c r="E56" s="14" t="s">
        <v>156</v>
      </c>
      <c r="F56" s="14" t="s">
        <v>218</v>
      </c>
      <c r="G56" s="14" t="s">
        <v>273</v>
      </c>
      <c r="H56" s="14" t="s">
        <v>308</v>
      </c>
      <c r="I56" s="14"/>
      <c r="J56" s="14" t="s">
        <v>383</v>
      </c>
      <c r="K56" s="43" t="s">
        <v>434</v>
      </c>
      <c r="L56" s="14">
        <v>1</v>
      </c>
      <c r="M56" s="14">
        <f t="shared" si="1"/>
        <v>25</v>
      </c>
      <c r="N56" s="14"/>
      <c r="O56" s="46" t="s">
        <v>465</v>
      </c>
      <c r="P56" s="15"/>
      <c r="Q56" s="15">
        <f>P56*N56</f>
        <v>0</v>
      </c>
      <c r="R56" s="14"/>
    </row>
    <row r="57" spans="1:18" s="45" customFormat="1" ht="24">
      <c r="A57" s="44"/>
      <c r="B57" s="16">
        <f>ROW(B57) - ROW($B$7)</f>
        <v>50</v>
      </c>
      <c r="C57" s="22" t="s">
        <v>25</v>
      </c>
      <c r="D57" s="14" t="s">
        <v>78</v>
      </c>
      <c r="E57" s="14" t="s">
        <v>158</v>
      </c>
      <c r="F57" s="14" t="s">
        <v>218</v>
      </c>
      <c r="G57" s="14" t="s">
        <v>275</v>
      </c>
      <c r="H57" s="14" t="s">
        <v>308</v>
      </c>
      <c r="I57" s="14"/>
      <c r="J57" s="14" t="s">
        <v>385</v>
      </c>
      <c r="K57" s="43" t="s">
        <v>435</v>
      </c>
      <c r="L57" s="14">
        <v>1</v>
      </c>
      <c r="M57" s="14">
        <f t="shared" si="1"/>
        <v>25</v>
      </c>
      <c r="N57" s="14"/>
      <c r="O57" s="46" t="s">
        <v>465</v>
      </c>
      <c r="P57" s="15"/>
      <c r="Q57" s="15">
        <f>P57*N57</f>
        <v>0</v>
      </c>
      <c r="R57" s="14"/>
    </row>
    <row r="58" spans="1:18" s="45" customFormat="1" ht="24">
      <c r="A58" s="44"/>
      <c r="B58" s="17">
        <f t="shared" si="0"/>
        <v>51</v>
      </c>
      <c r="C58" s="23" t="s">
        <v>25</v>
      </c>
      <c r="D58" s="20" t="s">
        <v>79</v>
      </c>
      <c r="E58" s="20" t="s">
        <v>159</v>
      </c>
      <c r="F58" s="20" t="s">
        <v>219</v>
      </c>
      <c r="G58" s="20" t="s">
        <v>276</v>
      </c>
      <c r="H58" s="20" t="s">
        <v>308</v>
      </c>
      <c r="I58" s="20"/>
      <c r="J58" s="20" t="s">
        <v>386</v>
      </c>
      <c r="K58" s="42" t="s">
        <v>436</v>
      </c>
      <c r="L58" s="20">
        <v>1</v>
      </c>
      <c r="M58" s="14">
        <f t="shared" si="1"/>
        <v>25</v>
      </c>
      <c r="N58" s="20"/>
      <c r="O58" s="46" t="s">
        <v>465</v>
      </c>
      <c r="P58" s="21"/>
      <c r="Q58" s="21">
        <f t="shared" ref="Q58" si="24">P58*N58</f>
        <v>0</v>
      </c>
      <c r="R58" s="20"/>
    </row>
    <row r="59" spans="1:18" s="45" customFormat="1">
      <c r="A59" s="44"/>
      <c r="B59" s="16">
        <f>ROW(B59) - ROW($B$7)</f>
        <v>52</v>
      </c>
      <c r="C59" s="22"/>
      <c r="D59" s="14" t="s">
        <v>80</v>
      </c>
      <c r="E59" s="14" t="s">
        <v>160</v>
      </c>
      <c r="F59" s="14" t="s">
        <v>219</v>
      </c>
      <c r="G59" s="14" t="s">
        <v>277</v>
      </c>
      <c r="H59" s="14" t="s">
        <v>308</v>
      </c>
      <c r="I59" s="14"/>
      <c r="J59" s="14" t="s">
        <v>387</v>
      </c>
      <c r="K59" s="43" t="s">
        <v>437</v>
      </c>
      <c r="L59" s="14">
        <v>1</v>
      </c>
      <c r="M59" s="14">
        <f t="shared" si="1"/>
        <v>25</v>
      </c>
      <c r="N59" s="14"/>
      <c r="O59" s="46" t="s">
        <v>465</v>
      </c>
      <c r="P59" s="15"/>
      <c r="Q59" s="15">
        <f>P59*N59</f>
        <v>0</v>
      </c>
      <c r="R59" s="14"/>
    </row>
    <row r="60" spans="1:18" s="45" customFormat="1">
      <c r="A60" s="44"/>
      <c r="B60" s="17">
        <f t="shared" si="0"/>
        <v>53</v>
      </c>
      <c r="C60" s="23" t="s">
        <v>25</v>
      </c>
      <c r="D60" s="20" t="s">
        <v>81</v>
      </c>
      <c r="E60" s="20" t="s">
        <v>161</v>
      </c>
      <c r="F60" s="20" t="s">
        <v>219</v>
      </c>
      <c r="G60" s="20" t="s">
        <v>278</v>
      </c>
      <c r="H60" s="20" t="s">
        <v>308</v>
      </c>
      <c r="I60" s="20"/>
      <c r="J60" s="20" t="s">
        <v>388</v>
      </c>
      <c r="K60" s="42" t="s">
        <v>438</v>
      </c>
      <c r="L60" s="20">
        <v>3</v>
      </c>
      <c r="M60" s="14">
        <f t="shared" si="1"/>
        <v>75</v>
      </c>
      <c r="N60" s="20"/>
      <c r="O60" s="46" t="s">
        <v>465</v>
      </c>
      <c r="P60" s="21"/>
      <c r="Q60" s="21">
        <f t="shared" ref="Q60" si="25">P60*N60</f>
        <v>0</v>
      </c>
      <c r="R60" s="20"/>
    </row>
    <row r="61" spans="1:18" s="45" customFormat="1" ht="96">
      <c r="A61" s="44"/>
      <c r="B61" s="16">
        <f>ROW(B61) - ROW($B$7)</f>
        <v>54</v>
      </c>
      <c r="C61" s="22" t="s">
        <v>25</v>
      </c>
      <c r="D61" s="14" t="s">
        <v>82</v>
      </c>
      <c r="E61" s="14" t="s">
        <v>162</v>
      </c>
      <c r="F61" s="14" t="s">
        <v>219</v>
      </c>
      <c r="G61" s="14" t="s">
        <v>279</v>
      </c>
      <c r="H61" s="14" t="s">
        <v>308</v>
      </c>
      <c r="I61" s="14"/>
      <c r="J61" s="14" t="s">
        <v>389</v>
      </c>
      <c r="K61" s="43" t="s">
        <v>439</v>
      </c>
      <c r="L61" s="14">
        <v>67</v>
      </c>
      <c r="M61" s="14">
        <f t="shared" si="1"/>
        <v>1675</v>
      </c>
      <c r="N61" s="14"/>
      <c r="O61" s="46" t="s">
        <v>465</v>
      </c>
      <c r="P61" s="15"/>
      <c r="Q61" s="15">
        <f>P61*N61</f>
        <v>0</v>
      </c>
      <c r="R61" s="14"/>
    </row>
    <row r="62" spans="1:18" s="45" customFormat="1" ht="24">
      <c r="A62" s="44"/>
      <c r="B62" s="17">
        <f t="shared" si="0"/>
        <v>55</v>
      </c>
      <c r="C62" s="23" t="s">
        <v>24</v>
      </c>
      <c r="D62" s="20" t="s">
        <v>83</v>
      </c>
      <c r="E62" s="20" t="s">
        <v>163</v>
      </c>
      <c r="F62" s="20" t="s">
        <v>219</v>
      </c>
      <c r="G62" s="20" t="s">
        <v>280</v>
      </c>
      <c r="H62" s="20" t="s">
        <v>308</v>
      </c>
      <c r="I62" s="20"/>
      <c r="J62" s="20" t="s">
        <v>390</v>
      </c>
      <c r="K62" s="42" t="s">
        <v>440</v>
      </c>
      <c r="L62" s="20">
        <v>14</v>
      </c>
      <c r="M62" s="14">
        <f t="shared" si="1"/>
        <v>350</v>
      </c>
      <c r="N62" s="20"/>
      <c r="O62" s="46" t="s">
        <v>465</v>
      </c>
      <c r="P62" s="21"/>
      <c r="Q62" s="21">
        <f t="shared" ref="Q62" si="26">P62*N62</f>
        <v>0</v>
      </c>
      <c r="R62" s="20"/>
    </row>
    <row r="63" spans="1:18" s="45" customFormat="1">
      <c r="A63" s="44"/>
      <c r="B63" s="16">
        <f>ROW(B63) - ROW($B$7)</f>
        <v>56</v>
      </c>
      <c r="C63" s="22" t="s">
        <v>24</v>
      </c>
      <c r="D63" s="14" t="s">
        <v>84</v>
      </c>
      <c r="E63" s="14" t="s">
        <v>164</v>
      </c>
      <c r="F63" s="14" t="s">
        <v>219</v>
      </c>
      <c r="G63" s="14" t="s">
        <v>281</v>
      </c>
      <c r="H63" s="14" t="s">
        <v>308</v>
      </c>
      <c r="I63" s="14"/>
      <c r="J63" s="14" t="s">
        <v>391</v>
      </c>
      <c r="K63" s="43" t="s">
        <v>441</v>
      </c>
      <c r="L63" s="14">
        <v>5</v>
      </c>
      <c r="M63" s="14">
        <f t="shared" si="1"/>
        <v>125</v>
      </c>
      <c r="N63" s="14"/>
      <c r="O63" s="46" t="s">
        <v>465</v>
      </c>
      <c r="P63" s="15"/>
      <c r="Q63" s="15">
        <f>P63*N63</f>
        <v>0</v>
      </c>
      <c r="R63" s="14"/>
    </row>
    <row r="64" spans="1:18" s="45" customFormat="1">
      <c r="A64" s="44"/>
      <c r="B64" s="17">
        <f t="shared" si="0"/>
        <v>57</v>
      </c>
      <c r="C64" s="23" t="s">
        <v>24</v>
      </c>
      <c r="D64" s="20" t="s">
        <v>85</v>
      </c>
      <c r="E64" s="20" t="s">
        <v>165</v>
      </c>
      <c r="F64" s="20" t="s">
        <v>219</v>
      </c>
      <c r="G64" s="20" t="s">
        <v>282</v>
      </c>
      <c r="H64" s="20" t="s">
        <v>308</v>
      </c>
      <c r="I64" s="20"/>
      <c r="J64" s="20" t="s">
        <v>392</v>
      </c>
      <c r="K64" s="42" t="s">
        <v>442</v>
      </c>
      <c r="L64" s="20">
        <v>3</v>
      </c>
      <c r="M64" s="14">
        <f t="shared" si="1"/>
        <v>75</v>
      </c>
      <c r="N64" s="20"/>
      <c r="O64" s="46" t="s">
        <v>465</v>
      </c>
      <c r="P64" s="21"/>
      <c r="Q64" s="21">
        <f t="shared" ref="Q64" si="27">P64*N64</f>
        <v>0</v>
      </c>
      <c r="R64" s="20"/>
    </row>
    <row r="65" spans="1:18" s="45" customFormat="1">
      <c r="A65" s="44"/>
      <c r="B65" s="16">
        <f>ROW(B65) - ROW($B$7)</f>
        <v>58</v>
      </c>
      <c r="C65" s="22" t="s">
        <v>24</v>
      </c>
      <c r="D65" s="14" t="s">
        <v>86</v>
      </c>
      <c r="E65" s="14" t="s">
        <v>166</v>
      </c>
      <c r="F65" s="14" t="s">
        <v>219</v>
      </c>
      <c r="G65" s="14" t="s">
        <v>283</v>
      </c>
      <c r="H65" s="14" t="s">
        <v>308</v>
      </c>
      <c r="I65" s="14"/>
      <c r="J65" s="14" t="s">
        <v>393</v>
      </c>
      <c r="K65" s="43" t="s">
        <v>443</v>
      </c>
      <c r="L65" s="14">
        <v>3</v>
      </c>
      <c r="M65" s="14">
        <f t="shared" si="1"/>
        <v>75</v>
      </c>
      <c r="N65" s="14"/>
      <c r="O65" s="46" t="s">
        <v>465</v>
      </c>
      <c r="P65" s="15"/>
      <c r="Q65" s="15">
        <f>P65*N65</f>
        <v>0</v>
      </c>
      <c r="R65" s="14"/>
    </row>
    <row r="66" spans="1:18" s="45" customFormat="1">
      <c r="A66" s="44"/>
      <c r="B66" s="17">
        <f t="shared" si="0"/>
        <v>59</v>
      </c>
      <c r="C66" s="23" t="s">
        <v>24</v>
      </c>
      <c r="D66" s="20" t="s">
        <v>87</v>
      </c>
      <c r="E66" s="20" t="s">
        <v>167</v>
      </c>
      <c r="F66" s="20" t="s">
        <v>219</v>
      </c>
      <c r="G66" s="20" t="s">
        <v>284</v>
      </c>
      <c r="H66" s="20" t="s">
        <v>308</v>
      </c>
      <c r="I66" s="20"/>
      <c r="J66" s="20" t="s">
        <v>394</v>
      </c>
      <c r="K66" s="42" t="s">
        <v>444</v>
      </c>
      <c r="L66" s="20">
        <v>1</v>
      </c>
      <c r="M66" s="14">
        <f t="shared" si="1"/>
        <v>25</v>
      </c>
      <c r="N66" s="20"/>
      <c r="O66" s="48" t="s">
        <v>465</v>
      </c>
      <c r="P66" s="21"/>
      <c r="Q66" s="21">
        <f t="shared" ref="Q66" si="28">P66*N66</f>
        <v>0</v>
      </c>
      <c r="R66" s="20"/>
    </row>
    <row r="67" spans="1:18" s="45" customFormat="1">
      <c r="A67" s="44"/>
      <c r="B67" s="16">
        <f>ROW(B67) - ROW($B$7)</f>
        <v>60</v>
      </c>
      <c r="C67" s="22" t="s">
        <v>24</v>
      </c>
      <c r="D67" s="14" t="s">
        <v>88</v>
      </c>
      <c r="E67" s="14" t="s">
        <v>168</v>
      </c>
      <c r="F67" s="14" t="s">
        <v>219</v>
      </c>
      <c r="G67" s="14" t="s">
        <v>285</v>
      </c>
      <c r="H67" s="14" t="s">
        <v>308</v>
      </c>
      <c r="I67" s="14"/>
      <c r="J67" s="14" t="s">
        <v>395</v>
      </c>
      <c r="K67" s="43" t="s">
        <v>445</v>
      </c>
      <c r="L67" s="14">
        <v>1</v>
      </c>
      <c r="M67" s="14">
        <f t="shared" si="1"/>
        <v>25</v>
      </c>
      <c r="N67" s="14"/>
      <c r="O67" s="48" t="s">
        <v>465</v>
      </c>
      <c r="P67" s="15"/>
      <c r="Q67" s="15">
        <f>P67*N67</f>
        <v>0</v>
      </c>
      <c r="R67" s="14"/>
    </row>
    <row r="68" spans="1:18" s="45" customFormat="1">
      <c r="A68" s="44"/>
      <c r="B68" s="17">
        <f t="shared" si="0"/>
        <v>61</v>
      </c>
      <c r="C68" s="23" t="s">
        <v>24</v>
      </c>
      <c r="D68" s="20" t="s">
        <v>89</v>
      </c>
      <c r="E68" s="20" t="s">
        <v>169</v>
      </c>
      <c r="F68" s="20" t="s">
        <v>219</v>
      </c>
      <c r="G68" s="20" t="s">
        <v>286</v>
      </c>
      <c r="H68" s="20" t="s">
        <v>308</v>
      </c>
      <c r="I68" s="20"/>
      <c r="J68" s="20" t="s">
        <v>396</v>
      </c>
      <c r="K68" s="42" t="s">
        <v>446</v>
      </c>
      <c r="L68" s="20">
        <v>2</v>
      </c>
      <c r="M68" s="14">
        <f t="shared" si="1"/>
        <v>50</v>
      </c>
      <c r="N68" s="20"/>
      <c r="O68" s="46" t="s">
        <v>465</v>
      </c>
      <c r="P68" s="21"/>
      <c r="Q68" s="21">
        <f t="shared" ref="Q68" si="29">P68*N68</f>
        <v>0</v>
      </c>
      <c r="R68" s="20"/>
    </row>
    <row r="69" spans="1:18" s="45" customFormat="1">
      <c r="A69" s="44"/>
      <c r="B69" s="16">
        <f>ROW(B69) - ROW($B$7)</f>
        <v>62</v>
      </c>
      <c r="C69" s="22" t="s">
        <v>24</v>
      </c>
      <c r="D69" s="14" t="s">
        <v>90</v>
      </c>
      <c r="E69" s="14" t="s">
        <v>170</v>
      </c>
      <c r="F69" s="14" t="s">
        <v>220</v>
      </c>
      <c r="G69" s="14" t="s">
        <v>287</v>
      </c>
      <c r="H69" s="14" t="s">
        <v>308</v>
      </c>
      <c r="I69" s="14"/>
      <c r="J69" s="14" t="s">
        <v>397</v>
      </c>
      <c r="K69" s="43" t="s">
        <v>447</v>
      </c>
      <c r="L69" s="14">
        <v>2</v>
      </c>
      <c r="M69" s="14">
        <f t="shared" si="1"/>
        <v>50</v>
      </c>
      <c r="N69" s="14"/>
      <c r="O69" s="46" t="s">
        <v>465</v>
      </c>
      <c r="P69" s="15"/>
      <c r="Q69" s="15">
        <f>P69*N69</f>
        <v>0</v>
      </c>
      <c r="R69" s="14"/>
    </row>
    <row r="70" spans="1:18" s="45" customFormat="1" ht="48">
      <c r="A70" s="44"/>
      <c r="B70" s="17">
        <f t="shared" si="0"/>
        <v>63</v>
      </c>
      <c r="C70" s="23" t="s">
        <v>26</v>
      </c>
      <c r="D70" s="20" t="s">
        <v>91</v>
      </c>
      <c r="E70" s="20" t="s">
        <v>171</v>
      </c>
      <c r="F70" s="20" t="s">
        <v>221</v>
      </c>
      <c r="G70" s="20" t="s">
        <v>288</v>
      </c>
      <c r="H70" s="20" t="s">
        <v>332</v>
      </c>
      <c r="I70" s="20"/>
      <c r="J70" s="20" t="s">
        <v>398</v>
      </c>
      <c r="K70" s="42" t="s">
        <v>448</v>
      </c>
      <c r="L70" s="20">
        <v>8</v>
      </c>
      <c r="M70" s="14">
        <f t="shared" si="1"/>
        <v>200</v>
      </c>
      <c r="N70" s="20"/>
      <c r="O70" s="46" t="s">
        <v>465</v>
      </c>
      <c r="P70" s="21"/>
      <c r="Q70" s="21">
        <f t="shared" ref="Q70" si="30">P70*N70</f>
        <v>0</v>
      </c>
      <c r="R70" s="20"/>
    </row>
    <row r="71" spans="1:18" s="45" customFormat="1">
      <c r="A71" s="44"/>
      <c r="B71" s="16">
        <f>ROW(B71) - ROW($B$7)</f>
        <v>64</v>
      </c>
      <c r="C71" s="22" t="s">
        <v>24</v>
      </c>
      <c r="D71" s="14" t="s">
        <v>92</v>
      </c>
      <c r="E71" s="14" t="s">
        <v>172</v>
      </c>
      <c r="F71" s="14" t="s">
        <v>219</v>
      </c>
      <c r="G71" s="14" t="s">
        <v>289</v>
      </c>
      <c r="H71" s="14" t="s">
        <v>308</v>
      </c>
      <c r="I71" s="14"/>
      <c r="J71" s="14" t="s">
        <v>399</v>
      </c>
      <c r="K71" s="43" t="s">
        <v>449</v>
      </c>
      <c r="L71" s="14">
        <v>4</v>
      </c>
      <c r="M71" s="14">
        <f t="shared" si="1"/>
        <v>100</v>
      </c>
      <c r="N71" s="14"/>
      <c r="O71" s="46" t="s">
        <v>465</v>
      </c>
      <c r="P71" s="15"/>
      <c r="Q71" s="15">
        <f>P71*N71</f>
        <v>0</v>
      </c>
      <c r="R71" s="14"/>
    </row>
    <row r="72" spans="1:18" s="45" customFormat="1" ht="24">
      <c r="A72" s="44"/>
      <c r="B72" s="17">
        <f t="shared" si="0"/>
        <v>65</v>
      </c>
      <c r="C72" s="23"/>
      <c r="D72" s="20" t="s">
        <v>93</v>
      </c>
      <c r="E72" s="20" t="s">
        <v>173</v>
      </c>
      <c r="F72" s="20" t="s">
        <v>219</v>
      </c>
      <c r="G72" s="20" t="s">
        <v>290</v>
      </c>
      <c r="H72" s="20" t="s">
        <v>308</v>
      </c>
      <c r="I72" s="20"/>
      <c r="J72" s="20" t="s">
        <v>400</v>
      </c>
      <c r="K72" s="42" t="s">
        <v>450</v>
      </c>
      <c r="L72" s="20">
        <v>8</v>
      </c>
      <c r="M72" s="14">
        <f t="shared" si="1"/>
        <v>200</v>
      </c>
      <c r="N72" s="20"/>
      <c r="O72" s="46" t="s">
        <v>465</v>
      </c>
      <c r="P72" s="21"/>
      <c r="Q72" s="21">
        <f t="shared" ref="Q72" si="31">P72*N72</f>
        <v>0</v>
      </c>
      <c r="R72" s="20"/>
    </row>
    <row r="73" spans="1:18" s="45" customFormat="1" ht="24">
      <c r="A73" s="44"/>
      <c r="B73" s="16">
        <f>ROW(B73) - ROW($B$7)</f>
        <v>66</v>
      </c>
      <c r="C73" s="22" t="s">
        <v>27</v>
      </c>
      <c r="D73" s="14" t="s">
        <v>94</v>
      </c>
      <c r="E73" s="14" t="s">
        <v>174</v>
      </c>
      <c r="F73" s="20" t="s">
        <v>456</v>
      </c>
      <c r="G73" s="14" t="s">
        <v>222</v>
      </c>
      <c r="H73" s="14" t="s">
        <v>333</v>
      </c>
      <c r="I73" s="14"/>
      <c r="J73" s="14" t="s">
        <v>401</v>
      </c>
      <c r="K73" s="43" t="s">
        <v>359</v>
      </c>
      <c r="L73" s="14">
        <v>2</v>
      </c>
      <c r="M73" s="14">
        <f t="shared" ref="M73:M92" si="32">L73*25</f>
        <v>50</v>
      </c>
      <c r="N73" s="14">
        <v>55</v>
      </c>
      <c r="O73" s="46" t="s">
        <v>465</v>
      </c>
      <c r="P73" s="15">
        <v>0.10630000000000001</v>
      </c>
      <c r="Q73" s="15">
        <f>P73*N73</f>
        <v>5.8465000000000007</v>
      </c>
      <c r="R73" s="14"/>
    </row>
    <row r="74" spans="1:18" s="45" customFormat="1" ht="48">
      <c r="A74" s="44"/>
      <c r="B74" s="17">
        <f t="shared" si="0"/>
        <v>67</v>
      </c>
      <c r="C74" s="23" t="s">
        <v>28</v>
      </c>
      <c r="D74" s="20" t="s">
        <v>95</v>
      </c>
      <c r="E74" s="20" t="s">
        <v>175</v>
      </c>
      <c r="F74" s="20" t="s">
        <v>456</v>
      </c>
      <c r="G74" s="20" t="s">
        <v>223</v>
      </c>
      <c r="H74" s="20" t="s">
        <v>334</v>
      </c>
      <c r="I74" s="20"/>
      <c r="J74" s="20" t="s">
        <v>402</v>
      </c>
      <c r="K74" s="43" t="s">
        <v>359</v>
      </c>
      <c r="L74" s="20">
        <v>1</v>
      </c>
      <c r="M74" s="14">
        <f t="shared" si="32"/>
        <v>25</v>
      </c>
      <c r="N74" s="20">
        <v>26</v>
      </c>
      <c r="O74" s="46" t="s">
        <v>465</v>
      </c>
      <c r="P74" s="21">
        <v>0.30909999999999999</v>
      </c>
      <c r="Q74" s="21">
        <f t="shared" ref="Q74" si="33">P74*N74</f>
        <v>8.0366</v>
      </c>
      <c r="R74" s="20"/>
    </row>
    <row r="75" spans="1:18" s="45" customFormat="1" ht="36">
      <c r="A75" s="44"/>
      <c r="B75" s="16">
        <f>ROW(B75) - ROW($B$7)</f>
        <v>68</v>
      </c>
      <c r="C75" s="22" t="s">
        <v>29</v>
      </c>
      <c r="D75" s="14" t="s">
        <v>96</v>
      </c>
      <c r="E75" s="14" t="s">
        <v>176</v>
      </c>
      <c r="F75" s="14" t="s">
        <v>224</v>
      </c>
      <c r="G75" s="14" t="s">
        <v>291</v>
      </c>
      <c r="H75" s="14" t="s">
        <v>330</v>
      </c>
      <c r="I75" s="14"/>
      <c r="J75" s="14" t="s">
        <v>403</v>
      </c>
      <c r="K75" s="43" t="s">
        <v>359</v>
      </c>
      <c r="L75" s="14">
        <v>1</v>
      </c>
      <c r="M75" s="14">
        <f t="shared" si="32"/>
        <v>25</v>
      </c>
      <c r="N75" s="14"/>
      <c r="O75" s="46" t="s">
        <v>465</v>
      </c>
      <c r="P75" s="15"/>
      <c r="Q75" s="15">
        <f>P75*N75</f>
        <v>0</v>
      </c>
      <c r="R75" s="14"/>
    </row>
    <row r="76" spans="1:18" s="45" customFormat="1" ht="30">
      <c r="A76" s="44"/>
      <c r="B76" s="17">
        <f t="shared" si="0"/>
        <v>69</v>
      </c>
      <c r="C76" s="23" t="s">
        <v>29</v>
      </c>
      <c r="D76" s="20" t="s">
        <v>97</v>
      </c>
      <c r="E76" s="20" t="s">
        <v>177</v>
      </c>
      <c r="F76" s="20" t="s">
        <v>225</v>
      </c>
      <c r="G76" s="20" t="s">
        <v>292</v>
      </c>
      <c r="H76" s="20" t="s">
        <v>330</v>
      </c>
      <c r="I76" s="20"/>
      <c r="J76" s="20" t="s">
        <v>404</v>
      </c>
      <c r="K76" s="43" t="s">
        <v>359</v>
      </c>
      <c r="L76" s="20">
        <v>1</v>
      </c>
      <c r="M76" s="14">
        <f t="shared" si="32"/>
        <v>25</v>
      </c>
      <c r="N76" s="20"/>
      <c r="O76" s="46" t="s">
        <v>477</v>
      </c>
      <c r="P76" s="21"/>
      <c r="Q76" s="21">
        <f t="shared" ref="Q76" si="34">P76*N76</f>
        <v>0</v>
      </c>
      <c r="R76" s="20"/>
    </row>
    <row r="77" spans="1:18" s="45" customFormat="1" ht="24">
      <c r="A77" s="44"/>
      <c r="B77" s="16">
        <f>ROW(B77) - ROW($B$7)</f>
        <v>70</v>
      </c>
      <c r="C77" s="22" t="s">
        <v>29</v>
      </c>
      <c r="D77" s="14" t="s">
        <v>98</v>
      </c>
      <c r="E77" s="14" t="s">
        <v>178</v>
      </c>
      <c r="F77" s="14" t="s">
        <v>226</v>
      </c>
      <c r="G77" s="14" t="s">
        <v>293</v>
      </c>
      <c r="H77" s="14" t="s">
        <v>317</v>
      </c>
      <c r="I77" s="14"/>
      <c r="J77" s="14" t="s">
        <v>405</v>
      </c>
      <c r="K77" s="43" t="s">
        <v>359</v>
      </c>
      <c r="L77" s="14">
        <v>1</v>
      </c>
      <c r="M77" s="14">
        <f t="shared" si="32"/>
        <v>25</v>
      </c>
      <c r="N77" s="14"/>
      <c r="O77" s="46" t="s">
        <v>485</v>
      </c>
      <c r="P77" s="15"/>
      <c r="Q77" s="15">
        <f>P77*N77</f>
        <v>0</v>
      </c>
      <c r="R77" s="14"/>
    </row>
    <row r="78" spans="1:18" s="45" customFormat="1" ht="24">
      <c r="A78" s="44"/>
      <c r="B78" s="17">
        <f t="shared" si="0"/>
        <v>71</v>
      </c>
      <c r="C78" s="23" t="s">
        <v>29</v>
      </c>
      <c r="D78" s="20" t="s">
        <v>99</v>
      </c>
      <c r="E78" s="20" t="s">
        <v>179</v>
      </c>
      <c r="F78" s="20" t="s">
        <v>227</v>
      </c>
      <c r="G78" s="20" t="s">
        <v>294</v>
      </c>
      <c r="H78" s="20" t="s">
        <v>317</v>
      </c>
      <c r="I78" s="20"/>
      <c r="J78" s="20" t="s">
        <v>406</v>
      </c>
      <c r="K78" s="43" t="s">
        <v>359</v>
      </c>
      <c r="L78" s="20">
        <v>1</v>
      </c>
      <c r="M78" s="14">
        <f t="shared" si="32"/>
        <v>25</v>
      </c>
      <c r="N78" s="20">
        <v>26</v>
      </c>
      <c r="O78" s="46" t="s">
        <v>465</v>
      </c>
      <c r="P78" s="21">
        <v>3.7050000000000001</v>
      </c>
      <c r="Q78" s="21">
        <f t="shared" ref="Q78" si="35">P78*N78</f>
        <v>96.33</v>
      </c>
      <c r="R78" s="20"/>
    </row>
    <row r="79" spans="1:18" s="45" customFormat="1">
      <c r="A79" s="44"/>
      <c r="B79" s="16">
        <f>ROW(B79) - ROW($B$7)</f>
        <v>72</v>
      </c>
      <c r="C79" s="22" t="s">
        <v>29</v>
      </c>
      <c r="D79" s="14" t="s">
        <v>100</v>
      </c>
      <c r="E79" s="14" t="s">
        <v>180</v>
      </c>
      <c r="F79" s="14" t="s">
        <v>228</v>
      </c>
      <c r="G79" s="14" t="s">
        <v>295</v>
      </c>
      <c r="H79" s="14" t="s">
        <v>335</v>
      </c>
      <c r="I79" s="14"/>
      <c r="J79" s="14" t="s">
        <v>407</v>
      </c>
      <c r="K79" s="43" t="s">
        <v>359</v>
      </c>
      <c r="L79" s="14">
        <v>1</v>
      </c>
      <c r="M79" s="14">
        <f t="shared" si="32"/>
        <v>25</v>
      </c>
      <c r="N79" s="14"/>
      <c r="O79" s="46" t="s">
        <v>465</v>
      </c>
      <c r="P79" s="15"/>
      <c r="Q79" s="15">
        <f>P79*N79</f>
        <v>0</v>
      </c>
      <c r="R79" s="14"/>
    </row>
    <row r="80" spans="1:18" s="45" customFormat="1" ht="24">
      <c r="A80" s="44"/>
      <c r="B80" s="17">
        <f t="shared" si="0"/>
        <v>73</v>
      </c>
      <c r="C80" s="23" t="s">
        <v>29</v>
      </c>
      <c r="D80" s="20" t="s">
        <v>101</v>
      </c>
      <c r="E80" s="20" t="s">
        <v>181</v>
      </c>
      <c r="F80" s="20" t="s">
        <v>229</v>
      </c>
      <c r="G80" s="20" t="s">
        <v>296</v>
      </c>
      <c r="H80" s="20" t="s">
        <v>317</v>
      </c>
      <c r="I80" s="20"/>
      <c r="J80" s="20" t="s">
        <v>408</v>
      </c>
      <c r="K80" s="43" t="s">
        <v>359</v>
      </c>
      <c r="L80" s="20">
        <v>1</v>
      </c>
      <c r="M80" s="14">
        <f t="shared" si="32"/>
        <v>25</v>
      </c>
      <c r="N80" s="20"/>
      <c r="O80" s="46" t="s">
        <v>465</v>
      </c>
      <c r="P80" s="21"/>
      <c r="Q80" s="21">
        <f t="shared" ref="Q80" si="36">P80*N80</f>
        <v>0</v>
      </c>
      <c r="R80" s="20"/>
    </row>
    <row r="81" spans="1:26" s="45" customFormat="1" ht="36">
      <c r="A81" s="44"/>
      <c r="B81" s="16">
        <f>ROW(B81) - ROW($B$7)</f>
        <v>74</v>
      </c>
      <c r="C81" s="22" t="s">
        <v>9</v>
      </c>
      <c r="D81" s="14" t="s">
        <v>102</v>
      </c>
      <c r="E81" s="14" t="s">
        <v>182</v>
      </c>
      <c r="F81" s="14" t="s">
        <v>224</v>
      </c>
      <c r="G81" s="14" t="s">
        <v>297</v>
      </c>
      <c r="H81" s="14" t="s">
        <v>319</v>
      </c>
      <c r="I81" s="14"/>
      <c r="J81" s="14" t="s">
        <v>409</v>
      </c>
      <c r="K81" s="43" t="s">
        <v>359</v>
      </c>
      <c r="L81" s="14">
        <v>1</v>
      </c>
      <c r="M81" s="14">
        <f t="shared" si="32"/>
        <v>25</v>
      </c>
      <c r="N81" s="14"/>
      <c r="O81" s="46" t="s">
        <v>465</v>
      </c>
      <c r="P81" s="15"/>
      <c r="Q81" s="15">
        <f>P81*N81</f>
        <v>0</v>
      </c>
      <c r="R81" s="14"/>
    </row>
    <row r="82" spans="1:26" s="45" customFormat="1" ht="24">
      <c r="A82" s="44"/>
      <c r="B82" s="17">
        <f t="shared" si="0"/>
        <v>75</v>
      </c>
      <c r="C82" s="23" t="s">
        <v>29</v>
      </c>
      <c r="D82" s="20" t="s">
        <v>103</v>
      </c>
      <c r="E82" s="20" t="s">
        <v>183</v>
      </c>
      <c r="F82" s="20" t="s">
        <v>230</v>
      </c>
      <c r="G82" s="20" t="s">
        <v>298</v>
      </c>
      <c r="H82" s="20" t="s">
        <v>330</v>
      </c>
      <c r="I82" s="20"/>
      <c r="J82" s="20" t="s">
        <v>410</v>
      </c>
      <c r="K82" s="43" t="s">
        <v>359</v>
      </c>
      <c r="L82" s="20">
        <v>1</v>
      </c>
      <c r="M82" s="14">
        <f t="shared" si="32"/>
        <v>25</v>
      </c>
      <c r="N82" s="20"/>
      <c r="O82" s="46" t="s">
        <v>465</v>
      </c>
      <c r="P82" s="21"/>
      <c r="Q82" s="21">
        <f t="shared" ref="Q82" si="37">P82*N82</f>
        <v>0</v>
      </c>
      <c r="R82" s="20"/>
    </row>
    <row r="83" spans="1:26" s="45" customFormat="1" ht="24">
      <c r="A83" s="44"/>
      <c r="B83" s="16">
        <f>ROW(B83) - ROW($B$7)</f>
        <v>76</v>
      </c>
      <c r="C83" s="22" t="s">
        <v>29</v>
      </c>
      <c r="D83" s="14" t="s">
        <v>104</v>
      </c>
      <c r="E83" s="14" t="s">
        <v>183</v>
      </c>
      <c r="F83" s="14" t="s">
        <v>230</v>
      </c>
      <c r="G83" s="14" t="s">
        <v>299</v>
      </c>
      <c r="H83" s="14" t="s">
        <v>330</v>
      </c>
      <c r="I83" s="14"/>
      <c r="J83" s="14" t="s">
        <v>411</v>
      </c>
      <c r="K83" s="43" t="s">
        <v>359</v>
      </c>
      <c r="L83" s="14">
        <v>1</v>
      </c>
      <c r="M83" s="14">
        <f t="shared" si="32"/>
        <v>25</v>
      </c>
      <c r="N83" s="14"/>
      <c r="O83" s="46" t="s">
        <v>465</v>
      </c>
      <c r="P83" s="15"/>
      <c r="Q83" s="15">
        <f>P83*N83</f>
        <v>0</v>
      </c>
      <c r="R83" s="14"/>
    </row>
    <row r="84" spans="1:26" s="45" customFormat="1" ht="24">
      <c r="A84" s="44"/>
      <c r="B84" s="17">
        <f t="shared" si="0"/>
        <v>77</v>
      </c>
      <c r="C84" s="23" t="s">
        <v>29</v>
      </c>
      <c r="D84" s="20" t="s">
        <v>105</v>
      </c>
      <c r="E84" s="20" t="s">
        <v>184</v>
      </c>
      <c r="F84" s="20" t="s">
        <v>231</v>
      </c>
      <c r="G84" s="20" t="s">
        <v>300</v>
      </c>
      <c r="H84" s="20" t="s">
        <v>330</v>
      </c>
      <c r="I84" s="20"/>
      <c r="J84" s="20" t="s">
        <v>412</v>
      </c>
      <c r="K84" s="43" t="s">
        <v>359</v>
      </c>
      <c r="L84" s="20">
        <v>16</v>
      </c>
      <c r="M84" s="14">
        <f t="shared" si="32"/>
        <v>400</v>
      </c>
      <c r="N84" s="20"/>
      <c r="O84" s="46" t="s">
        <v>465</v>
      </c>
      <c r="P84" s="21"/>
      <c r="Q84" s="21">
        <f t="shared" ref="Q84" si="38">P84*N84</f>
        <v>0</v>
      </c>
      <c r="R84" s="20"/>
    </row>
    <row r="85" spans="1:26" s="45" customFormat="1" ht="24">
      <c r="A85" s="44"/>
      <c r="B85" s="16">
        <f>ROW(B85) - ROW($B$7)</f>
        <v>78</v>
      </c>
      <c r="C85" s="22" t="s">
        <v>29</v>
      </c>
      <c r="D85" s="14" t="s">
        <v>106</v>
      </c>
      <c r="E85" s="14" t="s">
        <v>185</v>
      </c>
      <c r="F85" s="14" t="s">
        <v>232</v>
      </c>
      <c r="G85" s="14" t="s">
        <v>301</v>
      </c>
      <c r="H85" s="14" t="s">
        <v>330</v>
      </c>
      <c r="I85" s="14"/>
      <c r="J85" s="14" t="s">
        <v>413</v>
      </c>
      <c r="K85" s="43" t="s">
        <v>359</v>
      </c>
      <c r="L85" s="14">
        <v>4</v>
      </c>
      <c r="M85" s="14">
        <f t="shared" si="32"/>
        <v>100</v>
      </c>
      <c r="N85" s="14"/>
      <c r="O85" s="46" t="s">
        <v>465</v>
      </c>
      <c r="P85" s="15"/>
      <c r="Q85" s="15">
        <f>P85*N85</f>
        <v>0</v>
      </c>
      <c r="R85" s="14"/>
    </row>
    <row r="86" spans="1:26" s="45" customFormat="1" ht="24">
      <c r="A86" s="44"/>
      <c r="B86" s="17">
        <f t="shared" si="0"/>
        <v>79</v>
      </c>
      <c r="C86" s="23" t="s">
        <v>29</v>
      </c>
      <c r="D86" s="20" t="s">
        <v>107</v>
      </c>
      <c r="E86" s="20" t="s">
        <v>186</v>
      </c>
      <c r="F86" s="20" t="s">
        <v>233</v>
      </c>
      <c r="G86" s="20" t="s">
        <v>302</v>
      </c>
      <c r="H86" s="20" t="s">
        <v>330</v>
      </c>
      <c r="I86" s="20"/>
      <c r="J86" s="20" t="s">
        <v>414</v>
      </c>
      <c r="K86" s="43" t="s">
        <v>359</v>
      </c>
      <c r="L86" s="20">
        <v>1</v>
      </c>
      <c r="M86" s="14">
        <f t="shared" si="32"/>
        <v>25</v>
      </c>
      <c r="N86" s="20"/>
      <c r="O86" s="46" t="s">
        <v>465</v>
      </c>
      <c r="P86" s="21"/>
      <c r="Q86" s="21">
        <f t="shared" ref="Q86" si="39">P86*N86</f>
        <v>0</v>
      </c>
      <c r="R86" s="20"/>
    </row>
    <row r="87" spans="1:26" s="45" customFormat="1" ht="36">
      <c r="A87" s="44"/>
      <c r="B87" s="16">
        <f>ROW(B87) - ROW($B$7)</f>
        <v>80</v>
      </c>
      <c r="C87" s="22" t="s">
        <v>30</v>
      </c>
      <c r="D87" s="14" t="s">
        <v>108</v>
      </c>
      <c r="E87" s="14" t="s">
        <v>187</v>
      </c>
      <c r="F87" s="14" t="s">
        <v>234</v>
      </c>
      <c r="G87" s="14" t="s">
        <v>303</v>
      </c>
      <c r="H87" s="14" t="s">
        <v>336</v>
      </c>
      <c r="I87" s="14"/>
      <c r="J87" s="14" t="s">
        <v>415</v>
      </c>
      <c r="K87" s="43" t="s">
        <v>451</v>
      </c>
      <c r="L87" s="14">
        <v>1</v>
      </c>
      <c r="M87" s="14">
        <f t="shared" si="32"/>
        <v>25</v>
      </c>
      <c r="N87" s="14"/>
      <c r="O87" s="46" t="s">
        <v>465</v>
      </c>
      <c r="P87" s="15"/>
      <c r="Q87" s="15">
        <f>P87*N87</f>
        <v>0</v>
      </c>
      <c r="R87" s="14"/>
    </row>
    <row r="88" spans="1:26" s="45" customFormat="1" ht="24">
      <c r="A88" s="44"/>
      <c r="B88" s="17">
        <f t="shared" si="0"/>
        <v>81</v>
      </c>
      <c r="C88" s="23"/>
      <c r="D88" s="20" t="s">
        <v>109</v>
      </c>
      <c r="E88" s="20" t="s">
        <v>188</v>
      </c>
      <c r="F88" s="20" t="s">
        <v>456</v>
      </c>
      <c r="G88" s="20" t="s">
        <v>304</v>
      </c>
      <c r="H88" s="20" t="s">
        <v>337</v>
      </c>
      <c r="I88" s="20"/>
      <c r="J88" s="20" t="s">
        <v>416</v>
      </c>
      <c r="K88" s="42" t="s">
        <v>452</v>
      </c>
      <c r="L88" s="20">
        <v>1</v>
      </c>
      <c r="M88" s="14">
        <f t="shared" si="32"/>
        <v>25</v>
      </c>
      <c r="N88" s="20"/>
      <c r="O88" s="46" t="s">
        <v>465</v>
      </c>
      <c r="P88" s="21"/>
      <c r="Q88" s="21">
        <f t="shared" ref="Q88:Q92" si="40">P88*N88</f>
        <v>0</v>
      </c>
      <c r="R88" s="20"/>
    </row>
    <row r="89" spans="1:26" ht="24">
      <c r="A89" s="1"/>
      <c r="B89" s="17">
        <f t="shared" ref="B89:B94" si="41">ROW(B89) - ROW($B$7)</f>
        <v>82</v>
      </c>
      <c r="C89" s="23" t="s">
        <v>524</v>
      </c>
      <c r="D89" s="20" t="s">
        <v>514</v>
      </c>
      <c r="E89" s="42" t="s">
        <v>515</v>
      </c>
      <c r="F89" s="20" t="s">
        <v>456</v>
      </c>
      <c r="G89" s="42" t="s">
        <v>516</v>
      </c>
      <c r="H89" s="20" t="s">
        <v>320</v>
      </c>
      <c r="I89" s="20"/>
      <c r="J89" s="20" t="s">
        <v>527</v>
      </c>
      <c r="K89" s="42" t="s">
        <v>359</v>
      </c>
      <c r="L89" s="20">
        <v>1</v>
      </c>
      <c r="M89" s="14">
        <f t="shared" si="32"/>
        <v>25</v>
      </c>
      <c r="N89" s="20">
        <v>30</v>
      </c>
      <c r="O89" s="46" t="s">
        <v>465</v>
      </c>
      <c r="P89" s="21">
        <v>9.6000000000000002E-2</v>
      </c>
      <c r="Q89" s="21">
        <f t="shared" si="40"/>
        <v>2.88</v>
      </c>
      <c r="R89" s="20"/>
      <c r="T89" s="45"/>
      <c r="U89" s="45"/>
      <c r="V89" s="45"/>
      <c r="W89" s="45"/>
      <c r="X89" s="45"/>
      <c r="Y89" s="45"/>
      <c r="Z89" s="45"/>
    </row>
    <row r="90" spans="1:26" ht="24">
      <c r="A90" s="1"/>
      <c r="B90" s="17">
        <f t="shared" si="41"/>
        <v>83</v>
      </c>
      <c r="C90" s="23" t="s">
        <v>524</v>
      </c>
      <c r="D90" s="14" t="s">
        <v>517</v>
      </c>
      <c r="E90" s="43" t="s">
        <v>518</v>
      </c>
      <c r="F90" s="20" t="s">
        <v>456</v>
      </c>
      <c r="G90" s="43" t="s">
        <v>519</v>
      </c>
      <c r="H90" s="14" t="s">
        <v>325</v>
      </c>
      <c r="I90" s="20" t="s">
        <v>359</v>
      </c>
      <c r="J90" s="20" t="s">
        <v>528</v>
      </c>
      <c r="K90" s="42" t="s">
        <v>359</v>
      </c>
      <c r="L90" s="14">
        <v>2</v>
      </c>
      <c r="M90" s="14">
        <f t="shared" si="32"/>
        <v>50</v>
      </c>
      <c r="N90" s="20">
        <v>20</v>
      </c>
      <c r="O90" s="46" t="s">
        <v>465</v>
      </c>
      <c r="P90" s="21">
        <v>2.41E-2</v>
      </c>
      <c r="Q90" s="21">
        <f t="shared" si="40"/>
        <v>0.48199999999999998</v>
      </c>
      <c r="R90" s="20"/>
      <c r="T90" s="45"/>
      <c r="U90" s="45"/>
      <c r="V90" s="45"/>
      <c r="W90" s="45"/>
      <c r="X90" s="45"/>
      <c r="Y90" s="45"/>
      <c r="Z90" s="45"/>
    </row>
    <row r="91" spans="1:26" ht="51">
      <c r="B91" s="17">
        <f t="shared" si="41"/>
        <v>84</v>
      </c>
      <c r="C91" s="23" t="s">
        <v>524</v>
      </c>
      <c r="D91" s="20" t="s">
        <v>520</v>
      </c>
      <c r="E91" s="42" t="s">
        <v>359</v>
      </c>
      <c r="F91" s="20" t="s">
        <v>456</v>
      </c>
      <c r="G91" s="42" t="s">
        <v>359</v>
      </c>
      <c r="H91" s="20" t="s">
        <v>359</v>
      </c>
      <c r="I91" s="20"/>
      <c r="J91" s="20"/>
      <c r="K91" s="42" t="s">
        <v>359</v>
      </c>
      <c r="L91" s="20" t="s">
        <v>359</v>
      </c>
      <c r="M91" s="14" t="s">
        <v>359</v>
      </c>
      <c r="N91" s="20" t="s">
        <v>359</v>
      </c>
      <c r="O91" s="14" t="s">
        <v>359</v>
      </c>
      <c r="P91" s="21" t="s">
        <v>359</v>
      </c>
      <c r="Q91" s="21" t="s">
        <v>359</v>
      </c>
      <c r="R91" s="52" t="s">
        <v>525</v>
      </c>
      <c r="T91" s="45"/>
      <c r="U91" s="45"/>
      <c r="V91" s="45"/>
      <c r="W91" s="45"/>
      <c r="X91" s="45"/>
      <c r="Y91" s="45"/>
      <c r="Z91" s="45"/>
    </row>
    <row r="92" spans="1:26" ht="64.5" thickBot="1">
      <c r="B92" s="17">
        <f t="shared" si="41"/>
        <v>85</v>
      </c>
      <c r="C92" s="23" t="s">
        <v>524</v>
      </c>
      <c r="D92" s="14" t="s">
        <v>521</v>
      </c>
      <c r="E92" s="43" t="s">
        <v>522</v>
      </c>
      <c r="F92" s="20" t="s">
        <v>456</v>
      </c>
      <c r="G92" s="43" t="s">
        <v>523</v>
      </c>
      <c r="H92" s="14" t="s">
        <v>359</v>
      </c>
      <c r="I92" s="20"/>
      <c r="J92" s="20"/>
      <c r="K92" s="42" t="s">
        <v>359</v>
      </c>
      <c r="L92" s="14">
        <v>1</v>
      </c>
      <c r="M92" s="14">
        <f t="shared" si="32"/>
        <v>25</v>
      </c>
      <c r="N92" s="20">
        <v>1</v>
      </c>
      <c r="O92" s="46" t="s">
        <v>534</v>
      </c>
      <c r="P92" s="21">
        <v>78.72</v>
      </c>
      <c r="Q92" s="21">
        <f t="shared" si="40"/>
        <v>78.72</v>
      </c>
      <c r="R92" s="53" t="s">
        <v>526</v>
      </c>
      <c r="T92" s="45"/>
      <c r="U92" s="45"/>
      <c r="V92" s="45"/>
      <c r="W92" s="45"/>
      <c r="X92" s="45"/>
      <c r="Y92" s="45"/>
      <c r="Z92" s="45"/>
    </row>
    <row r="93" spans="1:26" ht="19.5" thickBo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0" t="s">
        <v>3</v>
      </c>
      <c r="O93" s="51"/>
      <c r="P93" s="51"/>
      <c r="Q93" s="18" t="e">
        <f>SUM(#REF!)</f>
        <v>#REF!</v>
      </c>
      <c r="R93" s="1"/>
      <c r="T93" s="45"/>
      <c r="U93" s="45"/>
      <c r="V93" s="45"/>
      <c r="W93" s="45"/>
    </row>
    <row r="94" spans="1:26" ht="19.5" thickBo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0" t="s">
        <v>4</v>
      </c>
      <c r="O94" s="51"/>
      <c r="P94" s="51"/>
      <c r="Q94" s="19" t="e">
        <f>Q93/25</f>
        <v>#REF!</v>
      </c>
      <c r="R94" s="1"/>
      <c r="T94" s="45"/>
      <c r="U94" s="45"/>
      <c r="V94" s="45"/>
      <c r="W94" s="45"/>
    </row>
  </sheetData>
  <mergeCells count="3">
    <mergeCell ref="K1:R1"/>
    <mergeCell ref="N93:P93"/>
    <mergeCell ref="N94:P94"/>
  </mergeCells>
  <hyperlinks>
    <hyperlink ref="O8" r:id="rId1"/>
    <hyperlink ref="O9" r:id="rId2"/>
    <hyperlink ref="O10" r:id="rId3"/>
    <hyperlink ref="O11" r:id="rId4"/>
    <hyperlink ref="O12" r:id="rId5"/>
    <hyperlink ref="O16" r:id="rId6"/>
    <hyperlink ref="O20" r:id="rId7"/>
    <hyperlink ref="O21" r:id="rId8"/>
    <hyperlink ref="O22" r:id="rId9"/>
    <hyperlink ref="O26" r:id="rId10"/>
    <hyperlink ref="O27" r:id="rId11"/>
    <hyperlink ref="O29" r:id="rId12"/>
    <hyperlink ref="O30" r:id="rId13"/>
    <hyperlink ref="O31" r:id="rId14"/>
    <hyperlink ref="O28" r:id="rId15"/>
    <hyperlink ref="O32" r:id="rId16"/>
    <hyperlink ref="O33" r:id="rId17"/>
    <hyperlink ref="O34" r:id="rId18"/>
    <hyperlink ref="O35" r:id="rId19"/>
    <hyperlink ref="O36" r:id="rId20"/>
    <hyperlink ref="O37" r:id="rId21"/>
    <hyperlink ref="O38" r:id="rId22"/>
    <hyperlink ref="O39" r:id="rId23"/>
    <hyperlink ref="O40" r:id="rId24" display="url"/>
    <hyperlink ref="O44" r:id="rId25"/>
    <hyperlink ref="O46" r:id="rId26"/>
    <hyperlink ref="O47" r:id="rId27"/>
    <hyperlink ref="O48" r:id="rId28"/>
    <hyperlink ref="O49" r:id="rId29"/>
    <hyperlink ref="O52" r:id="rId30"/>
    <hyperlink ref="O53" r:id="rId31"/>
    <hyperlink ref="O56" r:id="rId32"/>
    <hyperlink ref="O55" r:id="rId33"/>
    <hyperlink ref="O57" r:id="rId34"/>
    <hyperlink ref="O58" r:id="rId35"/>
    <hyperlink ref="O59" r:id="rId36"/>
    <hyperlink ref="O60" r:id="rId37"/>
    <hyperlink ref="O61" r:id="rId38"/>
    <hyperlink ref="O62" r:id="rId39"/>
    <hyperlink ref="O63" r:id="rId40"/>
    <hyperlink ref="O64" r:id="rId41"/>
    <hyperlink ref="O65" r:id="rId42"/>
    <hyperlink ref="O68" r:id="rId43"/>
    <hyperlink ref="O69" r:id="rId44"/>
    <hyperlink ref="O74" r:id="rId45"/>
    <hyperlink ref="O75" r:id="rId46"/>
    <hyperlink ref="O76" r:id="rId47"/>
    <hyperlink ref="O77" r:id="rId48"/>
    <hyperlink ref="O14" r:id="rId49"/>
    <hyperlink ref="O17" r:id="rId50"/>
    <hyperlink ref="O18" r:id="rId51"/>
    <hyperlink ref="O54" r:id="rId52"/>
    <hyperlink ref="O89" r:id="rId53"/>
    <hyperlink ref="O90" r:id="rId54"/>
    <hyperlink ref="O13" r:id="rId55"/>
    <hyperlink ref="O15" r:id="rId56"/>
    <hyperlink ref="O19" r:id="rId57"/>
    <hyperlink ref="O23" r:id="rId58"/>
    <hyperlink ref="O24" r:id="rId59"/>
    <hyperlink ref="O25" r:id="rId60"/>
    <hyperlink ref="O42" r:id="rId61"/>
    <hyperlink ref="O43" r:id="rId62"/>
    <hyperlink ref="O45" r:id="rId63"/>
    <hyperlink ref="O50" r:id="rId64"/>
    <hyperlink ref="O51" r:id="rId65"/>
    <hyperlink ref="O66" r:id="rId66"/>
    <hyperlink ref="O67" r:id="rId67"/>
    <hyperlink ref="O70" r:id="rId68"/>
    <hyperlink ref="O71" r:id="rId69"/>
    <hyperlink ref="O72" r:id="rId70"/>
    <hyperlink ref="O73" r:id="rId71"/>
    <hyperlink ref="O78" r:id="rId72"/>
    <hyperlink ref="O79" r:id="rId73"/>
    <hyperlink ref="O80" r:id="rId74"/>
    <hyperlink ref="O81" r:id="rId75"/>
    <hyperlink ref="O82" r:id="rId76"/>
    <hyperlink ref="O83" r:id="rId77"/>
    <hyperlink ref="O84" r:id="rId78"/>
    <hyperlink ref="O85" r:id="rId79"/>
    <hyperlink ref="O86" r:id="rId80"/>
    <hyperlink ref="O87" r:id="rId81"/>
    <hyperlink ref="O88" r:id="rId82"/>
    <hyperlink ref="O92" r:id="rId83"/>
  </hyperlinks>
  <pageMargins left="0.7" right="0.7" top="0.75" bottom="0.75" header="0.3" footer="0.3"/>
  <pageSetup orientation="portrait"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25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2025-01-22T13:56:50Z</dcterms:modified>
</cp:coreProperties>
</file>