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Master-Board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28" i="1" l="1"/>
  <c r="B167" i="1" l="1"/>
  <c r="B168" i="1"/>
  <c r="B162" i="1"/>
  <c r="B163" i="1"/>
  <c r="B169" i="1"/>
  <c r="B166" i="1"/>
  <c r="B165" i="1"/>
  <c r="B164" i="1"/>
  <c r="B161" i="1"/>
  <c r="B160" i="1"/>
  <c r="B159" i="1" l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<sst xmlns="http://schemas.openxmlformats.org/spreadsheetml/2006/main" count="1187" uniqueCount="695">
  <si>
    <t>#</t>
  </si>
  <si>
    <t>Item Type</t>
  </si>
  <si>
    <t>Capacitor</t>
  </si>
  <si>
    <t>Capacitors</t>
  </si>
  <si>
    <t>Diode</t>
  </si>
  <si>
    <t>(TVS/ESD)</t>
  </si>
  <si>
    <t>TVS Diodes</t>
  </si>
  <si>
    <t>Schottky Diode</t>
  </si>
  <si>
    <t>Zener diode</t>
  </si>
  <si>
    <t>Fuses</t>
  </si>
  <si>
    <t>Fuse</t>
  </si>
  <si>
    <t>Ferrite Bead</t>
  </si>
  <si>
    <t>USB Connector</t>
  </si>
  <si>
    <t>Connector</t>
  </si>
  <si>
    <t>Terminal Block</t>
  </si>
  <si>
    <t>Male Header</t>
  </si>
  <si>
    <t>Fuse Holder</t>
  </si>
  <si>
    <t>JST Connector</t>
  </si>
  <si>
    <t>FFC , FPC Connector</t>
  </si>
  <si>
    <t>Ethernet Connectors</t>
  </si>
  <si>
    <t>USB Connectors</t>
  </si>
  <si>
    <t>Connectors (RJ45 RJ11)</t>
  </si>
  <si>
    <t>RJ45 Connector</t>
  </si>
  <si>
    <t>Screw terminal</t>
  </si>
  <si>
    <t>Inductors</t>
  </si>
  <si>
    <t>Inductor</t>
  </si>
  <si>
    <t>LED</t>
  </si>
  <si>
    <t>RGB LED</t>
  </si>
  <si>
    <t>MOSFETs</t>
  </si>
  <si>
    <t>Mosfet</t>
  </si>
  <si>
    <t>(BJT)</t>
  </si>
  <si>
    <t>Resistor</t>
  </si>
  <si>
    <t>Resistors</t>
  </si>
  <si>
    <t>Switch</t>
  </si>
  <si>
    <t>DIP Switche</t>
  </si>
  <si>
    <t>DIP Switches</t>
  </si>
  <si>
    <t>RJ45 Transformer</t>
  </si>
  <si>
    <t>[NoParam], IC</t>
  </si>
  <si>
    <t>IC</t>
  </si>
  <si>
    <t>Oscillators</t>
  </si>
  <si>
    <t>Crystal</t>
  </si>
  <si>
    <t>Designator</t>
  </si>
  <si>
    <t>C1, C5, C70, C71, C73, C125</t>
  </si>
  <si>
    <t>C2, C28, C29</t>
  </si>
  <si>
    <t>C3, C40, C49</t>
  </si>
  <si>
    <t>C4, C6, C7, C9, C10, C30, C32, C34, C35, C36, C38, C39, C43, C45, C46, C47, C48, C56, C60, C61, C62, C63, C64, C65, C66, C67, C68, C69, C72, C74, C75, C80, C81, C85, C86, C88, C90, C92, C93, C94, C95, C96, C97, C98, C99, C100, C101, C102, C103, C104, C105, C106, C107, C108, C109, C110, C111, C112, C113, C114, C115, C116, C117, C118, C119, C120, C121, C122, C123, C124, C127, C128, C129, C135, C143, C145, C151, C152, C155</t>
  </si>
  <si>
    <t>C8, C31, C59, C82, C87, C89, C91</t>
  </si>
  <si>
    <t>C11</t>
  </si>
  <si>
    <t>C12</t>
  </si>
  <si>
    <t>C13</t>
  </si>
  <si>
    <t>C14, C84</t>
  </si>
  <si>
    <t>C15, C17, C27</t>
  </si>
  <si>
    <t>C16, C18, C25, C83, C146, C147, C148, C153, C154</t>
  </si>
  <si>
    <t>C19</t>
  </si>
  <si>
    <t>C20, C21</t>
  </si>
  <si>
    <t>C22, C23, C24</t>
  </si>
  <si>
    <t>C26</t>
  </si>
  <si>
    <t>C33, C37, C42, C44</t>
  </si>
  <si>
    <t>C41, C50</t>
  </si>
  <si>
    <t>C51</t>
  </si>
  <si>
    <t>C52</t>
  </si>
  <si>
    <t>C53</t>
  </si>
  <si>
    <t>C54, C55</t>
  </si>
  <si>
    <t>C57, C58</t>
  </si>
  <si>
    <t>C76, C77, C78, C79</t>
  </si>
  <si>
    <t>C126</t>
  </si>
  <si>
    <t>C130, C131, C132, C133, C138, C139, C140, C141</t>
  </si>
  <si>
    <t>C134, C142</t>
  </si>
  <si>
    <t>C136, C137</t>
  </si>
  <si>
    <t>C144, C149, C150</t>
  </si>
  <si>
    <t>D1, D2, D3, D4, D62, D63, D66, D67</t>
  </si>
  <si>
    <t>D6</t>
  </si>
  <si>
    <t>D7</t>
  </si>
  <si>
    <t>D8</t>
  </si>
  <si>
    <t>D9, D69, D70, D72, D73</t>
  </si>
  <si>
    <t>D10, D44, D45, D46, D47, D48, D49, D50, D56, D57, D58, D59, D60</t>
  </si>
  <si>
    <t>D11, D12, D13, D14, D15</t>
  </si>
  <si>
    <t>D16</t>
  </si>
  <si>
    <t>D17</t>
  </si>
  <si>
    <t>D18</t>
  </si>
  <si>
    <t>D19, D20, D21, D22, D23, D24</t>
  </si>
  <si>
    <t>D26, D27, D28</t>
  </si>
  <si>
    <t>D29, D30, D31, D32</t>
  </si>
  <si>
    <t>D33, D34, D35, D36</t>
  </si>
  <si>
    <t>D37, D38, D39, D40, D41, D42, D43, D51, D52, D53, D54, D55, D61, D64, D65, D68</t>
  </si>
  <si>
    <t>D71</t>
  </si>
  <si>
    <t>F1</t>
  </si>
  <si>
    <t>F2</t>
  </si>
  <si>
    <t>FB1, FB4, FB5, FB6, FB7</t>
  </si>
  <si>
    <t>FB2, FB3</t>
  </si>
  <si>
    <t>J1</t>
  </si>
  <si>
    <t>J2</t>
  </si>
  <si>
    <t>J3, J38</t>
  </si>
  <si>
    <t>J4, J39</t>
  </si>
  <si>
    <t>J5, J40</t>
  </si>
  <si>
    <t>J6, J41</t>
  </si>
  <si>
    <t>J7, J19, J22, J23, J27, J29, J31</t>
  </si>
  <si>
    <t>J8</t>
  </si>
  <si>
    <t>J9</t>
  </si>
  <si>
    <t>J10</t>
  </si>
  <si>
    <t>J11</t>
  </si>
  <si>
    <t>J12, J13</t>
  </si>
  <si>
    <t>J14</t>
  </si>
  <si>
    <t>J15</t>
  </si>
  <si>
    <t>J16</t>
  </si>
  <si>
    <t>J17</t>
  </si>
  <si>
    <t>J18</t>
  </si>
  <si>
    <t>J20, J21</t>
  </si>
  <si>
    <t>J24, J25</t>
  </si>
  <si>
    <t>J26, J28, J30</t>
  </si>
  <si>
    <t>J32, J33</t>
  </si>
  <si>
    <t>J34</t>
  </si>
  <si>
    <t>J35, J36</t>
  </si>
  <si>
    <t>J37</t>
  </si>
  <si>
    <t>J42, J43</t>
  </si>
  <si>
    <t>L1</t>
  </si>
  <si>
    <t>L2</t>
  </si>
  <si>
    <t>LED1, LED2, LED3, LED4, LED5, LED7, LED20</t>
  </si>
  <si>
    <t>LED6</t>
  </si>
  <si>
    <t>LED8, LED19</t>
  </si>
  <si>
    <t>LED9, LED10, LED11, LED12, LED13, LED14, LED15, LED16, LED17, LED18</t>
  </si>
  <si>
    <t>Q1, Q2</t>
  </si>
  <si>
    <t>Q3</t>
  </si>
  <si>
    <t>Q4</t>
  </si>
  <si>
    <t>Q5</t>
  </si>
  <si>
    <t>Q6, Q11, Q12, Q13, Q14</t>
  </si>
  <si>
    <t>Q7, Q8, Q9, Q10</t>
  </si>
  <si>
    <t>R1</t>
  </si>
  <si>
    <t>R2, R7, R8, R9, R11, R12, R13, R19, R54, R63, R67, R84, R90, R105, R127, R156, R157, R158, R194, R197, R200, R201, R258, R278, R290, R293, R303, R304, R313, R318, R319, R320, R321, R322, R327, R328, R329, R330, R331, R340, R346, R352, R354, R368, R376, R377, R378, R380, R384</t>
  </si>
  <si>
    <t>R3, R268</t>
  </si>
  <si>
    <t>R4, R6, R91, R95, R106, R112</t>
  </si>
  <si>
    <t>R5, R269</t>
  </si>
  <si>
    <t>R10, R141</t>
  </si>
  <si>
    <t>R14, R15, R16, R17, R21, R22, R36, R37, R38, R39, R42, R43, R46, R47, R55, R56, R57, R58, R59, R60, R61, R64, R65, R66, R77, R78, R79, R80, R81, R82, R83, R85, R86, R87, R121, R123, R124, R125, R126, R142, R143, R144, R145, R146, R147, R148, R149, R150, R151, R152, R153, R154, R155, R159, R160, R161, R162, R163, R164, R165, R166, R167, R168, R169, R170, R171, R172, R173, R174, R175, R176, R177, R178, R179, R180, R181, R182, R183, R184, R185, R186, R187, R188, R189, R190, R191, R192, R193, R195, R196, R198, R203, R204, R205, R206, R207, R208, R209, R210, R211, R212, R213, R214, R215, R216, R217, R218, R219, R220, R221, R222, R223, R224, R225, R226, R227, R228, R229, R230, R231, R232, R233, R234, R235, R236, R237, R238, R239, R240, R241, R242, R243, R244, R245, R246, R247, R248, R249, R250, R251, R252, R253, R259, R260, R270, R271, R273, R275, R276, R277, R279, R280, R281, R282, R283, R284, R285, R287, R288, R289, R291, R292, R294, R295, R296, R297, R298, R299, R300, R302, R305, R306, R307, R309, R310, R312, R323, R324, R325, R332, R333, R334, R336, R337, R338, R342, R343, R344, R348, R349, R350, R359, R365, R366, R379, R381, R382, R383, R417, R418, R421, R422</t>
  </si>
  <si>
    <t>R18, R20, R104, R129, R130, R272, R274</t>
  </si>
  <si>
    <t>R23, R26, R29, R30, R33, R34, R35</t>
  </si>
  <si>
    <t>R24, R25</t>
  </si>
  <si>
    <t>R27, R28, R40, R41, R48, R49, R50, R51, R52, R53, R254, R255, R256, R257, R265, R370, R372, R373, R389, R390, R391, R392, R406, R407, R412, R413, R419, R423, R425, R426</t>
  </si>
  <si>
    <t>R31, R32, R44, R45, R408, R409, R414, R415</t>
  </si>
  <si>
    <t>R62, R286, R301, R311, R339, R345, R351</t>
  </si>
  <si>
    <t>R68, R71, R72</t>
  </si>
  <si>
    <t>R69</t>
  </si>
  <si>
    <t>R70</t>
  </si>
  <si>
    <t>R73</t>
  </si>
  <si>
    <t>R74</t>
  </si>
  <si>
    <t>R75</t>
  </si>
  <si>
    <t>R76, R199, R261, R263</t>
  </si>
  <si>
    <t>R88</t>
  </si>
  <si>
    <t>R89</t>
  </si>
  <si>
    <t>R92, R93, R94, R96, R102, R103, R108, R110, R111, R113, R119, R120</t>
  </si>
  <si>
    <t>R97, R98, R99, R100, R114, R115, R116, R117, R355, R356, R357, R358, R361, R362, R363, R364</t>
  </si>
  <si>
    <t>R101, R118</t>
  </si>
  <si>
    <t>R107, R131, R132, R133, R134, R135, R136, R137, R138, R139, R140</t>
  </si>
  <si>
    <t>R109</t>
  </si>
  <si>
    <t>R122</t>
  </si>
  <si>
    <t>R128</t>
  </si>
  <si>
    <t>R202, R308, R314, R315, R316, R317, R326, R335, R341, R347, R353</t>
  </si>
  <si>
    <t>R262, R264, R266</t>
  </si>
  <si>
    <t>R267</t>
  </si>
  <si>
    <t>R360, R371, R374, R375</t>
  </si>
  <si>
    <t>R367</t>
  </si>
  <si>
    <t>R369</t>
  </si>
  <si>
    <t>R385, R386, R387, R388</t>
  </si>
  <si>
    <t>R393, R394, R395, R396, R397, R398, R399, R400, R401, R402, R403, R404</t>
  </si>
  <si>
    <t>R405, R410, R411, R416</t>
  </si>
  <si>
    <t>R420</t>
  </si>
  <si>
    <t>R424</t>
  </si>
  <si>
    <t>SW1, SW2, SW3, SW4, SW5, SW6, SW9, SW11, SW12</t>
  </si>
  <si>
    <t>SW7</t>
  </si>
  <si>
    <t>SW8</t>
  </si>
  <si>
    <t>SW10</t>
  </si>
  <si>
    <t>T1, T2</t>
  </si>
  <si>
    <t>U1, U20</t>
  </si>
  <si>
    <t>U2</t>
  </si>
  <si>
    <t>U3</t>
  </si>
  <si>
    <t>U4, U19, U21</t>
  </si>
  <si>
    <t>U5, U6, U7, U8, U32, U33, U34, U35</t>
  </si>
  <si>
    <t>U9, U22, U23, U24</t>
  </si>
  <si>
    <t>U10, U17</t>
  </si>
  <si>
    <t>U11</t>
  </si>
  <si>
    <t>U12</t>
  </si>
  <si>
    <t>U13</t>
  </si>
  <si>
    <t>U14</t>
  </si>
  <si>
    <t>U15</t>
  </si>
  <si>
    <t>U16</t>
  </si>
  <si>
    <t>U18</t>
  </si>
  <si>
    <t>U25, U26</t>
  </si>
  <si>
    <t>U27, U28, U29</t>
  </si>
  <si>
    <t>U30</t>
  </si>
  <si>
    <t>U31</t>
  </si>
  <si>
    <t>U36</t>
  </si>
  <si>
    <t>U37</t>
  </si>
  <si>
    <t>U38</t>
  </si>
  <si>
    <t>X1</t>
  </si>
  <si>
    <t>X2</t>
  </si>
  <si>
    <t>X3</t>
  </si>
  <si>
    <t>X4</t>
  </si>
  <si>
    <t>X5</t>
  </si>
  <si>
    <t>Description</t>
  </si>
  <si>
    <t>CAP CER 1UF 16V X5R 0402</t>
  </si>
  <si>
    <t>CAP CER 4.7UF 25V X7R 0805</t>
  </si>
  <si>
    <t>CAP CER 10UF 16V X5R 0603</t>
  </si>
  <si>
    <t>CAP CER 0.1UF 16V X7R 0402</t>
  </si>
  <si>
    <t>CAP CER 4.7UF 10V X5R 0402</t>
  </si>
  <si>
    <t>CAP ALUM 220UF 20% 50V SMD</t>
  </si>
  <si>
    <t>47uF 50V 66mA@120Hz ±20% SMD,D6.3xL7.7mm Aluminum Electrolytic Capacitors - SMD ROHS</t>
  </si>
  <si>
    <t>CAP CER 0.022UF 100V X7R 0805</t>
  </si>
  <si>
    <t>CAP CER 10UF 50V X5R 0805</t>
  </si>
  <si>
    <t>CAP CER 1UF 50V X5R 0603</t>
  </si>
  <si>
    <t>CAP CER 0.1UF 50V X7R 0603</t>
  </si>
  <si>
    <t>CAP CER 4.7UF 50V X7R 1206</t>
  </si>
  <si>
    <t>CAP CER 0.22UF 50V X7R 1206</t>
  </si>
  <si>
    <t>CAP CER 47UF 25V X5R 1206</t>
  </si>
  <si>
    <t>CAP CER 6.8PF 50V C0G/NPO 0402</t>
  </si>
  <si>
    <t>CAP CER 22UF 25V X5R 0805</t>
  </si>
  <si>
    <t>CAP CER 1000PF 2KV X7R 1206</t>
  </si>
  <si>
    <t>CAP CER 100PF 50V C0G/NPO 0402</t>
  </si>
  <si>
    <t>CAP CER 1000PF 25V X7R 0402</t>
  </si>
  <si>
    <t>CAP CER 10000PF 25V X7R 0402</t>
  </si>
  <si>
    <t>CAP CER 18PF 50V C0G/NP0 0402</t>
  </si>
  <si>
    <t>CAP CER 2.2UF 25V X5R 0402</t>
  </si>
  <si>
    <t>CAP CER 15PF 50V C0G/NPO 0201</t>
  </si>
  <si>
    <t>50V 470pF ±10% 0402 Multilayer Ceramic Capacitors MLCC - SMD/SMT ROHS</t>
  </si>
  <si>
    <t>CAP CER 10PF 50V C0G/NP0 0402</t>
  </si>
  <si>
    <t>CAP CER 0.022UF 16V X7R 0402</t>
  </si>
  <si>
    <t>CAP CER 30PF 50V C0G/NPO 0402</t>
  </si>
  <si>
    <t>CAP CER 10UF 16V X7R 0805</t>
  </si>
  <si>
    <t>DIODE GEN PURP 100V 300MA SOD123</t>
  </si>
  <si>
    <t>TVS DIODE 58VWM 93.6VC SMB</t>
  </si>
  <si>
    <t>26.7V 24V SOD-123 ESD and Surge Protection (TVS/ESD) ROHS</t>
  </si>
  <si>
    <t>TVS DIODE 26VWM 42.1VC SMB</t>
  </si>
  <si>
    <t>6V 5V SOD-123 ESD and Surge Protection (TVS/ESD) ROHS</t>
  </si>
  <si>
    <t>TVS SURGE PROTECTOR 1-CH 3.3V</t>
  </si>
  <si>
    <t>DIODE BIDIR ESD X4DFN2</t>
  </si>
  <si>
    <t>TVS DIODE 3VWM SOT323-5</t>
  </si>
  <si>
    <t>TVS DIODE 5VWM 11.6VC 1610</t>
  </si>
  <si>
    <t>TVS DIODE 3VWM ST0201</t>
  </si>
  <si>
    <t>TVS DIODE 24VWM 40VC SOT23-3</t>
  </si>
  <si>
    <t>SOT-23 TVS ROHS</t>
  </si>
  <si>
    <t>60V 700mV@1A 1A SMA(DO-214AC) Schottky Barrier Diodes (SBD) ROHS</t>
  </si>
  <si>
    <t>DIODE ZENER 16V 1.5W SMA</t>
  </si>
  <si>
    <t>DIODE ZENER 3.3V 200MW SOD323F</t>
  </si>
  <si>
    <t>DIODE SCHOTTKY 40V 1A SOD123</t>
  </si>
  <si>
    <t>PTC RESET FUSE 6V 1.1A 0805</t>
  </si>
  <si>
    <t>6V 500mA 40A 1A 0603 Resettable Fuses ROHS</t>
  </si>
  <si>
    <t>FERRITE BEAD 220 OHM 0603 1LN</t>
  </si>
  <si>
    <t>Ferrite Beads Multi-Layer 120Ohm 25% 100MHz 2A 50mOhm DCR 0603 Paper T/R</t>
  </si>
  <si>
    <t>5A 1 16P Female Type-C SMD USB Connectors ROHS</t>
  </si>
  <si>
    <t>1x6P SH 1 1mm 6 SMD,P=1mm Wire To Board / Wire To Wire Connector ROHS</t>
  </si>
  <si>
    <t>1x2P 18A -40℃~+105℃ 250V Orange 12~30 Straight 5.08mm 2.5 1 2 Plugin,P=5.08mm Screw terminal ROHS</t>
  </si>
  <si>
    <t>1x2P 20A -40℃~+105℃ 300V Gray 12~30 Straight 5.08mm 1~2.5 1 2 Plugin,P=5.08mm Screw terminal ROHS</t>
  </si>
  <si>
    <t>1x2P 18A -40℃~+105℃ 250V Green 12~30 Straight 5.08mm 2.5 1 2 Plugin,P=5.08mm Screw terminal ROHS</t>
  </si>
  <si>
    <t>1x2P 18A -40℃~+105℃ 250V Black 12~30 Straight pin 5.08mm 2.5 1 2 Plugin,P=5.08mm Screw terminal ROHS</t>
  </si>
  <si>
    <t>Gold 250V 3A Straight Square Pins 2.5mm 2P 260℃ 6mm -40℃~+105℃ 3mm 2.54mm Plugin Black Brass 1x2P Plugin,P=2.54mm Pin Headers ROHS</t>
  </si>
  <si>
    <t>FUSE HOLDER BLADE 80V PCB</t>
  </si>
  <si>
    <t>1x3P 18A -40℃~+105℃ 250V Orange 12~30 Direct Insert 5.08mm 2.5 1 3 Plugin,P=5.08mm Screw Terminal Blocks ROHS</t>
  </si>
  <si>
    <t>CONN HEADER VERT 4POS 2.5MM</t>
  </si>
  <si>
    <t>Drawer Type 32P Single-sided contact points/Vertical Standing paste 0.5mm SMD,P=0.5mm FFC, FPC (Flat Flexible) Connector Assemblies ROHS</t>
  </si>
  <si>
    <t>CONN MOD JACK 8P8C R/A SHIELDED</t>
  </si>
  <si>
    <t>CABLE ADAPTER 6 POS</t>
  </si>
  <si>
    <t>Gold 250V 3A Straight Square Pins 2.5mm 3P 260℃ 6mm -40℃~+105℃ 3mm 2.54mm Plugin Black Brass 1x3P Plugin,P=2.54mm Pin Headers ROHS</t>
  </si>
  <si>
    <t>3A 1 5P Mother -40℃~+85℃ Micro-B SMD USB Connectors ROHS</t>
  </si>
  <si>
    <t>5A 1 16P Mother -25℃~+85℃ Type-C SMD USB Connectors ROHS</t>
  </si>
  <si>
    <t>RJ45Receptacle 4 Unshielded Bend-in Gold Phosphor Bronze Without LED -40℃~+85℃ Plugin Ethernet Connectors / Modular Connectors (RJ45 RJ11) ROHS</t>
  </si>
  <si>
    <t>1x3P 18A -40℃~+105℃ 250V Black 12~30 Straight pin 5.08mm 2.5 1 3 Plugin,P=5.08mm Screw terminal ROHS</t>
  </si>
  <si>
    <t>1x3P 18A -40℃~+105℃ 250V Green 12~30 Direct Insert 5.08mm 2.5 1 3 Plugin,P=5.08mm Screw Terminal Blocks ROHS</t>
  </si>
  <si>
    <t>1x3P 20A -40℃~+105℃ 300V Gray 12~30 Direct Insert 5.08mm 1~2.5 1 3 Plugin,P=5.08mm Screw Terminal Blocks ROHS</t>
  </si>
  <si>
    <t>RJ45 RJReceptacle 1 WithLED Plugin Ethernet Connectors/Modular Connectors (RJ45 RJ11) ROHS</t>
  </si>
  <si>
    <t>1x5P 20A -40℃~+105℃ 300V Green 12~30 Direct Insert 5.08mm 2.5 1 5 Plugin,P=5.08mm Screw Terminal Blocks ROHS</t>
  </si>
  <si>
    <t>1x7P 20A -40℃~+105℃ 300V Green 12~30 Direct Insert 5.08mm 2.5 1 7 Plugin,P=5.08mm Screw Terminal Blocks ROHS</t>
  </si>
  <si>
    <t>1x12P 20A -40℃~+105℃ 300V Green 12~30 Direct Insert 5.08mm 2.5 1 12 Plugin,P=5.08mm Screw Terminal Blocks ROHS</t>
  </si>
  <si>
    <t>1x4P 20A -40℃~+105℃ 300V Green 12~30 Straight 5.08mm 2.5 1 4 Plugin,P=5.08mm Screw terminal ROHS</t>
  </si>
  <si>
    <t>FIXED IND 15UH 9A 28 MOHM SMD</t>
  </si>
  <si>
    <t>590mA 22uH ±20% SMD,4x4x1.8mm Power Inductors ROHS</t>
  </si>
  <si>
    <t>RED LED 0603 Light Emitting Diodes</t>
  </si>
  <si>
    <t>yellow 0603 Light Emitting Diodes (LED) ROHS</t>
  </si>
  <si>
    <t>Emerald 0603 Light Emitting Diodes (LED) ROHS</t>
  </si>
  <si>
    <t>Plugin,D=5mm RGB LEDs ROHS</t>
  </si>
  <si>
    <t>25V 300mW 120@100mA,1V 1.5A NPN SOT-23 Bipolar Transistors - BJT ROHS</t>
  </si>
  <si>
    <t>MOSFET N-CH 60V 15A PWRDI3333</t>
  </si>
  <si>
    <t>30V 5.8A 32mΩ@10V,5.8A 1.4W 1.4V@250uA N Channel SOT-23 MOSFETs ROHS</t>
  </si>
  <si>
    <t>N-CHANNEL 20-V (D-S) MOSFET</t>
  </si>
  <si>
    <t>40V 200mW 100 200mA NPN SOT-23 Bipolar (BJT) ROHS</t>
  </si>
  <si>
    <t>Trans Mosfet P-ch 30V 4A 3-PIN SOT-23 T/r</t>
  </si>
  <si>
    <t>RES 2K OHM 1% 1/16W 0402</t>
  </si>
  <si>
    <t>RES 10K OHM 1% 1/16W 0402</t>
  </si>
  <si>
    <t>RES 22.1K OHM 1% 1/10W 0603</t>
  </si>
  <si>
    <t>RES SMD 220 OHM 1% 1/10W 0603</t>
  </si>
  <si>
    <t>RES 47.5K OHM 1% 1/10W 0603</t>
  </si>
  <si>
    <t>RES 0 OHM JUMPER 1/16W 0402</t>
  </si>
  <si>
    <t>RES 5.1K OHM 1% 1/16W 0402</t>
  </si>
  <si>
    <t>RES 49.9 OHM 1% 1/16W 0402</t>
  </si>
  <si>
    <t>RES 4.7K OHM 1% 1/16W 0402</t>
  </si>
  <si>
    <t>62.5mW Thick Film Resistors 50V ±100ppm/℃ ±1% 4.3kΩ 0402 Chip Resistor - Surface Mount ROHS</t>
  </si>
  <si>
    <t>RES 120 OHM 1% 1/10W 0603</t>
  </si>
  <si>
    <t>RES SMD 100K OHM 0.1% 1/16W 0402</t>
  </si>
  <si>
    <t>RES 3.9K OHM 1% 1/16W 0402</t>
  </si>
  <si>
    <t>RES SMD 698K OHM 0.1% 1/8W 0805</t>
  </si>
  <si>
    <t>RES SMD 51.1K OHM 0.1% 1/8W 0805</t>
  </si>
  <si>
    <t>RES SMD 24.9KOHM 0.1% 1/16W 0402</t>
  </si>
  <si>
    <t>RES 499 OHM 1% 1/16W 0402</t>
  </si>
  <si>
    <t>RES 240 OHM 1% 1/16W 0402</t>
  </si>
  <si>
    <t>RES 2.2 OHM 1% 1/10W 0603</t>
  </si>
  <si>
    <t>RES 33 OHM 1% 1/16W 0402</t>
  </si>
  <si>
    <t>RES SMD 51R 100mW 0603</t>
  </si>
  <si>
    <t>RES 49.9 OHM 1% 1/10W 0603</t>
  </si>
  <si>
    <t>RES 75 OHM 1% 1/10W 0603</t>
  </si>
  <si>
    <t>RES 1K OHM 1% 1/16W 0402</t>
  </si>
  <si>
    <t>RES SMD 11.8K OHM 0.1% 1/10W 0603</t>
  </si>
  <si>
    <t>RES 1M OHM 1% 1/16W 0402</t>
  </si>
  <si>
    <t>RES 75 OHM 5% 1/16W 0402</t>
  </si>
  <si>
    <t>RES 47K OHM 1% 1/16W 0402</t>
  </si>
  <si>
    <t>RES  SMD 330R 100 mW 0603</t>
  </si>
  <si>
    <t>RES SMD 12.1KOHM 0.1% 1/16W 0402</t>
  </si>
  <si>
    <t>RES 20K OHM 1% 1/16W 0402</t>
  </si>
  <si>
    <t>RES 100 OHM 1% 1/16W 0402</t>
  </si>
  <si>
    <t>RES 120 OHM 5% 1/10W 0603</t>
  </si>
  <si>
    <t>RES 51K OHM 0.1% 1/16W 0402</t>
  </si>
  <si>
    <t>RES 2.7K OHM 1% 1/16W 0402</t>
  </si>
  <si>
    <t>SWITCH TACTILE SPST-NO 0.05A 12V</t>
  </si>
  <si>
    <t>7Bit SPST 24V 25mA Black 3千次 Slide (Standard),凸起式 SMD-14P,6x17.8mm DIP Switches ROHS</t>
  </si>
  <si>
    <t>Gull Wing SPST 24V 25mA Black -20℃~+70℃ 3000 Flat dial, raised type 2.54mm 5 SMD-10P,6x12.6mm DIP Switches ROHS</t>
  </si>
  <si>
    <t>3 positions SPST Black Flat Toggle, Raised Style SMD-6P,6x7.6mm DIP Switches ROHS</t>
  </si>
  <si>
    <t>XFRMR MAGNETIC 1PORT 1:1 10/100</t>
  </si>
  <si>
    <t>Full Speed USB to UART Bridge USB 2.0 3.3V T/R Automotive 28-Pin QFN EP</t>
  </si>
  <si>
    <t>RF TXRX MOD BLUETOOTH U.FL SMD</t>
  </si>
  <si>
    <t>8-bit I2C IO Expander 20TSSOP</t>
  </si>
  <si>
    <t>6A 12V 150W 6V Unidirectional 5V SOT-23-6 ESD and Surge Protection (TVS/ESD) ROHS</t>
  </si>
  <si>
    <t>70V 5kV 50mA 100mV@1mA,20mA 1 6V 1.2V DC SMD-4 Transistor Output Optocoupler ROHS</t>
  </si>
  <si>
    <t>IC TRANSCEIVER HALF 1/1 8SOIC</t>
  </si>
  <si>
    <t>IC TRANSLTR BIDIRECTIONAL 8VSSOP</t>
  </si>
  <si>
    <t>OR Controller N+1 ORing Controller N-Channel 1:1 SOT-23-6</t>
  </si>
  <si>
    <t>IC REG BUCK ADJ 4A 13WQFN</t>
  </si>
  <si>
    <t>IC REG LINEAR 3.3V 1.3A 6DFN</t>
  </si>
  <si>
    <t>IC ETHERNET SWITCH 3PORT 48-LQFP</t>
  </si>
  <si>
    <t>IC EEPROM 2KBIT I2C 1MHZ 8SOIC</t>
  </si>
  <si>
    <t>IC MCU 32BIT 1MB FLASH 144LQFP</t>
  </si>
  <si>
    <t>IC PWR SWITCH N-CHAN 1:1 SOT23-5</t>
  </si>
  <si>
    <t>IC TRANSCEIVER FULL 1/1 16VQFN</t>
  </si>
  <si>
    <t>2/3-PORT ETHERCAT SLAVE CTLR</t>
  </si>
  <si>
    <t>IC EEPROM 256KBIT I2C 1MHZ 8SOIC</t>
  </si>
  <si>
    <t>IC ADC 16BIT SIGMA-DELTA 10VSSOP</t>
  </si>
  <si>
    <t>I2C ESOP-10 Digital to Analog Converters (DAC) ROHS</t>
  </si>
  <si>
    <t>boost converterType 1 Boost 28V 2V~24V 1.2MHz SOT-23-6 DC-DC Converters ROHS</t>
  </si>
  <si>
    <t>XTAL OSC XO 25.0000MHZ CMOS SMD</t>
  </si>
  <si>
    <t>CRYSTAL 25.0000MHZ 12PF SMD</t>
  </si>
  <si>
    <t>CRYSTAL 32.7680KHZ 12.5PF SMD</t>
  </si>
  <si>
    <t>25MHz 贴片晶振 18pF ±10ppm ±20ppm SMD3225-4P Crystals ROHS</t>
  </si>
  <si>
    <t>Footprint</t>
  </si>
  <si>
    <t>Cap-0402</t>
  </si>
  <si>
    <t>Cap-0805</t>
  </si>
  <si>
    <t>Cap-0603</t>
  </si>
  <si>
    <t>UCD-220uF-10mmDia</t>
  </si>
  <si>
    <t>RVT1H470M0607</t>
  </si>
  <si>
    <t>Cap-1206</t>
  </si>
  <si>
    <t>Cap-0201</t>
  </si>
  <si>
    <t>SOD-123</t>
  </si>
  <si>
    <t>SMB_</t>
  </si>
  <si>
    <t>DFN-2(0.3x0.6)</t>
  </si>
  <si>
    <t>SOT-323-5</t>
  </si>
  <si>
    <t>Diode 1610</t>
  </si>
  <si>
    <t>Diode-0201</t>
  </si>
  <si>
    <t>SOT-23</t>
  </si>
  <si>
    <t>SMA</t>
  </si>
  <si>
    <t>SOD323F</t>
  </si>
  <si>
    <t>Fuse-0805</t>
  </si>
  <si>
    <t>Fuse-0603</t>
  </si>
  <si>
    <t>IND-0603 (1608 Metric)</t>
  </si>
  <si>
    <t>DB128L-5.08-2P-OG-S</t>
  </si>
  <si>
    <t>DB128L-5.08-2P-GY-S</t>
  </si>
  <si>
    <t>DB128L-5.08-2P-GN-S</t>
  </si>
  <si>
    <t>DB128L-5.08-2P-BK-S</t>
  </si>
  <si>
    <t>178.6165.0002</t>
  </si>
  <si>
    <t>DB128L-5.08-3P-OG-S</t>
  </si>
  <si>
    <t>AFC11-S32ICA-00</t>
  </si>
  <si>
    <t>2-406549-1</t>
  </si>
  <si>
    <t>HDR1X3_</t>
  </si>
  <si>
    <t>U-E-051N-4BH21-S1B</t>
  </si>
  <si>
    <t>U263-163N-4BQC65</t>
  </si>
  <si>
    <t>X14CBIWB1DY1027</t>
  </si>
  <si>
    <t>DB128L-5.08-3P-BK-S</t>
  </si>
  <si>
    <t>DB128L-5.08-3P-GN-S</t>
  </si>
  <si>
    <t>DB128L-5.08-3P-GY-S</t>
  </si>
  <si>
    <t>HR911105A</t>
  </si>
  <si>
    <t>DB128V-5.08-5P-GN-S</t>
  </si>
  <si>
    <t>DB128V-5.08-7P-GN-S</t>
  </si>
  <si>
    <t>DB128V-5.08-12P-GN-S</t>
  </si>
  <si>
    <t>DB128V-5.08-4P-GN-S</t>
  </si>
  <si>
    <t>SRP1265A-150M</t>
  </si>
  <si>
    <t>YNR4018-220M</t>
  </si>
  <si>
    <t>LED-0603</t>
  </si>
  <si>
    <t>WS2812D-F5</t>
  </si>
  <si>
    <t>PowerDI-3333-8</t>
  </si>
  <si>
    <t>sot-23</t>
  </si>
  <si>
    <t>Sot-23</t>
  </si>
  <si>
    <t>Res-0402</t>
  </si>
  <si>
    <t>Res-0603</t>
  </si>
  <si>
    <t>RES-0805</t>
  </si>
  <si>
    <t>B3U-1000P</t>
  </si>
  <si>
    <t>DSIC07LS-P</t>
  </si>
  <si>
    <t>DSIC03LSGET</t>
  </si>
  <si>
    <t>28-QFN (5x5)_</t>
  </si>
  <si>
    <t>ESP32-WROOM-32UE-N16</t>
  </si>
  <si>
    <t>TSSOP-20</t>
  </si>
  <si>
    <t>SOT-23-6</t>
  </si>
  <si>
    <t>PC817C</t>
  </si>
  <si>
    <t>SOIC-8(0.154", 3.90mm Width)</t>
  </si>
  <si>
    <t>VSSOP-8(3.1x2.1)</t>
  </si>
  <si>
    <t>13-WQFN-HR (3x2)</t>
  </si>
  <si>
    <t>DFN-6(3x3)</t>
  </si>
  <si>
    <t>48-LQFP (7x7)</t>
  </si>
  <si>
    <t>LQFP-144(20x20)</t>
  </si>
  <si>
    <t>SOT-23-5</t>
  </si>
  <si>
    <t>16-QFN (3x3).</t>
  </si>
  <si>
    <t>QFN-64-EP(9x9)</t>
  </si>
  <si>
    <t>CAT24C256WI-GT3</t>
  </si>
  <si>
    <t>VSSOP-10</t>
  </si>
  <si>
    <t>ESOP-10</t>
  </si>
  <si>
    <t>SMD2520-4P</t>
  </si>
  <si>
    <t>Q22FA12800090</t>
  </si>
  <si>
    <t>SMD3225-4P</t>
  </si>
  <si>
    <t>Manufacturer Part Number</t>
  </si>
  <si>
    <t>CC0402KRX5R7BB105</t>
  </si>
  <si>
    <t>CC0805KKX7R8BB475</t>
  </si>
  <si>
    <t>CC0603KRX5R7BB106</t>
  </si>
  <si>
    <t>CC0402JRX7R7BB104</t>
  </si>
  <si>
    <t>CC0402KRX5R6BB475</t>
  </si>
  <si>
    <t>UCD1H221MNL1GS</t>
  </si>
  <si>
    <t>CC0805JRX7R0BB223</t>
  </si>
  <si>
    <t>GRM21BR61H106ME43L</t>
  </si>
  <si>
    <t>CL10A105KB8NNNC</t>
  </si>
  <si>
    <t>UMK316AB7475KL-T</t>
  </si>
  <si>
    <t>CC1206JKX7R9BB224</t>
  </si>
  <si>
    <t>GRM31CR61E476ME44L</t>
  </si>
  <si>
    <t>CC0402CRNPO9BN6R8</t>
  </si>
  <si>
    <t>CC0805MKX5R8BB226</t>
  </si>
  <si>
    <t>CC1206KKX7RDBB102</t>
  </si>
  <si>
    <t>CC0402JRNPO9BN101</t>
  </si>
  <si>
    <t>CC0402KRX7R8BB102</t>
  </si>
  <si>
    <t>CC0402KRX7R8BB103</t>
  </si>
  <si>
    <t>GCM1555C1H180GA16D</t>
  </si>
  <si>
    <t>GRM155R61E225KE11D</t>
  </si>
  <si>
    <t>CC0201JRNPO9BN150</t>
  </si>
  <si>
    <t>GRM155R11H471KA01D</t>
  </si>
  <si>
    <t>GRM1555C1H100JA01D</t>
  </si>
  <si>
    <t>CC0402JRX7R7BB223</t>
  </si>
  <si>
    <t>CC0402GRNPO9BN300</t>
  </si>
  <si>
    <t>EMK212BB7106MG-T</t>
  </si>
  <si>
    <t>1N4148W-7-F</t>
  </si>
  <si>
    <t>SMBJ58A-13-F</t>
  </si>
  <si>
    <t>AZ4024-01G</t>
  </si>
  <si>
    <t>SMBJ26A-13-F</t>
  </si>
  <si>
    <t>AZ3005-01G</t>
  </si>
  <si>
    <t>AZ3003-01G</t>
  </si>
  <si>
    <t>ESDM2033MX4T5G</t>
  </si>
  <si>
    <t>ESDALC6V1W5</t>
  </si>
  <si>
    <t>ESDA7P60-1U1M</t>
  </si>
  <si>
    <t>ESDALC6V1-1U2</t>
  </si>
  <si>
    <t>CDSOT23-T24CAN-Q</t>
  </si>
  <si>
    <t>SM712</t>
  </si>
  <si>
    <t>SS16</t>
  </si>
  <si>
    <t>1SMA5930BT3G</t>
  </si>
  <si>
    <t>MM3Z3V3B</t>
  </si>
  <si>
    <t>1N5819HW-7-F</t>
  </si>
  <si>
    <t>0805L110SLYR</t>
  </si>
  <si>
    <t>SMD0603-050</t>
  </si>
  <si>
    <t>BLM18PG221SN1D</t>
  </si>
  <si>
    <t>BLM18PG121SN1D</t>
  </si>
  <si>
    <t>TYPE-C-31-M-12</t>
  </si>
  <si>
    <t>C145963</t>
  </si>
  <si>
    <t>X6511WV-02H-C60D30</t>
  </si>
  <si>
    <t>B4B-XH-A(LF)(SN)</t>
  </si>
  <si>
    <t>TC2030-IDC</t>
  </si>
  <si>
    <t>X6511WV-03H-C60D30</t>
  </si>
  <si>
    <t>NCD0603R3</t>
  </si>
  <si>
    <t>NCD0603Y2</t>
  </si>
  <si>
    <t>NCD0603G2</t>
  </si>
  <si>
    <t>SS8050-G</t>
  </si>
  <si>
    <t>DMT6007LFG-7</t>
  </si>
  <si>
    <t>AO3400A</t>
  </si>
  <si>
    <t>SI2302CDS</t>
  </si>
  <si>
    <t>MMBT3904</t>
  </si>
  <si>
    <t>AO3401A</t>
  </si>
  <si>
    <t>RC0402FR-0710KL</t>
  </si>
  <si>
    <t>RC0603FR-0722K1L</t>
  </si>
  <si>
    <t>RC0603FR-07220RL</t>
  </si>
  <si>
    <t>RC0603FR-0747K5L</t>
  </si>
  <si>
    <t>RC0402FR-070RL</t>
  </si>
  <si>
    <t>RC0402FR-075K1L</t>
  </si>
  <si>
    <t>RC0402FR-0749R9L</t>
  </si>
  <si>
    <t>RC0402FR-074K7L</t>
  </si>
  <si>
    <t>0402WGF4301TCE</t>
  </si>
  <si>
    <t>RC0603FR-07120RL</t>
  </si>
  <si>
    <t>RT0402BRD07100KL</t>
  </si>
  <si>
    <t>RC0402FR-073K9L</t>
  </si>
  <si>
    <t>RT0805BRD07698KL</t>
  </si>
  <si>
    <t>RT0805BRD0751K1L</t>
  </si>
  <si>
    <t>RT0402BRD0724K9L</t>
  </si>
  <si>
    <t>RC0402FR-07499RL</t>
  </si>
  <si>
    <t>RC0402FR-07240RL</t>
  </si>
  <si>
    <t>RC0603FR-072R2L</t>
  </si>
  <si>
    <t>RC0402FR-0733RL</t>
  </si>
  <si>
    <t>RC0603FR-0751RL</t>
  </si>
  <si>
    <t>RC0603FR-0749R9L</t>
  </si>
  <si>
    <t>RC0603FR-0775RL</t>
  </si>
  <si>
    <t>RC0402FR-071KL</t>
  </si>
  <si>
    <t>RC0402FR-071ML</t>
  </si>
  <si>
    <t>RC0402JR-0775RL</t>
  </si>
  <si>
    <t>RC0402FR-0747KL</t>
  </si>
  <si>
    <t>RC0402FR-072KL</t>
  </si>
  <si>
    <t>RC0603JR-07330RL</t>
  </si>
  <si>
    <t>RT0402BRD0712K1L</t>
  </si>
  <si>
    <t>RC0402FR-0720KL</t>
  </si>
  <si>
    <t>RC0402FR-07100RL</t>
  </si>
  <si>
    <t>RC0603JR-07120RL</t>
  </si>
  <si>
    <t>AT0402BRD0751KL</t>
  </si>
  <si>
    <t>DSIC05LS-P</t>
  </si>
  <si>
    <t>H1102NL</t>
  </si>
  <si>
    <t>CP2102N-A02-GQFN28R</t>
  </si>
  <si>
    <t>PCF8574APWR</t>
  </si>
  <si>
    <t>USBLC6-2SC6</t>
  </si>
  <si>
    <t>TCAN3414DR</t>
  </si>
  <si>
    <t>TXS0102DCUR</t>
  </si>
  <si>
    <t>LM74700QDBVRQ1</t>
  </si>
  <si>
    <t>LM60440AQRPKRQ1</t>
  </si>
  <si>
    <t>ST1L05APU33R</t>
  </si>
  <si>
    <t>KSZ8863RLLI</t>
  </si>
  <si>
    <t>AT24C02C-SSHM-T</t>
  </si>
  <si>
    <t>STM32H723ZGT6</t>
  </si>
  <si>
    <t>STMPS2161STR</t>
  </si>
  <si>
    <t>TRSF3221EIRGTR</t>
  </si>
  <si>
    <t>THVD1449DR</t>
  </si>
  <si>
    <t>LAN9253-I/R4X</t>
  </si>
  <si>
    <t>ADS1113IDGSR</t>
  </si>
  <si>
    <t>GP8413-TC50-EW</t>
  </si>
  <si>
    <t>MT3608</t>
  </si>
  <si>
    <t>ECS-2033-250-BN</t>
  </si>
  <si>
    <t>NX3215SA-32.768K-STD-MUA-8</t>
  </si>
  <si>
    <t>X322525MRB4SI</t>
  </si>
  <si>
    <t>Manufacturer</t>
  </si>
  <si>
    <t>Yageo</t>
  </si>
  <si>
    <t>Nichicon</t>
  </si>
  <si>
    <t>ROQANG</t>
  </si>
  <si>
    <t>Murata</t>
  </si>
  <si>
    <t>Samsung</t>
  </si>
  <si>
    <t>Taiyo Yuden</t>
  </si>
  <si>
    <t>Murata Electronics</t>
  </si>
  <si>
    <t>Diodes</t>
  </si>
  <si>
    <t>AMAZING</t>
  </si>
  <si>
    <t>Amazing</t>
  </si>
  <si>
    <t>ON Semiconductor</t>
  </si>
  <si>
    <t>STMicroelectronics</t>
  </si>
  <si>
    <t>Bourns</t>
  </si>
  <si>
    <t>TECH PUBLIC</t>
  </si>
  <si>
    <t>MDD</t>
  </si>
  <si>
    <t>onsemi</t>
  </si>
  <si>
    <t>ON Semiconductor / Fairchild</t>
  </si>
  <si>
    <t>Littelfuse</t>
  </si>
  <si>
    <t>TECHFUSE</t>
  </si>
  <si>
    <t>Korean Hroparts Elec</t>
  </si>
  <si>
    <t>BOOMELE</t>
  </si>
  <si>
    <t>DORABO</t>
  </si>
  <si>
    <t>DIBO</t>
  </si>
  <si>
    <t>XKB</t>
  </si>
  <si>
    <t>Littelfuse Wickmann</t>
  </si>
  <si>
    <t>JST</t>
  </si>
  <si>
    <t>JUSHUO</t>
  </si>
  <si>
    <t>TE Connectivity</t>
  </si>
  <si>
    <t>Tag-Connect</t>
  </si>
  <si>
    <t>XKB Connection</t>
  </si>
  <si>
    <t>HANRUN</t>
  </si>
  <si>
    <t>YJYCOIN</t>
  </si>
  <si>
    <t>Foshan NationStar Optoelectronics</t>
  </si>
  <si>
    <t>Worldsemi</t>
  </si>
  <si>
    <t>Jiangsu Changjing Electronics Technology</t>
  </si>
  <si>
    <t>BORN</t>
  </si>
  <si>
    <t>ElecSuper</t>
  </si>
  <si>
    <t>Alpha &amp; Omega Semiconductor</t>
  </si>
  <si>
    <t>Royal Electronic Factory</t>
  </si>
  <si>
    <t>Omron</t>
  </si>
  <si>
    <t>XKB Connectivity</t>
  </si>
  <si>
    <t>DongGuan KINGTEK Industrial Co.,LTD</t>
  </si>
  <si>
    <t>Pulse</t>
  </si>
  <si>
    <t>Silicon Labs</t>
  </si>
  <si>
    <t>Espressif Systems</t>
  </si>
  <si>
    <t>Texas Instruments</t>
  </si>
  <si>
    <t>Slkor</t>
  </si>
  <si>
    <t>Microchip</t>
  </si>
  <si>
    <t>Guestgood</t>
  </si>
  <si>
    <t>XI'AN Aerosemi Tech</t>
  </si>
  <si>
    <t>ECS International</t>
  </si>
  <si>
    <t>Seiko Epson</t>
  </si>
  <si>
    <t>NDK</t>
  </si>
  <si>
    <t>YXC</t>
  </si>
  <si>
    <t>1uF</t>
  </si>
  <si>
    <t>4.7uF</t>
  </si>
  <si>
    <t>10uF</t>
  </si>
  <si>
    <t>0.1uF</t>
  </si>
  <si>
    <t>220uF</t>
  </si>
  <si>
    <t>47uF</t>
  </si>
  <si>
    <t>22nF</t>
  </si>
  <si>
    <t>220nF</t>
  </si>
  <si>
    <t>6.8pF</t>
  </si>
  <si>
    <t>22uF</t>
  </si>
  <si>
    <t>1000pF</t>
  </si>
  <si>
    <t>100pF</t>
  </si>
  <si>
    <t>1nF</t>
  </si>
  <si>
    <t>10nF</t>
  </si>
  <si>
    <t>DNP</t>
  </si>
  <si>
    <t>2.2uf</t>
  </si>
  <si>
    <t>15pF</t>
  </si>
  <si>
    <t>470pF</t>
  </si>
  <si>
    <t>10pF</t>
  </si>
  <si>
    <t>30pF</t>
  </si>
  <si>
    <t>120R</t>
  </si>
  <si>
    <t>15uH</t>
  </si>
  <si>
    <t>22uH</t>
  </si>
  <si>
    <t>2K</t>
  </si>
  <si>
    <t>10K</t>
  </si>
  <si>
    <t>22.1K</t>
  </si>
  <si>
    <t>220R</t>
  </si>
  <si>
    <t>47.5K</t>
  </si>
  <si>
    <t>0R</t>
  </si>
  <si>
    <t>5.1K</t>
  </si>
  <si>
    <t>49.9R</t>
  </si>
  <si>
    <t>4.7K</t>
  </si>
  <si>
    <t>4.3K</t>
  </si>
  <si>
    <t>100K</t>
  </si>
  <si>
    <t>3.9K</t>
  </si>
  <si>
    <t>698K</t>
  </si>
  <si>
    <t>51.1K</t>
  </si>
  <si>
    <t>24.9K</t>
  </si>
  <si>
    <t>499R</t>
  </si>
  <si>
    <t>240R</t>
  </si>
  <si>
    <t>2.2R</t>
  </si>
  <si>
    <t>33R</t>
  </si>
  <si>
    <t>51R</t>
  </si>
  <si>
    <t>75R</t>
  </si>
  <si>
    <t>1K</t>
  </si>
  <si>
    <t>11.8K</t>
  </si>
  <si>
    <t>47K</t>
  </si>
  <si>
    <t>330R</t>
  </si>
  <si>
    <t>12.1k</t>
  </si>
  <si>
    <t>20K</t>
  </si>
  <si>
    <t>100R</t>
  </si>
  <si>
    <t>51K</t>
  </si>
  <si>
    <t>2.7K</t>
  </si>
  <si>
    <t>25MHz</t>
  </si>
  <si>
    <t>32.7680KHZ</t>
  </si>
  <si>
    <t>Value</t>
  </si>
  <si>
    <t xml:space="preserve">Quantity </t>
  </si>
  <si>
    <t>Remarks</t>
  </si>
  <si>
    <t>Custom</t>
  </si>
  <si>
    <t>SOIC-8</t>
  </si>
  <si>
    <t>DO NOT PLACE</t>
  </si>
  <si>
    <t>-</t>
  </si>
  <si>
    <t>RC0402FR-072K7L</t>
  </si>
  <si>
    <t>RT0603BRD0711K8L</t>
  </si>
  <si>
    <t>Tag Connect</t>
  </si>
  <si>
    <t>DO NOT MOUNT</t>
  </si>
  <si>
    <t>CL10B104KB8WPNC</t>
  </si>
  <si>
    <t>Peripheral</t>
  </si>
  <si>
    <t>32V 1kA Blade fuse 3A Automotive Fuses ROHS</t>
  </si>
  <si>
    <t>0287003.PXCN</t>
  </si>
  <si>
    <t>Shunt Jumper</t>
  </si>
  <si>
    <t>Open top 3A 2.54mm P=2.54mm Shunts, Jumpers ROHS</t>
  </si>
  <si>
    <t>X2541-A1NIB</t>
  </si>
  <si>
    <t>led induction light</t>
  </si>
  <si>
    <t>SIRON D021</t>
  </si>
  <si>
    <t>SIRON</t>
  </si>
  <si>
    <t>Siron</t>
  </si>
  <si>
    <t>Photoelectric Sensor</t>
  </si>
  <si>
    <t>SiRON K070-8-1</t>
  </si>
  <si>
    <t>Reed Sensor</t>
  </si>
  <si>
    <t>Client have not provided any details of this</t>
  </si>
  <si>
    <t>Tag Connect Cable</t>
  </si>
  <si>
    <t>TC2030-CTX 6-Pin Cable for ARM Cortex ATMEL</t>
  </si>
  <si>
    <t>TC2030-CTX</t>
  </si>
  <si>
    <t>Qty: 2 cables per whole order</t>
  </si>
  <si>
    <t>LCD</t>
  </si>
  <si>
    <t>3.5" inch 320*480 32P/0.5 ST7796 8/16 MCU Parallel 3/4 SPI TFT Color LCD Module Display Screen Resistive Capacitive Touch Panel</t>
  </si>
  <si>
    <t>CS-IPS-ST7796-NTP</t>
  </si>
  <si>
    <t>OLED</t>
  </si>
  <si>
    <t>SSD1309 I2C 1.54 OLED Display ROHS</t>
  </si>
  <si>
    <t>HS154L03W2C01</t>
  </si>
  <si>
    <t>KH-SMAKW-IPEX4-RG0.81-B250</t>
  </si>
  <si>
    <t>25cm IPEX to SMA 4Gen RF Cables ROHS</t>
  </si>
  <si>
    <t>Shenzhen Kinghelm Elec</t>
  </si>
  <si>
    <t>Antenna</t>
  </si>
  <si>
    <t>W10-2.4G</t>
  </si>
  <si>
    <t>DreamLNK</t>
  </si>
  <si>
    <t>R427, R428, R429, R430, R431, R432</t>
  </si>
  <si>
    <t>RES 560 OHM 1% 1/16W 0402</t>
  </si>
  <si>
    <t>RC0402FR-07560RL</t>
  </si>
  <si>
    <t>560R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</si>
</sst>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0" fillId="2" borderId="7" xfId="1" applyFill="1" applyBorder="1" applyAlignment="1">
      <alignment horizontal="center" vertical="center" wrapText="1"/>
    </xf>
    <xf numFmtId="0" fontId="10" fillId="2" borderId="6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libaba.com/product-detail/SiRON-K070-Laser-Photoelectric-Sensor-IP67_1600886916288.html?spm=a2700.details.you_may_like.1.7ed6666cuPTwv4" TargetMode="External"/><Relationship Id="rId1" Type="http://schemas.openxmlformats.org/officeDocument/2006/relationships/hyperlink" Target="https://www.alibaba.com/product-detail/SIRON-D021-applied-in-automatic-equipment_1600805268060.html?spm=a2700.details.popular_products.6.7ed6666cuPTwv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69"/>
  <sheetViews>
    <sheetView tabSelected="1" topLeftCell="A112" workbookViewId="0">
      <selection activeCell="F132" sqref="F132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3.85546875" bestFit="1" customWidth="1"/>
    <col min="7" max="7" width="33.42578125" bestFit="1" customWidth="1"/>
    <col min="8" max="8" width="21.42578125" bestFit="1" customWidth="1"/>
    <col min="9" max="9" width="9.42578125" bestFit="1" customWidth="1"/>
    <col min="10" max="10" width="9.140625" bestFit="1" customWidth="1"/>
    <col min="11" max="11" width="12.5703125" bestFit="1" customWidth="1"/>
    <col min="13" max="13" width="27.7109375" bestFit="1" customWidth="1"/>
    <col min="14" max="14" width="25.285156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22"/>
      <c r="J1" s="22"/>
      <c r="K1" s="22"/>
    </row>
    <row r="2" spans="1:11" ht="15.75" thickBot="1" x14ac:dyDescent="0.3">
      <c r="A2" s="1"/>
      <c r="B2" s="5" t="s">
        <v>0</v>
      </c>
      <c r="C2" s="5" t="s">
        <v>1</v>
      </c>
      <c r="D2" s="5" t="s">
        <v>41</v>
      </c>
      <c r="E2" s="6" t="s">
        <v>198</v>
      </c>
      <c r="F2" s="5" t="s">
        <v>348</v>
      </c>
      <c r="G2" s="6" t="s">
        <v>421</v>
      </c>
      <c r="H2" s="5" t="s">
        <v>539</v>
      </c>
      <c r="I2" s="6" t="s">
        <v>649</v>
      </c>
      <c r="J2" s="5" t="s">
        <v>650</v>
      </c>
      <c r="K2" s="5" t="s">
        <v>651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42</v>
      </c>
      <c r="E3" s="8" t="s">
        <v>199</v>
      </c>
      <c r="F3" s="7" t="s">
        <v>349</v>
      </c>
      <c r="G3" s="8" t="s">
        <v>422</v>
      </c>
      <c r="H3" s="7" t="s">
        <v>540</v>
      </c>
      <c r="I3" s="8" t="s">
        <v>594</v>
      </c>
      <c r="J3" s="7">
        <v>6</v>
      </c>
      <c r="K3" s="7"/>
    </row>
    <row r="4" spans="1:11" ht="15.75" thickBot="1" x14ac:dyDescent="0.3">
      <c r="A4" s="1"/>
      <c r="B4" s="11">
        <f t="shared" ref="B4:B159" si="0">ROW(B4) - ROW($B$2)</f>
        <v>2</v>
      </c>
      <c r="C4" s="13" t="s">
        <v>3</v>
      </c>
      <c r="D4" s="9" t="s">
        <v>43</v>
      </c>
      <c r="E4" s="10" t="s">
        <v>200</v>
      </c>
      <c r="F4" s="9" t="s">
        <v>350</v>
      </c>
      <c r="G4" s="10" t="s">
        <v>423</v>
      </c>
      <c r="H4" s="9" t="s">
        <v>540</v>
      </c>
      <c r="I4" s="10" t="s">
        <v>595</v>
      </c>
      <c r="J4" s="9">
        <v>3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44</v>
      </c>
      <c r="E5" s="8" t="s">
        <v>201</v>
      </c>
      <c r="F5" s="7" t="s">
        <v>351</v>
      </c>
      <c r="G5" s="8" t="s">
        <v>424</v>
      </c>
      <c r="H5" s="7" t="s">
        <v>540</v>
      </c>
      <c r="I5" s="8" t="s">
        <v>596</v>
      </c>
      <c r="J5" s="7">
        <v>3</v>
      </c>
      <c r="K5" s="7"/>
    </row>
    <row r="6" spans="1:11" ht="108.75" thickBot="1" x14ac:dyDescent="0.3">
      <c r="A6" s="1"/>
      <c r="B6" s="11">
        <f t="shared" si="0"/>
        <v>4</v>
      </c>
      <c r="C6" s="13" t="s">
        <v>2</v>
      </c>
      <c r="D6" s="9" t="s">
        <v>45</v>
      </c>
      <c r="E6" s="10" t="s">
        <v>202</v>
      </c>
      <c r="F6" s="9" t="s">
        <v>349</v>
      </c>
      <c r="G6" s="10" t="s">
        <v>425</v>
      </c>
      <c r="H6" s="9" t="s">
        <v>540</v>
      </c>
      <c r="I6" s="10" t="s">
        <v>597</v>
      </c>
      <c r="J6" s="9">
        <v>79</v>
      </c>
      <c r="K6" s="9"/>
    </row>
    <row r="7" spans="1:11" ht="15.75" thickBot="1" x14ac:dyDescent="0.3">
      <c r="A7" s="1"/>
      <c r="B7" s="11">
        <f>ROW(B7) - ROW($B$2)</f>
        <v>5</v>
      </c>
      <c r="C7" s="13" t="s">
        <v>2</v>
      </c>
      <c r="D7" s="7" t="s">
        <v>46</v>
      </c>
      <c r="E7" s="8" t="s">
        <v>203</v>
      </c>
      <c r="F7" s="7" t="s">
        <v>349</v>
      </c>
      <c r="G7" s="8" t="s">
        <v>426</v>
      </c>
      <c r="H7" s="7" t="s">
        <v>540</v>
      </c>
      <c r="I7" s="8" t="s">
        <v>595</v>
      </c>
      <c r="J7" s="7">
        <v>7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47</v>
      </c>
      <c r="E8" s="10" t="s">
        <v>204</v>
      </c>
      <c r="F8" s="9" t="s">
        <v>352</v>
      </c>
      <c r="G8" s="10" t="s">
        <v>427</v>
      </c>
      <c r="H8" s="9" t="s">
        <v>541</v>
      </c>
      <c r="I8" s="10" t="s">
        <v>598</v>
      </c>
      <c r="J8" s="9">
        <v>1</v>
      </c>
      <c r="K8" s="9"/>
    </row>
    <row r="9" spans="1:11" ht="36.75" thickBot="1" x14ac:dyDescent="0.3">
      <c r="A9" s="1"/>
      <c r="B9" s="11">
        <f>ROW(B9) - ROW($B$2)</f>
        <v>7</v>
      </c>
      <c r="C9" s="12" t="s">
        <v>2</v>
      </c>
      <c r="D9" s="7" t="s">
        <v>48</v>
      </c>
      <c r="E9" s="8" t="s">
        <v>205</v>
      </c>
      <c r="F9" s="7" t="s">
        <v>652</v>
      </c>
      <c r="G9" s="8" t="s">
        <v>353</v>
      </c>
      <c r="H9" s="7" t="s">
        <v>542</v>
      </c>
      <c r="I9" s="8" t="s">
        <v>599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3</v>
      </c>
      <c r="D10" s="9" t="s">
        <v>49</v>
      </c>
      <c r="E10" s="10" t="s">
        <v>206</v>
      </c>
      <c r="F10" s="9" t="s">
        <v>350</v>
      </c>
      <c r="G10" s="10" t="s">
        <v>428</v>
      </c>
      <c r="H10" s="9" t="s">
        <v>540</v>
      </c>
      <c r="I10" s="10" t="s">
        <v>600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3</v>
      </c>
      <c r="D11" s="7" t="s">
        <v>50</v>
      </c>
      <c r="E11" s="8" t="s">
        <v>207</v>
      </c>
      <c r="F11" s="7" t="s">
        <v>350</v>
      </c>
      <c r="G11" s="8" t="s">
        <v>429</v>
      </c>
      <c r="H11" s="7" t="s">
        <v>543</v>
      </c>
      <c r="I11" s="8" t="s">
        <v>596</v>
      </c>
      <c r="J11" s="7">
        <v>2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51</v>
      </c>
      <c r="E12" s="10" t="s">
        <v>208</v>
      </c>
      <c r="F12" s="9" t="s">
        <v>351</v>
      </c>
      <c r="G12" s="10" t="s">
        <v>430</v>
      </c>
      <c r="H12" s="9" t="s">
        <v>544</v>
      </c>
      <c r="I12" s="10" t="s">
        <v>594</v>
      </c>
      <c r="J12" s="9">
        <v>3</v>
      </c>
      <c r="K12" s="9"/>
    </row>
    <row r="13" spans="1:11" ht="24.75" thickBot="1" x14ac:dyDescent="0.3">
      <c r="A13" s="1"/>
      <c r="B13" s="11">
        <f>ROW(B13) - ROW($B$2)</f>
        <v>11</v>
      </c>
      <c r="C13" s="12" t="s">
        <v>2</v>
      </c>
      <c r="D13" s="7" t="s">
        <v>52</v>
      </c>
      <c r="E13" s="8" t="s">
        <v>209</v>
      </c>
      <c r="F13" s="7" t="s">
        <v>351</v>
      </c>
      <c r="G13" s="10" t="s">
        <v>660</v>
      </c>
      <c r="H13" s="7" t="s">
        <v>544</v>
      </c>
      <c r="I13" s="8" t="s">
        <v>597</v>
      </c>
      <c r="J13" s="7">
        <v>9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53</v>
      </c>
      <c r="E14" s="10" t="s">
        <v>210</v>
      </c>
      <c r="F14" s="9" t="s">
        <v>354</v>
      </c>
      <c r="G14" s="10" t="s">
        <v>431</v>
      </c>
      <c r="H14" s="9" t="s">
        <v>545</v>
      </c>
      <c r="I14" s="10" t="s">
        <v>595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54</v>
      </c>
      <c r="E15" s="8" t="s">
        <v>211</v>
      </c>
      <c r="F15" s="7" t="s">
        <v>354</v>
      </c>
      <c r="G15" s="8" t="s">
        <v>432</v>
      </c>
      <c r="H15" s="7" t="s">
        <v>540</v>
      </c>
      <c r="I15" s="8" t="s">
        <v>601</v>
      </c>
      <c r="J15" s="7">
        <v>2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55</v>
      </c>
      <c r="E16" s="10" t="s">
        <v>212</v>
      </c>
      <c r="F16" s="9" t="s">
        <v>354</v>
      </c>
      <c r="G16" s="10" t="s">
        <v>433</v>
      </c>
      <c r="H16" s="9" t="s">
        <v>543</v>
      </c>
      <c r="I16" s="10" t="s">
        <v>599</v>
      </c>
      <c r="J16" s="9">
        <v>3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56</v>
      </c>
      <c r="E17" s="8" t="s">
        <v>213</v>
      </c>
      <c r="F17" s="7" t="s">
        <v>349</v>
      </c>
      <c r="G17" s="8" t="s">
        <v>434</v>
      </c>
      <c r="H17" s="7" t="s">
        <v>540</v>
      </c>
      <c r="I17" s="8" t="s">
        <v>602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2</v>
      </c>
      <c r="D18" s="9" t="s">
        <v>57</v>
      </c>
      <c r="E18" s="10" t="s">
        <v>214</v>
      </c>
      <c r="F18" s="9" t="s">
        <v>350</v>
      </c>
      <c r="G18" s="10" t="s">
        <v>435</v>
      </c>
      <c r="H18" s="9" t="s">
        <v>540</v>
      </c>
      <c r="I18" s="10" t="s">
        <v>603</v>
      </c>
      <c r="J18" s="9">
        <v>4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58</v>
      </c>
      <c r="E19" s="8" t="s">
        <v>215</v>
      </c>
      <c r="F19" s="7" t="s">
        <v>354</v>
      </c>
      <c r="G19" s="8" t="s">
        <v>436</v>
      </c>
      <c r="H19" s="7" t="s">
        <v>540</v>
      </c>
      <c r="I19" s="8" t="s">
        <v>604</v>
      </c>
      <c r="J19" s="7">
        <v>2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9" t="s">
        <v>59</v>
      </c>
      <c r="E20" s="10" t="s">
        <v>216</v>
      </c>
      <c r="F20" s="9" t="s">
        <v>349</v>
      </c>
      <c r="G20" s="10" t="s">
        <v>437</v>
      </c>
      <c r="H20" s="9" t="s">
        <v>540</v>
      </c>
      <c r="I20" s="10" t="s">
        <v>605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2</v>
      </c>
      <c r="D21" s="7" t="s">
        <v>60</v>
      </c>
      <c r="E21" s="8" t="s">
        <v>217</v>
      </c>
      <c r="F21" s="7" t="s">
        <v>349</v>
      </c>
      <c r="G21" s="8" t="s">
        <v>438</v>
      </c>
      <c r="H21" s="7" t="s">
        <v>540</v>
      </c>
      <c r="I21" s="8" t="s">
        <v>606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2</v>
      </c>
      <c r="D22" s="9" t="s">
        <v>61</v>
      </c>
      <c r="E22" s="10" t="s">
        <v>218</v>
      </c>
      <c r="F22" s="9" t="s">
        <v>349</v>
      </c>
      <c r="G22" s="10" t="s">
        <v>439</v>
      </c>
      <c r="H22" s="9" t="s">
        <v>540</v>
      </c>
      <c r="I22" s="10" t="s">
        <v>607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2</v>
      </c>
      <c r="D23" s="14" t="s">
        <v>62</v>
      </c>
      <c r="E23" s="15" t="s">
        <v>219</v>
      </c>
      <c r="F23" s="14" t="s">
        <v>349</v>
      </c>
      <c r="G23" s="15" t="s">
        <v>440</v>
      </c>
      <c r="H23" s="14" t="s">
        <v>543</v>
      </c>
      <c r="I23" s="15" t="s">
        <v>608</v>
      </c>
      <c r="J23" s="14">
        <v>2</v>
      </c>
      <c r="K23" s="16" t="s">
        <v>654</v>
      </c>
    </row>
    <row r="24" spans="1:11" ht="15.75" thickBot="1" x14ac:dyDescent="0.3">
      <c r="A24" s="1"/>
      <c r="B24" s="11">
        <f t="shared" si="0"/>
        <v>22</v>
      </c>
      <c r="C24" s="13" t="s">
        <v>2</v>
      </c>
      <c r="D24" s="9" t="s">
        <v>63</v>
      </c>
      <c r="E24" s="10" t="s">
        <v>220</v>
      </c>
      <c r="F24" s="9" t="s">
        <v>349</v>
      </c>
      <c r="G24" s="10" t="s">
        <v>441</v>
      </c>
      <c r="H24" s="9" t="s">
        <v>543</v>
      </c>
      <c r="I24" s="10" t="s">
        <v>609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2</v>
      </c>
      <c r="D25" s="7" t="s">
        <v>64</v>
      </c>
      <c r="E25" s="8" t="s">
        <v>221</v>
      </c>
      <c r="F25" s="7" t="s">
        <v>355</v>
      </c>
      <c r="G25" s="8" t="s">
        <v>442</v>
      </c>
      <c r="H25" s="7" t="s">
        <v>540</v>
      </c>
      <c r="I25" s="8" t="s">
        <v>610</v>
      </c>
      <c r="J25" s="7">
        <v>4</v>
      </c>
      <c r="K25" s="7"/>
    </row>
    <row r="26" spans="1:11" ht="36.75" thickBot="1" x14ac:dyDescent="0.3">
      <c r="A26" s="1"/>
      <c r="B26" s="11">
        <f t="shared" si="0"/>
        <v>24</v>
      </c>
      <c r="C26" s="13" t="s">
        <v>2</v>
      </c>
      <c r="D26" s="9" t="s">
        <v>65</v>
      </c>
      <c r="E26" s="10" t="s">
        <v>222</v>
      </c>
      <c r="F26" s="9" t="s">
        <v>349</v>
      </c>
      <c r="G26" s="10" t="s">
        <v>443</v>
      </c>
      <c r="H26" s="9" t="s">
        <v>546</v>
      </c>
      <c r="I26" s="10" t="s">
        <v>611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2</v>
      </c>
      <c r="D27" s="7" t="s">
        <v>66</v>
      </c>
      <c r="E27" s="8" t="s">
        <v>223</v>
      </c>
      <c r="F27" s="7" t="s">
        <v>349</v>
      </c>
      <c r="G27" s="8" t="s">
        <v>444</v>
      </c>
      <c r="H27" s="7" t="s">
        <v>543</v>
      </c>
      <c r="I27" s="8" t="s">
        <v>612</v>
      </c>
      <c r="J27" s="7">
        <v>8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2</v>
      </c>
      <c r="D28" s="9" t="s">
        <v>67</v>
      </c>
      <c r="E28" s="10" t="s">
        <v>224</v>
      </c>
      <c r="F28" s="9" t="s">
        <v>349</v>
      </c>
      <c r="G28" s="10" t="s">
        <v>445</v>
      </c>
      <c r="H28" s="9" t="s">
        <v>540</v>
      </c>
      <c r="I28" s="10" t="s">
        <v>600</v>
      </c>
      <c r="J28" s="9">
        <v>2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2</v>
      </c>
      <c r="D29" s="7" t="s">
        <v>68</v>
      </c>
      <c r="E29" s="8" t="s">
        <v>225</v>
      </c>
      <c r="F29" s="7" t="s">
        <v>349</v>
      </c>
      <c r="G29" s="8" t="s">
        <v>446</v>
      </c>
      <c r="H29" s="7" t="s">
        <v>540</v>
      </c>
      <c r="I29" s="8" t="s">
        <v>613</v>
      </c>
      <c r="J29" s="7">
        <v>2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2</v>
      </c>
      <c r="D30" s="9" t="s">
        <v>69</v>
      </c>
      <c r="E30" s="10" t="s">
        <v>226</v>
      </c>
      <c r="F30" s="9" t="s">
        <v>350</v>
      </c>
      <c r="G30" s="10" t="s">
        <v>447</v>
      </c>
      <c r="H30" s="9" t="s">
        <v>545</v>
      </c>
      <c r="I30" s="10" t="s">
        <v>596</v>
      </c>
      <c r="J30" s="9">
        <v>3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4</v>
      </c>
      <c r="D31" s="7" t="s">
        <v>70</v>
      </c>
      <c r="E31" s="8" t="s">
        <v>227</v>
      </c>
      <c r="F31" s="7" t="s">
        <v>356</v>
      </c>
      <c r="G31" s="8" t="s">
        <v>448</v>
      </c>
      <c r="H31" s="7" t="s">
        <v>547</v>
      </c>
      <c r="I31" s="8" t="s">
        <v>655</v>
      </c>
      <c r="J31" s="7">
        <v>8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4</v>
      </c>
      <c r="D32" s="9" t="s">
        <v>71</v>
      </c>
      <c r="E32" s="10" t="s">
        <v>228</v>
      </c>
      <c r="F32" s="9" t="s">
        <v>357</v>
      </c>
      <c r="G32" s="10" t="s">
        <v>449</v>
      </c>
      <c r="H32" s="9" t="s">
        <v>547</v>
      </c>
      <c r="I32" s="8" t="s">
        <v>655</v>
      </c>
      <c r="J32" s="9">
        <v>1</v>
      </c>
      <c r="K32" s="9"/>
    </row>
    <row r="33" spans="1:11" ht="24.75" thickBot="1" x14ac:dyDescent="0.3">
      <c r="A33" s="1"/>
      <c r="B33" s="11">
        <f>ROW(B33) - ROW($B$2)</f>
        <v>31</v>
      </c>
      <c r="C33" s="12" t="s">
        <v>5</v>
      </c>
      <c r="D33" s="7" t="s">
        <v>72</v>
      </c>
      <c r="E33" s="8" t="s">
        <v>229</v>
      </c>
      <c r="F33" s="7" t="s">
        <v>356</v>
      </c>
      <c r="G33" s="8" t="s">
        <v>450</v>
      </c>
      <c r="H33" s="7" t="s">
        <v>548</v>
      </c>
      <c r="I33" s="8" t="s">
        <v>655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6</v>
      </c>
      <c r="D34" s="9" t="s">
        <v>73</v>
      </c>
      <c r="E34" s="10" t="s">
        <v>230</v>
      </c>
      <c r="F34" s="9" t="s">
        <v>357</v>
      </c>
      <c r="G34" s="10" t="s">
        <v>451</v>
      </c>
      <c r="H34" s="9" t="s">
        <v>547</v>
      </c>
      <c r="I34" s="8" t="s">
        <v>655</v>
      </c>
      <c r="J34" s="9">
        <v>1</v>
      </c>
      <c r="K34" s="9"/>
    </row>
    <row r="35" spans="1:11" ht="24.75" thickBot="1" x14ac:dyDescent="0.3">
      <c r="A35" s="1"/>
      <c r="B35" s="11">
        <f>ROW(B35) - ROW($B$2)</f>
        <v>33</v>
      </c>
      <c r="C35" s="12" t="s">
        <v>5</v>
      </c>
      <c r="D35" s="7" t="s">
        <v>74</v>
      </c>
      <c r="E35" s="8" t="s">
        <v>231</v>
      </c>
      <c r="F35" s="7" t="s">
        <v>356</v>
      </c>
      <c r="G35" s="8" t="s">
        <v>452</v>
      </c>
      <c r="H35" s="7" t="s">
        <v>548</v>
      </c>
      <c r="I35" s="8" t="s">
        <v>655</v>
      </c>
      <c r="J35" s="7">
        <v>5</v>
      </c>
      <c r="K35" s="7"/>
    </row>
    <row r="36" spans="1:11" ht="24.75" thickBot="1" x14ac:dyDescent="0.3">
      <c r="A36" s="1"/>
      <c r="B36" s="11">
        <f t="shared" si="0"/>
        <v>34</v>
      </c>
      <c r="C36" s="13" t="s">
        <v>4</v>
      </c>
      <c r="D36" s="9" t="s">
        <v>75</v>
      </c>
      <c r="E36" s="10" t="s">
        <v>232</v>
      </c>
      <c r="F36" s="9" t="s">
        <v>356</v>
      </c>
      <c r="G36" s="10" t="s">
        <v>453</v>
      </c>
      <c r="H36" s="9" t="s">
        <v>549</v>
      </c>
      <c r="I36" s="8" t="s">
        <v>655</v>
      </c>
      <c r="J36" s="9">
        <v>13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5</v>
      </c>
      <c r="D37" s="7" t="s">
        <v>76</v>
      </c>
      <c r="E37" s="8" t="s">
        <v>233</v>
      </c>
      <c r="F37" s="7" t="s">
        <v>358</v>
      </c>
      <c r="G37" s="8" t="s">
        <v>454</v>
      </c>
      <c r="H37" s="7" t="s">
        <v>550</v>
      </c>
      <c r="I37" s="8" t="s">
        <v>655</v>
      </c>
      <c r="J37" s="7">
        <v>5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6</v>
      </c>
      <c r="D38" s="9" t="s">
        <v>77</v>
      </c>
      <c r="E38" s="10" t="s">
        <v>234</v>
      </c>
      <c r="F38" s="9" t="s">
        <v>359</v>
      </c>
      <c r="G38" s="10" t="s">
        <v>455</v>
      </c>
      <c r="H38" s="9" t="s">
        <v>551</v>
      </c>
      <c r="I38" s="8" t="s">
        <v>655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6</v>
      </c>
      <c r="D39" s="7" t="s">
        <v>78</v>
      </c>
      <c r="E39" s="8" t="s">
        <v>235</v>
      </c>
      <c r="F39" s="7" t="s">
        <v>360</v>
      </c>
      <c r="G39" s="8" t="s">
        <v>456</v>
      </c>
      <c r="H39" s="7" t="s">
        <v>551</v>
      </c>
      <c r="I39" s="8" t="s">
        <v>655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/>
      <c r="D40" s="9" t="s">
        <v>79</v>
      </c>
      <c r="E40" s="10" t="s">
        <v>236</v>
      </c>
      <c r="F40" s="9" t="s">
        <v>361</v>
      </c>
      <c r="G40" s="10" t="s">
        <v>457</v>
      </c>
      <c r="H40" s="9" t="s">
        <v>551</v>
      </c>
      <c r="I40" s="8" t="s">
        <v>655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6</v>
      </c>
      <c r="D41" s="7" t="s">
        <v>80</v>
      </c>
      <c r="E41" s="8" t="s">
        <v>237</v>
      </c>
      <c r="F41" s="7" t="s">
        <v>362</v>
      </c>
      <c r="G41" s="8" t="s">
        <v>458</v>
      </c>
      <c r="H41" s="7" t="s">
        <v>552</v>
      </c>
      <c r="I41" s="8" t="s">
        <v>655</v>
      </c>
      <c r="J41" s="7">
        <v>6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4</v>
      </c>
      <c r="D42" s="9" t="s">
        <v>81</v>
      </c>
      <c r="E42" s="10" t="s">
        <v>238</v>
      </c>
      <c r="F42" s="9" t="s">
        <v>362</v>
      </c>
      <c r="G42" s="10" t="s">
        <v>459</v>
      </c>
      <c r="H42" s="9" t="s">
        <v>553</v>
      </c>
      <c r="I42" s="8" t="s">
        <v>655</v>
      </c>
      <c r="J42" s="9">
        <v>3</v>
      </c>
      <c r="K42" s="9"/>
    </row>
    <row r="43" spans="1:11" ht="24.75" thickBot="1" x14ac:dyDescent="0.3">
      <c r="A43" s="1"/>
      <c r="B43" s="11">
        <f>ROW(B43) - ROW($B$2)</f>
        <v>41</v>
      </c>
      <c r="C43" s="12" t="s">
        <v>7</v>
      </c>
      <c r="D43" s="7" t="s">
        <v>82</v>
      </c>
      <c r="E43" s="8" t="s">
        <v>239</v>
      </c>
      <c r="F43" s="7" t="s">
        <v>363</v>
      </c>
      <c r="G43" s="8" t="s">
        <v>460</v>
      </c>
      <c r="H43" s="7" t="s">
        <v>554</v>
      </c>
      <c r="I43" s="8" t="s">
        <v>655</v>
      </c>
      <c r="J43" s="7">
        <v>4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8</v>
      </c>
      <c r="D44" s="9" t="s">
        <v>83</v>
      </c>
      <c r="E44" s="10" t="s">
        <v>240</v>
      </c>
      <c r="F44" s="9" t="s">
        <v>363</v>
      </c>
      <c r="G44" s="10" t="s">
        <v>461</v>
      </c>
      <c r="H44" s="9" t="s">
        <v>555</v>
      </c>
      <c r="I44" s="8" t="s">
        <v>655</v>
      </c>
      <c r="J44" s="9">
        <v>4</v>
      </c>
      <c r="K44" s="9"/>
    </row>
    <row r="45" spans="1:11" ht="24.75" thickBot="1" x14ac:dyDescent="0.3">
      <c r="A45" s="1"/>
      <c r="B45" s="11">
        <f>ROW(B45) - ROW($B$2)</f>
        <v>43</v>
      </c>
      <c r="C45" s="12" t="s">
        <v>4</v>
      </c>
      <c r="D45" s="7" t="s">
        <v>84</v>
      </c>
      <c r="E45" s="8" t="s">
        <v>241</v>
      </c>
      <c r="F45" s="7" t="s">
        <v>364</v>
      </c>
      <c r="G45" s="8" t="s">
        <v>462</v>
      </c>
      <c r="H45" s="7" t="s">
        <v>556</v>
      </c>
      <c r="I45" s="8" t="s">
        <v>655</v>
      </c>
      <c r="J45" s="7">
        <v>16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4</v>
      </c>
      <c r="D46" s="9" t="s">
        <v>85</v>
      </c>
      <c r="E46" s="10" t="s">
        <v>242</v>
      </c>
      <c r="F46" s="9" t="s">
        <v>356</v>
      </c>
      <c r="G46" s="10" t="s">
        <v>463</v>
      </c>
      <c r="H46" s="9" t="s">
        <v>547</v>
      </c>
      <c r="I46" s="8" t="s">
        <v>655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9</v>
      </c>
      <c r="D47" s="7" t="s">
        <v>86</v>
      </c>
      <c r="E47" s="8" t="s">
        <v>243</v>
      </c>
      <c r="F47" s="7" t="s">
        <v>365</v>
      </c>
      <c r="G47" s="8" t="s">
        <v>464</v>
      </c>
      <c r="H47" s="7" t="s">
        <v>557</v>
      </c>
      <c r="I47" s="8" t="s">
        <v>655</v>
      </c>
      <c r="J47" s="7">
        <v>1</v>
      </c>
      <c r="K47" s="7"/>
    </row>
    <row r="48" spans="1:11" ht="24.75" thickBot="1" x14ac:dyDescent="0.3">
      <c r="A48" s="1"/>
      <c r="B48" s="11">
        <f t="shared" si="0"/>
        <v>46</v>
      </c>
      <c r="C48" s="13" t="s">
        <v>10</v>
      </c>
      <c r="D48" s="9" t="s">
        <v>87</v>
      </c>
      <c r="E48" s="10" t="s">
        <v>244</v>
      </c>
      <c r="F48" s="9" t="s">
        <v>366</v>
      </c>
      <c r="G48" s="10" t="s">
        <v>465</v>
      </c>
      <c r="H48" s="9" t="s">
        <v>558</v>
      </c>
      <c r="I48" s="8" t="s">
        <v>655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11</v>
      </c>
      <c r="D49" s="7" t="s">
        <v>88</v>
      </c>
      <c r="E49" s="8" t="s">
        <v>245</v>
      </c>
      <c r="F49" s="7" t="s">
        <v>367</v>
      </c>
      <c r="G49" s="8" t="s">
        <v>466</v>
      </c>
      <c r="H49" s="7" t="s">
        <v>543</v>
      </c>
      <c r="I49" s="8" t="s">
        <v>655</v>
      </c>
      <c r="J49" s="7">
        <v>5</v>
      </c>
      <c r="K49" s="7"/>
    </row>
    <row r="50" spans="1:11" ht="36.75" thickBot="1" x14ac:dyDescent="0.3">
      <c r="A50" s="1"/>
      <c r="B50" s="11">
        <f t="shared" si="0"/>
        <v>48</v>
      </c>
      <c r="C50" s="13" t="s">
        <v>11</v>
      </c>
      <c r="D50" s="9" t="s">
        <v>89</v>
      </c>
      <c r="E50" s="10" t="s">
        <v>246</v>
      </c>
      <c r="F50" s="9" t="s">
        <v>367</v>
      </c>
      <c r="G50" s="10" t="s">
        <v>467</v>
      </c>
      <c r="H50" s="9" t="s">
        <v>546</v>
      </c>
      <c r="I50" s="10" t="s">
        <v>614</v>
      </c>
      <c r="J50" s="9">
        <v>2</v>
      </c>
      <c r="K50" s="9"/>
    </row>
    <row r="51" spans="1:11" ht="24.75" thickBot="1" x14ac:dyDescent="0.3">
      <c r="A51" s="1"/>
      <c r="B51" s="11">
        <f>ROW(B51) - ROW($B$2)</f>
        <v>49</v>
      </c>
      <c r="C51" s="12" t="s">
        <v>12</v>
      </c>
      <c r="D51" s="7" t="s">
        <v>90</v>
      </c>
      <c r="E51" s="8" t="s">
        <v>247</v>
      </c>
      <c r="F51" s="7" t="s">
        <v>652</v>
      </c>
      <c r="G51" s="8" t="s">
        <v>468</v>
      </c>
      <c r="H51" s="7" t="s">
        <v>559</v>
      </c>
      <c r="I51" s="8" t="s">
        <v>655</v>
      </c>
      <c r="J51" s="7">
        <v>1</v>
      </c>
      <c r="K51" s="7"/>
    </row>
    <row r="52" spans="1:11" ht="36.75" thickBot="1" x14ac:dyDescent="0.3">
      <c r="A52" s="1"/>
      <c r="B52" s="11">
        <f t="shared" si="0"/>
        <v>50</v>
      </c>
      <c r="C52" s="13" t="s">
        <v>13</v>
      </c>
      <c r="D52" s="9" t="s">
        <v>91</v>
      </c>
      <c r="E52" s="10" t="s">
        <v>248</v>
      </c>
      <c r="F52" s="7" t="s">
        <v>652</v>
      </c>
      <c r="G52" s="10" t="s">
        <v>469</v>
      </c>
      <c r="H52" s="9" t="s">
        <v>560</v>
      </c>
      <c r="I52" s="8" t="s">
        <v>655</v>
      </c>
      <c r="J52" s="9">
        <v>1</v>
      </c>
      <c r="K52" s="9"/>
    </row>
    <row r="53" spans="1:11" ht="48.75" thickBot="1" x14ac:dyDescent="0.3">
      <c r="A53" s="1"/>
      <c r="B53" s="11">
        <f>ROW(B53) - ROW($B$2)</f>
        <v>51</v>
      </c>
      <c r="C53" s="12" t="s">
        <v>14</v>
      </c>
      <c r="D53" s="7" t="s">
        <v>92</v>
      </c>
      <c r="E53" s="8" t="s">
        <v>249</v>
      </c>
      <c r="F53" s="7" t="s">
        <v>652</v>
      </c>
      <c r="G53" s="8" t="s">
        <v>368</v>
      </c>
      <c r="H53" s="7" t="s">
        <v>561</v>
      </c>
      <c r="I53" s="8" t="s">
        <v>655</v>
      </c>
      <c r="J53" s="7">
        <v>2</v>
      </c>
      <c r="K53" s="7"/>
    </row>
    <row r="54" spans="1:11" ht="48.75" thickBot="1" x14ac:dyDescent="0.3">
      <c r="A54" s="1"/>
      <c r="B54" s="11">
        <f t="shared" si="0"/>
        <v>52</v>
      </c>
      <c r="C54" s="13" t="s">
        <v>14</v>
      </c>
      <c r="D54" s="9" t="s">
        <v>93</v>
      </c>
      <c r="E54" s="10" t="s">
        <v>250</v>
      </c>
      <c r="F54" s="7" t="s">
        <v>652</v>
      </c>
      <c r="G54" s="10" t="s">
        <v>369</v>
      </c>
      <c r="H54" s="9" t="s">
        <v>561</v>
      </c>
      <c r="I54" s="8" t="s">
        <v>655</v>
      </c>
      <c r="J54" s="9">
        <v>2</v>
      </c>
      <c r="K54" s="9"/>
    </row>
    <row r="55" spans="1:11" ht="48.75" thickBot="1" x14ac:dyDescent="0.3">
      <c r="A55" s="1"/>
      <c r="B55" s="11">
        <f>ROW(B55) - ROW($B$2)</f>
        <v>53</v>
      </c>
      <c r="C55" s="12" t="s">
        <v>14</v>
      </c>
      <c r="D55" s="7" t="s">
        <v>94</v>
      </c>
      <c r="E55" s="8" t="s">
        <v>251</v>
      </c>
      <c r="F55" s="7" t="s">
        <v>652</v>
      </c>
      <c r="G55" s="8" t="s">
        <v>370</v>
      </c>
      <c r="H55" s="7" t="s">
        <v>561</v>
      </c>
      <c r="I55" s="8" t="s">
        <v>655</v>
      </c>
      <c r="J55" s="7">
        <v>2</v>
      </c>
      <c r="K55" s="7"/>
    </row>
    <row r="56" spans="1:11" ht="48.75" thickBot="1" x14ac:dyDescent="0.3">
      <c r="A56" s="1"/>
      <c r="B56" s="11">
        <f t="shared" si="0"/>
        <v>54</v>
      </c>
      <c r="C56" s="13" t="s">
        <v>14</v>
      </c>
      <c r="D56" s="9" t="s">
        <v>95</v>
      </c>
      <c r="E56" s="10" t="s">
        <v>252</v>
      </c>
      <c r="F56" s="7" t="s">
        <v>652</v>
      </c>
      <c r="G56" s="10" t="s">
        <v>371</v>
      </c>
      <c r="H56" s="9" t="s">
        <v>562</v>
      </c>
      <c r="I56" s="8" t="s">
        <v>655</v>
      </c>
      <c r="J56" s="9">
        <v>2</v>
      </c>
      <c r="K56" s="9"/>
    </row>
    <row r="57" spans="1:11" ht="48.75" thickBot="1" x14ac:dyDescent="0.3">
      <c r="A57" s="1"/>
      <c r="B57" s="11">
        <f>ROW(B57) - ROW($B$2)</f>
        <v>55</v>
      </c>
      <c r="C57" s="12" t="s">
        <v>15</v>
      </c>
      <c r="D57" s="7" t="s">
        <v>96</v>
      </c>
      <c r="E57" s="8" t="s">
        <v>253</v>
      </c>
      <c r="F57" s="7" t="s">
        <v>652</v>
      </c>
      <c r="G57" s="8" t="s">
        <v>470</v>
      </c>
      <c r="H57" s="7" t="s">
        <v>563</v>
      </c>
      <c r="I57" s="8" t="s">
        <v>655</v>
      </c>
      <c r="J57" s="7">
        <v>7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16</v>
      </c>
      <c r="D58" s="9" t="s">
        <v>97</v>
      </c>
      <c r="E58" s="10" t="s">
        <v>254</v>
      </c>
      <c r="F58" s="7" t="s">
        <v>652</v>
      </c>
      <c r="G58" s="10" t="s">
        <v>372</v>
      </c>
      <c r="H58" s="9" t="s">
        <v>564</v>
      </c>
      <c r="I58" s="8" t="s">
        <v>655</v>
      </c>
      <c r="J58" s="9">
        <v>1</v>
      </c>
      <c r="K58" s="9"/>
    </row>
    <row r="59" spans="1:11" ht="48.75" thickBot="1" x14ac:dyDescent="0.3">
      <c r="A59" s="1"/>
      <c r="B59" s="11">
        <f>ROW(B59) - ROW($B$2)</f>
        <v>57</v>
      </c>
      <c r="C59" s="12" t="s">
        <v>14</v>
      </c>
      <c r="D59" s="7" t="s">
        <v>98</v>
      </c>
      <c r="E59" s="8" t="s">
        <v>255</v>
      </c>
      <c r="F59" s="7" t="s">
        <v>652</v>
      </c>
      <c r="G59" s="8" t="s">
        <v>373</v>
      </c>
      <c r="H59" s="7" t="s">
        <v>561</v>
      </c>
      <c r="I59" s="8" t="s">
        <v>655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17</v>
      </c>
      <c r="D60" s="9" t="s">
        <v>99</v>
      </c>
      <c r="E60" s="10" t="s">
        <v>256</v>
      </c>
      <c r="F60" s="7" t="s">
        <v>652</v>
      </c>
      <c r="G60" s="10" t="s">
        <v>471</v>
      </c>
      <c r="H60" s="9" t="s">
        <v>565</v>
      </c>
      <c r="I60" s="8" t="s">
        <v>655</v>
      </c>
      <c r="J60" s="9">
        <v>1</v>
      </c>
      <c r="K60" s="9"/>
    </row>
    <row r="61" spans="1:11" ht="60.75" thickBot="1" x14ac:dyDescent="0.3">
      <c r="A61" s="1"/>
      <c r="B61" s="11">
        <f>ROW(B61) - ROW($B$2)</f>
        <v>59</v>
      </c>
      <c r="C61" s="12" t="s">
        <v>18</v>
      </c>
      <c r="D61" s="7" t="s">
        <v>100</v>
      </c>
      <c r="E61" s="8" t="s">
        <v>257</v>
      </c>
      <c r="F61" s="7" t="s">
        <v>652</v>
      </c>
      <c r="G61" s="8" t="s">
        <v>374</v>
      </c>
      <c r="H61" s="7" t="s">
        <v>566</v>
      </c>
      <c r="I61" s="8" t="s">
        <v>655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19</v>
      </c>
      <c r="D62" s="9" t="s">
        <v>101</v>
      </c>
      <c r="E62" s="10" t="s">
        <v>258</v>
      </c>
      <c r="F62" s="7" t="s">
        <v>652</v>
      </c>
      <c r="G62" s="10" t="s">
        <v>375</v>
      </c>
      <c r="H62" s="9" t="s">
        <v>567</v>
      </c>
      <c r="I62" s="8" t="s">
        <v>655</v>
      </c>
      <c r="J62" s="9">
        <v>2</v>
      </c>
      <c r="K62" s="9"/>
    </row>
    <row r="63" spans="1:11" ht="26.25" thickBot="1" x14ac:dyDescent="0.3">
      <c r="A63" s="1"/>
      <c r="B63" s="11">
        <f>ROW(B63) - ROW($B$2)</f>
        <v>61</v>
      </c>
      <c r="C63" s="12" t="s">
        <v>658</v>
      </c>
      <c r="D63" s="17" t="s">
        <v>102</v>
      </c>
      <c r="E63" s="18" t="s">
        <v>259</v>
      </c>
      <c r="F63" s="17" t="s">
        <v>652</v>
      </c>
      <c r="G63" s="18" t="s">
        <v>472</v>
      </c>
      <c r="H63" s="17" t="s">
        <v>568</v>
      </c>
      <c r="I63" s="18" t="s">
        <v>655</v>
      </c>
      <c r="J63" s="17">
        <v>1</v>
      </c>
      <c r="K63" s="19" t="s">
        <v>659</v>
      </c>
    </row>
    <row r="64" spans="1:11" ht="48.75" thickBot="1" x14ac:dyDescent="0.3">
      <c r="A64" s="1"/>
      <c r="B64" s="11">
        <f t="shared" si="0"/>
        <v>62</v>
      </c>
      <c r="C64" s="13" t="s">
        <v>15</v>
      </c>
      <c r="D64" s="9" t="s">
        <v>103</v>
      </c>
      <c r="E64" s="10" t="s">
        <v>260</v>
      </c>
      <c r="F64" s="9" t="s">
        <v>376</v>
      </c>
      <c r="G64" s="10" t="s">
        <v>473</v>
      </c>
      <c r="H64" s="9" t="s">
        <v>563</v>
      </c>
      <c r="I64" s="8" t="s">
        <v>655</v>
      </c>
      <c r="J64" s="9">
        <v>1</v>
      </c>
      <c r="K64" s="9"/>
    </row>
    <row r="65" spans="1:11" ht="24.75" thickBot="1" x14ac:dyDescent="0.3">
      <c r="A65" s="1"/>
      <c r="B65" s="11">
        <f>ROW(B65) - ROW($B$2)</f>
        <v>63</v>
      </c>
      <c r="C65" s="12" t="s">
        <v>20</v>
      </c>
      <c r="D65" s="7" t="s">
        <v>104</v>
      </c>
      <c r="E65" s="8" t="s">
        <v>261</v>
      </c>
      <c r="F65" s="7" t="s">
        <v>652</v>
      </c>
      <c r="G65" s="8" t="s">
        <v>377</v>
      </c>
      <c r="H65" s="7" t="s">
        <v>569</v>
      </c>
      <c r="I65" s="8" t="s">
        <v>655</v>
      </c>
      <c r="J65" s="7">
        <v>1</v>
      </c>
      <c r="K65" s="7"/>
    </row>
    <row r="66" spans="1:11" ht="24.75" thickBot="1" x14ac:dyDescent="0.3">
      <c r="A66" s="1"/>
      <c r="B66" s="11">
        <f t="shared" si="0"/>
        <v>64</v>
      </c>
      <c r="C66" s="13" t="s">
        <v>20</v>
      </c>
      <c r="D66" s="9" t="s">
        <v>105</v>
      </c>
      <c r="E66" s="10" t="s">
        <v>262</v>
      </c>
      <c r="F66" s="7" t="s">
        <v>652</v>
      </c>
      <c r="G66" s="10" t="s">
        <v>378</v>
      </c>
      <c r="H66" s="9" t="s">
        <v>569</v>
      </c>
      <c r="I66" s="8" t="s">
        <v>655</v>
      </c>
      <c r="J66" s="9">
        <v>1</v>
      </c>
      <c r="K66" s="9"/>
    </row>
    <row r="67" spans="1:11" ht="60.75" thickBot="1" x14ac:dyDescent="0.3">
      <c r="A67" s="1"/>
      <c r="B67" s="11">
        <f>ROW(B67) - ROW($B$2)</f>
        <v>65</v>
      </c>
      <c r="C67" s="12" t="s">
        <v>21</v>
      </c>
      <c r="D67" s="7" t="s">
        <v>106</v>
      </c>
      <c r="E67" s="8" t="s">
        <v>263</v>
      </c>
      <c r="F67" s="7" t="s">
        <v>652</v>
      </c>
      <c r="G67" s="8" t="s">
        <v>379</v>
      </c>
      <c r="H67" s="7" t="s">
        <v>569</v>
      </c>
      <c r="I67" s="8" t="s">
        <v>655</v>
      </c>
      <c r="J67" s="7">
        <v>1</v>
      </c>
      <c r="K67" s="7"/>
    </row>
    <row r="68" spans="1:11" ht="48.75" thickBot="1" x14ac:dyDescent="0.3">
      <c r="A68" s="1"/>
      <c r="B68" s="11">
        <f t="shared" si="0"/>
        <v>66</v>
      </c>
      <c r="C68" s="13" t="s">
        <v>14</v>
      </c>
      <c r="D68" s="9" t="s">
        <v>107</v>
      </c>
      <c r="E68" s="10" t="s">
        <v>264</v>
      </c>
      <c r="F68" s="7" t="s">
        <v>652</v>
      </c>
      <c r="G68" s="10" t="s">
        <v>380</v>
      </c>
      <c r="H68" s="9" t="s">
        <v>562</v>
      </c>
      <c r="I68" s="8" t="s">
        <v>655</v>
      </c>
      <c r="J68" s="9">
        <v>2</v>
      </c>
      <c r="K68" s="9"/>
    </row>
    <row r="69" spans="1:11" ht="48.75" thickBot="1" x14ac:dyDescent="0.3">
      <c r="A69" s="1"/>
      <c r="B69" s="11">
        <f>ROW(B69) - ROW($B$2)</f>
        <v>67</v>
      </c>
      <c r="C69" s="12" t="s">
        <v>14</v>
      </c>
      <c r="D69" s="7" t="s">
        <v>108</v>
      </c>
      <c r="E69" s="8" t="s">
        <v>265</v>
      </c>
      <c r="F69" s="7" t="s">
        <v>652</v>
      </c>
      <c r="G69" s="8" t="s">
        <v>381</v>
      </c>
      <c r="H69" s="7" t="s">
        <v>561</v>
      </c>
      <c r="I69" s="8" t="s">
        <v>655</v>
      </c>
      <c r="J69" s="7">
        <v>2</v>
      </c>
      <c r="K69" s="7"/>
    </row>
    <row r="70" spans="1:11" ht="48.75" thickBot="1" x14ac:dyDescent="0.3">
      <c r="A70" s="1"/>
      <c r="B70" s="11">
        <f t="shared" si="0"/>
        <v>68</v>
      </c>
      <c r="C70" s="13" t="s">
        <v>14</v>
      </c>
      <c r="D70" s="9" t="s">
        <v>109</v>
      </c>
      <c r="E70" s="10" t="s">
        <v>266</v>
      </c>
      <c r="F70" s="7" t="s">
        <v>652</v>
      </c>
      <c r="G70" s="10" t="s">
        <v>382</v>
      </c>
      <c r="H70" s="9" t="s">
        <v>561</v>
      </c>
      <c r="I70" s="8" t="s">
        <v>655</v>
      </c>
      <c r="J70" s="9">
        <v>3</v>
      </c>
      <c r="K70" s="9"/>
    </row>
    <row r="71" spans="1:11" ht="36.75" thickBot="1" x14ac:dyDescent="0.3">
      <c r="A71" s="1"/>
      <c r="B71" s="11">
        <f>ROW(B71) - ROW($B$2)</f>
        <v>69</v>
      </c>
      <c r="C71" s="12" t="s">
        <v>22</v>
      </c>
      <c r="D71" s="7" t="s">
        <v>110</v>
      </c>
      <c r="E71" s="8" t="s">
        <v>267</v>
      </c>
      <c r="F71" s="7" t="s">
        <v>652</v>
      </c>
      <c r="G71" s="8" t="s">
        <v>383</v>
      </c>
      <c r="H71" s="7" t="s">
        <v>570</v>
      </c>
      <c r="I71" s="8" t="s">
        <v>655</v>
      </c>
      <c r="J71" s="7">
        <v>2</v>
      </c>
      <c r="K71" s="7"/>
    </row>
    <row r="72" spans="1:11" ht="48.75" thickBot="1" x14ac:dyDescent="0.3">
      <c r="A72" s="1"/>
      <c r="B72" s="11">
        <f t="shared" si="0"/>
        <v>70</v>
      </c>
      <c r="C72" s="13" t="s">
        <v>14</v>
      </c>
      <c r="D72" s="9" t="s">
        <v>111</v>
      </c>
      <c r="E72" s="10" t="s">
        <v>268</v>
      </c>
      <c r="F72" s="7" t="s">
        <v>652</v>
      </c>
      <c r="G72" s="10" t="s">
        <v>384</v>
      </c>
      <c r="H72" s="9" t="s">
        <v>561</v>
      </c>
      <c r="I72" s="8" t="s">
        <v>655</v>
      </c>
      <c r="J72" s="9">
        <v>1</v>
      </c>
      <c r="K72" s="9"/>
    </row>
    <row r="73" spans="1:11" ht="48.75" thickBot="1" x14ac:dyDescent="0.3">
      <c r="A73" s="1"/>
      <c r="B73" s="11">
        <f>ROW(B73) - ROW($B$2)</f>
        <v>71</v>
      </c>
      <c r="C73" s="12" t="s">
        <v>14</v>
      </c>
      <c r="D73" s="7" t="s">
        <v>112</v>
      </c>
      <c r="E73" s="8" t="s">
        <v>269</v>
      </c>
      <c r="F73" s="7" t="s">
        <v>652</v>
      </c>
      <c r="G73" s="8" t="s">
        <v>385</v>
      </c>
      <c r="H73" s="7" t="s">
        <v>561</v>
      </c>
      <c r="I73" s="8" t="s">
        <v>655</v>
      </c>
      <c r="J73" s="7">
        <v>2</v>
      </c>
      <c r="K73" s="7"/>
    </row>
    <row r="74" spans="1:11" ht="48.75" thickBot="1" x14ac:dyDescent="0.3">
      <c r="A74" s="1"/>
      <c r="B74" s="11">
        <f t="shared" si="0"/>
        <v>72</v>
      </c>
      <c r="C74" s="13" t="s">
        <v>14</v>
      </c>
      <c r="D74" s="9" t="s">
        <v>113</v>
      </c>
      <c r="E74" s="10" t="s">
        <v>270</v>
      </c>
      <c r="F74" s="7" t="s">
        <v>652</v>
      </c>
      <c r="G74" s="10" t="s">
        <v>386</v>
      </c>
      <c r="H74" s="9" t="s">
        <v>562</v>
      </c>
      <c r="I74" s="8" t="s">
        <v>655</v>
      </c>
      <c r="J74" s="9">
        <v>1</v>
      </c>
      <c r="K74" s="9"/>
    </row>
    <row r="75" spans="1:11" ht="48.75" thickBot="1" x14ac:dyDescent="0.3">
      <c r="A75" s="1"/>
      <c r="B75" s="11">
        <f>ROW(B75) - ROW($B$2)</f>
        <v>73</v>
      </c>
      <c r="C75" s="12" t="s">
        <v>23</v>
      </c>
      <c r="D75" s="7" t="s">
        <v>114</v>
      </c>
      <c r="E75" s="8" t="s">
        <v>271</v>
      </c>
      <c r="F75" s="7" t="s">
        <v>652</v>
      </c>
      <c r="G75" s="8" t="s">
        <v>387</v>
      </c>
      <c r="H75" s="7" t="s">
        <v>561</v>
      </c>
      <c r="I75" s="8" t="s">
        <v>655</v>
      </c>
      <c r="J75" s="7">
        <v>2</v>
      </c>
      <c r="K75" s="7"/>
    </row>
    <row r="76" spans="1:11" ht="15.75" thickBot="1" x14ac:dyDescent="0.3">
      <c r="A76" s="1"/>
      <c r="B76" s="11">
        <f t="shared" si="0"/>
        <v>74</v>
      </c>
      <c r="C76" s="13" t="s">
        <v>24</v>
      </c>
      <c r="D76" s="9" t="s">
        <v>115</v>
      </c>
      <c r="E76" s="10" t="s">
        <v>272</v>
      </c>
      <c r="F76" s="7" t="s">
        <v>652</v>
      </c>
      <c r="G76" s="10" t="s">
        <v>388</v>
      </c>
      <c r="H76" s="9" t="s">
        <v>552</v>
      </c>
      <c r="I76" s="10" t="s">
        <v>615</v>
      </c>
      <c r="J76" s="9">
        <v>1</v>
      </c>
      <c r="K76" s="9"/>
    </row>
    <row r="77" spans="1:11" ht="24.75" thickBot="1" x14ac:dyDescent="0.3">
      <c r="A77" s="1"/>
      <c r="B77" s="11">
        <f>ROW(B77) - ROW($B$2)</f>
        <v>75</v>
      </c>
      <c r="C77" s="12" t="s">
        <v>25</v>
      </c>
      <c r="D77" s="7" t="s">
        <v>116</v>
      </c>
      <c r="E77" s="8" t="s">
        <v>273</v>
      </c>
      <c r="F77" s="7" t="s">
        <v>652</v>
      </c>
      <c r="G77" s="8" t="s">
        <v>389</v>
      </c>
      <c r="H77" s="7" t="s">
        <v>571</v>
      </c>
      <c r="I77" s="8" t="s">
        <v>616</v>
      </c>
      <c r="J77" s="7">
        <v>1</v>
      </c>
      <c r="K77" s="7"/>
    </row>
    <row r="78" spans="1:11" ht="24.75" thickBot="1" x14ac:dyDescent="0.3">
      <c r="A78" s="1"/>
      <c r="B78" s="11">
        <f t="shared" si="0"/>
        <v>76</v>
      </c>
      <c r="C78" s="13" t="s">
        <v>26</v>
      </c>
      <c r="D78" s="9" t="s">
        <v>117</v>
      </c>
      <c r="E78" s="10" t="s">
        <v>274</v>
      </c>
      <c r="F78" s="9" t="s">
        <v>390</v>
      </c>
      <c r="G78" s="10" t="s">
        <v>474</v>
      </c>
      <c r="H78" s="9" t="s">
        <v>572</v>
      </c>
      <c r="I78" s="10" t="s">
        <v>655</v>
      </c>
      <c r="J78" s="9">
        <v>7</v>
      </c>
      <c r="K78" s="9"/>
    </row>
    <row r="79" spans="1:11" ht="24.75" thickBot="1" x14ac:dyDescent="0.3">
      <c r="A79" s="1"/>
      <c r="B79" s="11">
        <f>ROW(B79) - ROW($B$2)</f>
        <v>77</v>
      </c>
      <c r="C79" s="12" t="s">
        <v>26</v>
      </c>
      <c r="D79" s="7" t="s">
        <v>118</v>
      </c>
      <c r="E79" s="8" t="s">
        <v>275</v>
      </c>
      <c r="F79" s="7" t="s">
        <v>390</v>
      </c>
      <c r="G79" s="8" t="s">
        <v>475</v>
      </c>
      <c r="H79" s="7" t="s">
        <v>572</v>
      </c>
      <c r="I79" s="10" t="s">
        <v>655</v>
      </c>
      <c r="J79" s="7">
        <v>1</v>
      </c>
      <c r="K79" s="7"/>
    </row>
    <row r="80" spans="1:11" ht="24.75" thickBot="1" x14ac:dyDescent="0.3">
      <c r="A80" s="1"/>
      <c r="B80" s="11">
        <f t="shared" si="0"/>
        <v>78</v>
      </c>
      <c r="C80" s="13" t="s">
        <v>26</v>
      </c>
      <c r="D80" s="9" t="s">
        <v>119</v>
      </c>
      <c r="E80" s="10" t="s">
        <v>276</v>
      </c>
      <c r="F80" s="9" t="s">
        <v>390</v>
      </c>
      <c r="G80" s="10" t="s">
        <v>476</v>
      </c>
      <c r="H80" s="9" t="s">
        <v>572</v>
      </c>
      <c r="I80" s="10" t="s">
        <v>655</v>
      </c>
      <c r="J80" s="9">
        <v>2</v>
      </c>
      <c r="K80" s="9"/>
    </row>
    <row r="81" spans="1:11" ht="24.75" thickBot="1" x14ac:dyDescent="0.3">
      <c r="A81" s="1"/>
      <c r="B81" s="11">
        <f>ROW(B81) - ROW($B$2)</f>
        <v>79</v>
      </c>
      <c r="C81" s="12" t="s">
        <v>27</v>
      </c>
      <c r="D81" s="7" t="s">
        <v>120</v>
      </c>
      <c r="E81" s="8" t="s">
        <v>277</v>
      </c>
      <c r="F81" s="7" t="s">
        <v>652</v>
      </c>
      <c r="G81" s="8" t="s">
        <v>391</v>
      </c>
      <c r="H81" s="7" t="s">
        <v>573</v>
      </c>
      <c r="I81" s="10" t="s">
        <v>655</v>
      </c>
      <c r="J81" s="7">
        <v>10</v>
      </c>
      <c r="K81" s="7"/>
    </row>
    <row r="82" spans="1:11" ht="36.75" thickBot="1" x14ac:dyDescent="0.3">
      <c r="A82" s="1"/>
      <c r="B82" s="11">
        <f t="shared" si="0"/>
        <v>80</v>
      </c>
      <c r="C82" s="13"/>
      <c r="D82" s="9" t="s">
        <v>121</v>
      </c>
      <c r="E82" s="10" t="s">
        <v>278</v>
      </c>
      <c r="F82" s="9" t="s">
        <v>362</v>
      </c>
      <c r="G82" s="10" t="s">
        <v>477</v>
      </c>
      <c r="H82" s="9" t="s">
        <v>574</v>
      </c>
      <c r="I82" s="10" t="s">
        <v>655</v>
      </c>
      <c r="J82" s="9">
        <v>2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28</v>
      </c>
      <c r="D83" s="7" t="s">
        <v>122</v>
      </c>
      <c r="E83" s="8" t="s">
        <v>279</v>
      </c>
      <c r="F83" s="7" t="s">
        <v>392</v>
      </c>
      <c r="G83" s="8" t="s">
        <v>478</v>
      </c>
      <c r="H83" s="7" t="s">
        <v>547</v>
      </c>
      <c r="I83" s="10" t="s">
        <v>655</v>
      </c>
      <c r="J83" s="7">
        <v>1</v>
      </c>
      <c r="K83" s="7"/>
    </row>
    <row r="84" spans="1:11" ht="36.75" thickBot="1" x14ac:dyDescent="0.3">
      <c r="A84" s="1"/>
      <c r="B84" s="11">
        <f t="shared" si="0"/>
        <v>82</v>
      </c>
      <c r="C84" s="13" t="s">
        <v>29</v>
      </c>
      <c r="D84" s="9" t="s">
        <v>123</v>
      </c>
      <c r="E84" s="10" t="s">
        <v>280</v>
      </c>
      <c r="F84" s="9" t="s">
        <v>393</v>
      </c>
      <c r="G84" s="10" t="s">
        <v>479</v>
      </c>
      <c r="H84" s="9" t="s">
        <v>575</v>
      </c>
      <c r="I84" s="10" t="s">
        <v>655</v>
      </c>
      <c r="J84" s="9">
        <v>1</v>
      </c>
      <c r="K84" s="9"/>
    </row>
    <row r="85" spans="1:11" ht="15.75" thickBot="1" x14ac:dyDescent="0.3">
      <c r="A85" s="1"/>
      <c r="B85" s="11">
        <f>ROW(B85) - ROW($B$2)</f>
        <v>83</v>
      </c>
      <c r="C85" s="12" t="s">
        <v>29</v>
      </c>
      <c r="D85" s="7" t="s">
        <v>124</v>
      </c>
      <c r="E85" s="8" t="s">
        <v>281</v>
      </c>
      <c r="F85" s="7" t="s">
        <v>394</v>
      </c>
      <c r="G85" s="8" t="s">
        <v>480</v>
      </c>
      <c r="H85" s="7" t="s">
        <v>553</v>
      </c>
      <c r="I85" s="10" t="s">
        <v>655</v>
      </c>
      <c r="J85" s="7">
        <v>1</v>
      </c>
      <c r="K85" s="7"/>
    </row>
    <row r="86" spans="1:11" ht="24.75" thickBot="1" x14ac:dyDescent="0.3">
      <c r="A86" s="1"/>
      <c r="B86" s="11">
        <f t="shared" si="0"/>
        <v>84</v>
      </c>
      <c r="C86" s="13" t="s">
        <v>30</v>
      </c>
      <c r="D86" s="9" t="s">
        <v>125</v>
      </c>
      <c r="E86" s="10" t="s">
        <v>282</v>
      </c>
      <c r="F86" s="9" t="s">
        <v>362</v>
      </c>
      <c r="G86" s="10" t="s">
        <v>481</v>
      </c>
      <c r="H86" s="9" t="s">
        <v>576</v>
      </c>
      <c r="I86" s="10" t="s">
        <v>655</v>
      </c>
      <c r="J86" s="9">
        <v>5</v>
      </c>
      <c r="K86" s="9"/>
    </row>
    <row r="87" spans="1:11" ht="24.75" thickBot="1" x14ac:dyDescent="0.3">
      <c r="A87" s="1"/>
      <c r="B87" s="11">
        <f>ROW(B87) - ROW($B$2)</f>
        <v>85</v>
      </c>
      <c r="C87" s="12" t="s">
        <v>29</v>
      </c>
      <c r="D87" s="7" t="s">
        <v>126</v>
      </c>
      <c r="E87" s="8" t="s">
        <v>283</v>
      </c>
      <c r="F87" s="7" t="s">
        <v>362</v>
      </c>
      <c r="G87" s="8" t="s">
        <v>482</v>
      </c>
      <c r="H87" s="7" t="s">
        <v>577</v>
      </c>
      <c r="I87" s="10" t="s">
        <v>655</v>
      </c>
      <c r="J87" s="7">
        <v>4</v>
      </c>
      <c r="K87" s="7"/>
    </row>
    <row r="88" spans="1:11" ht="15.75" thickBot="1" x14ac:dyDescent="0.3">
      <c r="A88" s="1"/>
      <c r="B88" s="11">
        <f t="shared" si="0"/>
        <v>86</v>
      </c>
      <c r="C88" s="13" t="s">
        <v>31</v>
      </c>
      <c r="D88" s="9" t="s">
        <v>127</v>
      </c>
      <c r="E88" s="10" t="s">
        <v>284</v>
      </c>
      <c r="F88" s="9" t="s">
        <v>395</v>
      </c>
      <c r="G88" s="8" t="s">
        <v>509</v>
      </c>
      <c r="H88" s="9" t="s">
        <v>540</v>
      </c>
      <c r="I88" s="10" t="s">
        <v>617</v>
      </c>
      <c r="J88" s="9">
        <v>1</v>
      </c>
      <c r="K88" s="9"/>
    </row>
    <row r="89" spans="1:11" ht="84.75" thickBot="1" x14ac:dyDescent="0.3">
      <c r="A89" s="1"/>
      <c r="B89" s="11">
        <f>ROW(B89) - ROW($B$2)</f>
        <v>87</v>
      </c>
      <c r="C89" s="12" t="s">
        <v>31</v>
      </c>
      <c r="D89" s="7" t="s">
        <v>128</v>
      </c>
      <c r="E89" s="8" t="s">
        <v>285</v>
      </c>
      <c r="F89" s="7" t="s">
        <v>395</v>
      </c>
      <c r="G89" s="8" t="s">
        <v>483</v>
      </c>
      <c r="H89" s="7" t="s">
        <v>540</v>
      </c>
      <c r="I89" s="8" t="s">
        <v>618</v>
      </c>
      <c r="J89" s="7">
        <v>49</v>
      </c>
      <c r="K89" s="7"/>
    </row>
    <row r="90" spans="1:11" ht="15.75" thickBot="1" x14ac:dyDescent="0.3">
      <c r="A90" s="1"/>
      <c r="B90" s="11">
        <f t="shared" si="0"/>
        <v>88</v>
      </c>
      <c r="C90" s="13" t="s">
        <v>31</v>
      </c>
      <c r="D90" s="9" t="s">
        <v>129</v>
      </c>
      <c r="E90" s="10" t="s">
        <v>286</v>
      </c>
      <c r="F90" s="9" t="s">
        <v>396</v>
      </c>
      <c r="G90" s="10" t="s">
        <v>484</v>
      </c>
      <c r="H90" s="9" t="s">
        <v>540</v>
      </c>
      <c r="I90" s="10" t="s">
        <v>619</v>
      </c>
      <c r="J90" s="9">
        <v>2</v>
      </c>
      <c r="K90" s="9"/>
    </row>
    <row r="91" spans="1:11" ht="15.75" thickBot="1" x14ac:dyDescent="0.3">
      <c r="A91" s="1"/>
      <c r="B91" s="11">
        <f>ROW(B91) - ROW($B$2)</f>
        <v>89</v>
      </c>
      <c r="C91" s="12" t="s">
        <v>31</v>
      </c>
      <c r="D91" s="7" t="s">
        <v>130</v>
      </c>
      <c r="E91" s="8" t="s">
        <v>287</v>
      </c>
      <c r="F91" s="7" t="s">
        <v>396</v>
      </c>
      <c r="G91" s="8" t="s">
        <v>485</v>
      </c>
      <c r="H91" s="7" t="s">
        <v>540</v>
      </c>
      <c r="I91" s="8" t="s">
        <v>620</v>
      </c>
      <c r="J91" s="7">
        <v>6</v>
      </c>
      <c r="K91" s="7"/>
    </row>
    <row r="92" spans="1:11" ht="15.75" thickBot="1" x14ac:dyDescent="0.3">
      <c r="A92" s="1"/>
      <c r="B92" s="11">
        <f t="shared" si="0"/>
        <v>90</v>
      </c>
      <c r="C92" s="13" t="s">
        <v>31</v>
      </c>
      <c r="D92" s="9" t="s">
        <v>131</v>
      </c>
      <c r="E92" s="10" t="s">
        <v>288</v>
      </c>
      <c r="F92" s="9" t="s">
        <v>396</v>
      </c>
      <c r="G92" s="10" t="s">
        <v>486</v>
      </c>
      <c r="H92" s="9" t="s">
        <v>540</v>
      </c>
      <c r="I92" s="10" t="s">
        <v>621</v>
      </c>
      <c r="J92" s="9">
        <v>2</v>
      </c>
      <c r="K92" s="9"/>
    </row>
    <row r="93" spans="1:11" ht="15.75" thickBot="1" x14ac:dyDescent="0.3">
      <c r="A93" s="1"/>
      <c r="B93" s="11">
        <f>ROW(B93) - ROW($B$2)</f>
        <v>91</v>
      </c>
      <c r="C93" s="12" t="s">
        <v>32</v>
      </c>
      <c r="D93" s="14" t="s">
        <v>132</v>
      </c>
      <c r="E93" s="15" t="s">
        <v>289</v>
      </c>
      <c r="F93" s="14" t="s">
        <v>395</v>
      </c>
      <c r="G93" s="15" t="s">
        <v>487</v>
      </c>
      <c r="H93" s="14" t="s">
        <v>540</v>
      </c>
      <c r="I93" s="15" t="s">
        <v>608</v>
      </c>
      <c r="J93" s="14">
        <v>2</v>
      </c>
      <c r="K93" s="16" t="s">
        <v>654</v>
      </c>
    </row>
    <row r="94" spans="1:11" ht="336.75" thickBot="1" x14ac:dyDescent="0.3">
      <c r="A94" s="1"/>
      <c r="B94" s="11">
        <f t="shared" si="0"/>
        <v>92</v>
      </c>
      <c r="C94" s="13" t="s">
        <v>32</v>
      </c>
      <c r="D94" s="9" t="s">
        <v>133</v>
      </c>
      <c r="E94" s="10" t="s">
        <v>289</v>
      </c>
      <c r="F94" s="9" t="s">
        <v>395</v>
      </c>
      <c r="G94" s="10" t="s">
        <v>487</v>
      </c>
      <c r="H94" s="9" t="s">
        <v>540</v>
      </c>
      <c r="I94" s="10" t="s">
        <v>622</v>
      </c>
      <c r="J94" s="9">
        <v>202</v>
      </c>
      <c r="K94" s="9"/>
    </row>
    <row r="95" spans="1:11" ht="15.75" thickBot="1" x14ac:dyDescent="0.3">
      <c r="A95" s="1"/>
      <c r="B95" s="11">
        <f>ROW(B95) - ROW($B$2)</f>
        <v>93</v>
      </c>
      <c r="C95" s="12" t="s">
        <v>31</v>
      </c>
      <c r="D95" s="7" t="s">
        <v>134</v>
      </c>
      <c r="E95" s="8" t="s">
        <v>290</v>
      </c>
      <c r="F95" s="7" t="s">
        <v>395</v>
      </c>
      <c r="G95" s="8" t="s">
        <v>488</v>
      </c>
      <c r="H95" s="7" t="s">
        <v>540</v>
      </c>
      <c r="I95" s="8" t="s">
        <v>623</v>
      </c>
      <c r="J95" s="7">
        <v>7</v>
      </c>
      <c r="K95" s="7"/>
    </row>
    <row r="96" spans="1:11" ht="15.75" thickBot="1" x14ac:dyDescent="0.3">
      <c r="A96" s="1"/>
      <c r="B96" s="11">
        <f t="shared" si="0"/>
        <v>94</v>
      </c>
      <c r="C96" s="13" t="s">
        <v>32</v>
      </c>
      <c r="D96" s="9" t="s">
        <v>135</v>
      </c>
      <c r="E96" s="10" t="s">
        <v>291</v>
      </c>
      <c r="F96" s="9" t="s">
        <v>395</v>
      </c>
      <c r="G96" s="10" t="s">
        <v>489</v>
      </c>
      <c r="H96" s="9" t="s">
        <v>540</v>
      </c>
      <c r="I96" s="10" t="s">
        <v>624</v>
      </c>
      <c r="J96" s="9">
        <v>7</v>
      </c>
      <c r="K96" s="9"/>
    </row>
    <row r="97" spans="1:11" ht="15.75" thickBot="1" x14ac:dyDescent="0.3">
      <c r="A97" s="1"/>
      <c r="B97" s="11">
        <f>ROW(B97) - ROW($B$2)</f>
        <v>95</v>
      </c>
      <c r="C97" s="12" t="s">
        <v>32</v>
      </c>
      <c r="D97" s="14" t="s">
        <v>136</v>
      </c>
      <c r="E97" s="15" t="s">
        <v>291</v>
      </c>
      <c r="F97" s="14" t="s">
        <v>395</v>
      </c>
      <c r="G97" s="15" t="s">
        <v>489</v>
      </c>
      <c r="H97" s="14" t="s">
        <v>540</v>
      </c>
      <c r="I97" s="15" t="s">
        <v>608</v>
      </c>
      <c r="J97" s="14">
        <v>2</v>
      </c>
      <c r="K97" s="16" t="s">
        <v>654</v>
      </c>
    </row>
    <row r="98" spans="1:11" ht="48.75" thickBot="1" x14ac:dyDescent="0.3">
      <c r="A98" s="1"/>
      <c r="B98" s="11">
        <f t="shared" si="0"/>
        <v>96</v>
      </c>
      <c r="C98" s="13" t="s">
        <v>31</v>
      </c>
      <c r="D98" s="9" t="s">
        <v>137</v>
      </c>
      <c r="E98" s="10" t="s">
        <v>292</v>
      </c>
      <c r="F98" s="9" t="s">
        <v>395</v>
      </c>
      <c r="G98" s="10" t="s">
        <v>490</v>
      </c>
      <c r="H98" s="9" t="s">
        <v>540</v>
      </c>
      <c r="I98" s="10" t="s">
        <v>625</v>
      </c>
      <c r="J98" s="9">
        <v>30</v>
      </c>
      <c r="K98" s="9"/>
    </row>
    <row r="99" spans="1:11" ht="36.75" thickBot="1" x14ac:dyDescent="0.3">
      <c r="A99" s="1"/>
      <c r="B99" s="11">
        <f>ROW(B99) - ROW($B$2)</f>
        <v>97</v>
      </c>
      <c r="C99" s="12" t="s">
        <v>31</v>
      </c>
      <c r="D99" s="7" t="s">
        <v>138</v>
      </c>
      <c r="E99" s="8" t="s">
        <v>293</v>
      </c>
      <c r="F99" s="7" t="s">
        <v>395</v>
      </c>
      <c r="G99" s="8" t="s">
        <v>491</v>
      </c>
      <c r="H99" s="7" t="s">
        <v>578</v>
      </c>
      <c r="I99" s="8" t="s">
        <v>626</v>
      </c>
      <c r="J99" s="7">
        <v>8</v>
      </c>
      <c r="K99" s="7"/>
    </row>
    <row r="100" spans="1:11" ht="15.75" thickBot="1" x14ac:dyDescent="0.3">
      <c r="A100" s="1"/>
      <c r="B100" s="11">
        <f t="shared" si="0"/>
        <v>98</v>
      </c>
      <c r="C100" s="13" t="s">
        <v>31</v>
      </c>
      <c r="D100" s="9" t="s">
        <v>139</v>
      </c>
      <c r="E100" s="10" t="s">
        <v>294</v>
      </c>
      <c r="F100" s="9" t="s">
        <v>396</v>
      </c>
      <c r="G100" s="10" t="s">
        <v>492</v>
      </c>
      <c r="H100" s="9" t="s">
        <v>540</v>
      </c>
      <c r="I100" s="10" t="s">
        <v>614</v>
      </c>
      <c r="J100" s="9">
        <v>7</v>
      </c>
      <c r="K100" s="9"/>
    </row>
    <row r="101" spans="1:11" ht="15.75" thickBot="1" x14ac:dyDescent="0.3">
      <c r="A101" s="1"/>
      <c r="B101" s="11">
        <f>ROW(B101) - ROW($B$2)</f>
        <v>99</v>
      </c>
      <c r="C101" s="12" t="s">
        <v>31</v>
      </c>
      <c r="D101" s="7" t="s">
        <v>140</v>
      </c>
      <c r="E101" s="8" t="s">
        <v>295</v>
      </c>
      <c r="F101" s="7" t="s">
        <v>395</v>
      </c>
      <c r="G101" s="8" t="s">
        <v>493</v>
      </c>
      <c r="H101" s="7" t="s">
        <v>540</v>
      </c>
      <c r="I101" s="8" t="s">
        <v>627</v>
      </c>
      <c r="J101" s="7">
        <v>3</v>
      </c>
      <c r="K101" s="7"/>
    </row>
    <row r="102" spans="1:11" ht="15.75" thickBot="1" x14ac:dyDescent="0.3">
      <c r="A102" s="1"/>
      <c r="B102" s="11">
        <f t="shared" si="0"/>
        <v>100</v>
      </c>
      <c r="C102" s="13" t="s">
        <v>31</v>
      </c>
      <c r="D102" s="9" t="s">
        <v>141</v>
      </c>
      <c r="E102" s="10" t="s">
        <v>296</v>
      </c>
      <c r="F102" s="9" t="s">
        <v>395</v>
      </c>
      <c r="G102" s="10" t="s">
        <v>494</v>
      </c>
      <c r="H102" s="9" t="s">
        <v>540</v>
      </c>
      <c r="I102" s="10" t="s">
        <v>628</v>
      </c>
      <c r="J102" s="9">
        <v>1</v>
      </c>
      <c r="K102" s="9"/>
    </row>
    <row r="103" spans="1:11" ht="15.75" thickBot="1" x14ac:dyDescent="0.3">
      <c r="A103" s="1"/>
      <c r="B103" s="11">
        <f>ROW(B103) - ROW($B$2)</f>
        <v>101</v>
      </c>
      <c r="C103" s="12" t="s">
        <v>31</v>
      </c>
      <c r="D103" s="7" t="s">
        <v>142</v>
      </c>
      <c r="E103" s="8" t="s">
        <v>297</v>
      </c>
      <c r="F103" s="7" t="s">
        <v>397</v>
      </c>
      <c r="G103" s="8" t="s">
        <v>495</v>
      </c>
      <c r="H103" s="7" t="s">
        <v>540</v>
      </c>
      <c r="I103" s="8" t="s">
        <v>629</v>
      </c>
      <c r="J103" s="7">
        <v>1</v>
      </c>
      <c r="K103" s="7"/>
    </row>
    <row r="104" spans="1:11" ht="15.75" thickBot="1" x14ac:dyDescent="0.3">
      <c r="A104" s="1"/>
      <c r="B104" s="11">
        <f t="shared" si="0"/>
        <v>102</v>
      </c>
      <c r="C104" s="13" t="s">
        <v>32</v>
      </c>
      <c r="D104" s="9" t="s">
        <v>143</v>
      </c>
      <c r="E104" s="10" t="s">
        <v>298</v>
      </c>
      <c r="F104" s="9" t="s">
        <v>397</v>
      </c>
      <c r="G104" s="10" t="s">
        <v>496</v>
      </c>
      <c r="H104" s="9" t="s">
        <v>540</v>
      </c>
      <c r="I104" s="10" t="s">
        <v>630</v>
      </c>
      <c r="J104" s="9">
        <v>1</v>
      </c>
      <c r="K104" s="9"/>
    </row>
    <row r="105" spans="1:11" ht="15.75" thickBot="1" x14ac:dyDescent="0.3">
      <c r="A105" s="1"/>
      <c r="B105" s="11">
        <f>ROW(B105) - ROW($B$2)</f>
        <v>103</v>
      </c>
      <c r="C105" s="12" t="s">
        <v>32</v>
      </c>
      <c r="D105" s="7" t="s">
        <v>144</v>
      </c>
      <c r="E105" s="8" t="s">
        <v>299</v>
      </c>
      <c r="F105" s="7" t="s">
        <v>395</v>
      </c>
      <c r="G105" s="8" t="s">
        <v>497</v>
      </c>
      <c r="H105" s="7" t="s">
        <v>540</v>
      </c>
      <c r="I105" s="8" t="s">
        <v>631</v>
      </c>
      <c r="J105" s="7">
        <v>1</v>
      </c>
      <c r="K105" s="7"/>
    </row>
    <row r="106" spans="1:11" ht="15.75" thickBot="1" x14ac:dyDescent="0.3">
      <c r="A106" s="1"/>
      <c r="B106" s="11">
        <f t="shared" si="0"/>
        <v>104</v>
      </c>
      <c r="C106" s="12" t="s">
        <v>32</v>
      </c>
      <c r="D106" s="9" t="s">
        <v>145</v>
      </c>
      <c r="E106" s="10" t="s">
        <v>300</v>
      </c>
      <c r="F106" s="9" t="s">
        <v>395</v>
      </c>
      <c r="G106" s="10" t="s">
        <v>498</v>
      </c>
      <c r="H106" s="9" t="s">
        <v>540</v>
      </c>
      <c r="I106" s="10" t="s">
        <v>632</v>
      </c>
      <c r="J106" s="9">
        <v>1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32</v>
      </c>
      <c r="D107" s="7" t="s">
        <v>146</v>
      </c>
      <c r="E107" s="8" t="s">
        <v>301</v>
      </c>
      <c r="F107" s="7" t="s">
        <v>395</v>
      </c>
      <c r="G107" s="8" t="s">
        <v>499</v>
      </c>
      <c r="H107" s="7" t="s">
        <v>540</v>
      </c>
      <c r="I107" s="8" t="s">
        <v>633</v>
      </c>
      <c r="J107" s="7">
        <v>4</v>
      </c>
      <c r="K107" s="7"/>
    </row>
    <row r="108" spans="1:11" ht="15.75" thickBot="1" x14ac:dyDescent="0.3">
      <c r="A108" s="1"/>
      <c r="B108" s="11">
        <f t="shared" si="0"/>
        <v>106</v>
      </c>
      <c r="C108" s="13" t="s">
        <v>32</v>
      </c>
      <c r="D108" s="9" t="s">
        <v>147</v>
      </c>
      <c r="E108" s="10" t="s">
        <v>302</v>
      </c>
      <c r="F108" s="9" t="s">
        <v>396</v>
      </c>
      <c r="G108" s="10" t="s">
        <v>500</v>
      </c>
      <c r="H108" s="9" t="s">
        <v>540</v>
      </c>
      <c r="I108" s="10" t="s">
        <v>634</v>
      </c>
      <c r="J108" s="9">
        <v>1</v>
      </c>
      <c r="K108" s="9"/>
    </row>
    <row r="109" spans="1:11" ht="15.75" thickBot="1" x14ac:dyDescent="0.3">
      <c r="A109" s="1"/>
      <c r="B109" s="11">
        <f>ROW(B109) - ROW($B$2)</f>
        <v>107</v>
      </c>
      <c r="C109" s="13" t="s">
        <v>32</v>
      </c>
      <c r="D109" s="7" t="s">
        <v>148</v>
      </c>
      <c r="E109" s="8" t="s">
        <v>303</v>
      </c>
      <c r="F109" s="7" t="s">
        <v>395</v>
      </c>
      <c r="G109" s="8" t="s">
        <v>501</v>
      </c>
      <c r="H109" s="7" t="s">
        <v>540</v>
      </c>
      <c r="I109" s="8" t="s">
        <v>635</v>
      </c>
      <c r="J109" s="7">
        <v>1</v>
      </c>
      <c r="K109" s="7"/>
    </row>
    <row r="110" spans="1:11" ht="24.75" thickBot="1" x14ac:dyDescent="0.3">
      <c r="A110" s="1"/>
      <c r="B110" s="11">
        <f t="shared" si="0"/>
        <v>108</v>
      </c>
      <c r="C110" s="13" t="s">
        <v>31</v>
      </c>
      <c r="D110" s="9" t="s">
        <v>149</v>
      </c>
      <c r="E110" s="10" t="s">
        <v>304</v>
      </c>
      <c r="F110" s="9" t="s">
        <v>396</v>
      </c>
      <c r="G110" s="10" t="s">
        <v>502</v>
      </c>
      <c r="H110" s="9" t="s">
        <v>540</v>
      </c>
      <c r="I110" s="10" t="s">
        <v>636</v>
      </c>
      <c r="J110" s="9">
        <v>12</v>
      </c>
      <c r="K110" s="9"/>
    </row>
    <row r="111" spans="1:11" ht="36.75" thickBot="1" x14ac:dyDescent="0.3">
      <c r="A111" s="1"/>
      <c r="B111" s="11">
        <f>ROW(B111) - ROW($B$2)</f>
        <v>109</v>
      </c>
      <c r="C111" s="12" t="s">
        <v>31</v>
      </c>
      <c r="D111" s="7" t="s">
        <v>150</v>
      </c>
      <c r="E111" s="8" t="s">
        <v>305</v>
      </c>
      <c r="F111" s="7" t="s">
        <v>396</v>
      </c>
      <c r="G111" s="8" t="s">
        <v>503</v>
      </c>
      <c r="H111" s="7" t="s">
        <v>540</v>
      </c>
      <c r="I111" s="8" t="s">
        <v>624</v>
      </c>
      <c r="J111" s="7">
        <v>16</v>
      </c>
      <c r="K111" s="7"/>
    </row>
    <row r="112" spans="1:11" ht="15.75" thickBot="1" x14ac:dyDescent="0.3">
      <c r="A112" s="1"/>
      <c r="B112" s="11">
        <f t="shared" si="0"/>
        <v>110</v>
      </c>
      <c r="C112" s="13" t="s">
        <v>31</v>
      </c>
      <c r="D112" s="9" t="s">
        <v>151</v>
      </c>
      <c r="E112" s="10" t="s">
        <v>306</v>
      </c>
      <c r="F112" s="9" t="s">
        <v>396</v>
      </c>
      <c r="G112" s="10" t="s">
        <v>504</v>
      </c>
      <c r="H112" s="9" t="s">
        <v>540</v>
      </c>
      <c r="I112" s="10" t="s">
        <v>637</v>
      </c>
      <c r="J112" s="9">
        <v>2</v>
      </c>
      <c r="K112" s="9"/>
    </row>
    <row r="113" spans="1:11" ht="24.75" thickBot="1" x14ac:dyDescent="0.3">
      <c r="A113" s="1"/>
      <c r="B113" s="11">
        <f>ROW(B113) - ROW($B$2)</f>
        <v>111</v>
      </c>
      <c r="C113" s="12" t="s">
        <v>31</v>
      </c>
      <c r="D113" s="7" t="s">
        <v>152</v>
      </c>
      <c r="E113" s="8" t="s">
        <v>307</v>
      </c>
      <c r="F113" s="7" t="s">
        <v>395</v>
      </c>
      <c r="G113" s="8" t="s">
        <v>505</v>
      </c>
      <c r="H113" s="7" t="s">
        <v>540</v>
      </c>
      <c r="I113" s="8" t="s">
        <v>638</v>
      </c>
      <c r="J113" s="7">
        <v>11</v>
      </c>
      <c r="K113" s="7"/>
    </row>
    <row r="114" spans="1:11" ht="15.75" thickBot="1" x14ac:dyDescent="0.3">
      <c r="A114" s="1"/>
      <c r="B114" s="11">
        <f t="shared" si="0"/>
        <v>112</v>
      </c>
      <c r="C114" s="12" t="s">
        <v>31</v>
      </c>
      <c r="D114" s="9" t="s">
        <v>153</v>
      </c>
      <c r="E114" s="10" t="s">
        <v>308</v>
      </c>
      <c r="F114" s="9" t="s">
        <v>396</v>
      </c>
      <c r="G114" s="10" t="s">
        <v>657</v>
      </c>
      <c r="H114" s="7" t="s">
        <v>540</v>
      </c>
      <c r="I114" s="10" t="s">
        <v>639</v>
      </c>
      <c r="J114" s="9">
        <v>1</v>
      </c>
      <c r="K114" s="9"/>
    </row>
    <row r="115" spans="1:11" ht="15.75" thickBot="1" x14ac:dyDescent="0.3">
      <c r="A115" s="1"/>
      <c r="B115" s="11">
        <f>ROW(B115) - ROW($B$2)</f>
        <v>113</v>
      </c>
      <c r="C115" s="12" t="s">
        <v>31</v>
      </c>
      <c r="D115" s="14" t="s">
        <v>154</v>
      </c>
      <c r="E115" s="15" t="s">
        <v>285</v>
      </c>
      <c r="F115" s="14" t="s">
        <v>395</v>
      </c>
      <c r="G115" s="15" t="s">
        <v>483</v>
      </c>
      <c r="H115" s="14" t="s">
        <v>540</v>
      </c>
      <c r="I115" s="15" t="s">
        <v>608</v>
      </c>
      <c r="J115" s="14">
        <v>1</v>
      </c>
      <c r="K115" s="16" t="s">
        <v>654</v>
      </c>
    </row>
    <row r="116" spans="1:11" ht="15.75" thickBot="1" x14ac:dyDescent="0.3">
      <c r="A116" s="1"/>
      <c r="B116" s="11">
        <f t="shared" si="0"/>
        <v>114</v>
      </c>
      <c r="C116" s="13" t="s">
        <v>31</v>
      </c>
      <c r="D116" s="14" t="s">
        <v>155</v>
      </c>
      <c r="E116" s="15" t="s">
        <v>309</v>
      </c>
      <c r="F116" s="14" t="s">
        <v>395</v>
      </c>
      <c r="G116" s="15" t="s">
        <v>506</v>
      </c>
      <c r="H116" s="14" t="s">
        <v>540</v>
      </c>
      <c r="I116" s="15" t="s">
        <v>608</v>
      </c>
      <c r="J116" s="14">
        <v>1</v>
      </c>
      <c r="K116" s="16" t="s">
        <v>654</v>
      </c>
    </row>
    <row r="117" spans="1:11" ht="24.75" thickBot="1" x14ac:dyDescent="0.3">
      <c r="A117" s="1"/>
      <c r="B117" s="11">
        <f>ROW(B117) - ROW($B$2)</f>
        <v>115</v>
      </c>
      <c r="C117" s="12" t="s">
        <v>31</v>
      </c>
      <c r="D117" s="7" t="s">
        <v>156</v>
      </c>
      <c r="E117" s="8" t="s">
        <v>310</v>
      </c>
      <c r="F117" s="7" t="s">
        <v>395</v>
      </c>
      <c r="G117" s="8" t="s">
        <v>507</v>
      </c>
      <c r="H117" s="7" t="s">
        <v>540</v>
      </c>
      <c r="I117" s="8" t="s">
        <v>637</v>
      </c>
      <c r="J117" s="7">
        <v>11</v>
      </c>
      <c r="K117" s="7"/>
    </row>
    <row r="118" spans="1:11" ht="15.75" thickBot="1" x14ac:dyDescent="0.3">
      <c r="A118" s="1"/>
      <c r="B118" s="11">
        <f t="shared" si="0"/>
        <v>116</v>
      </c>
      <c r="C118" s="13" t="s">
        <v>31</v>
      </c>
      <c r="D118" s="9" t="s">
        <v>157</v>
      </c>
      <c r="E118" s="10" t="s">
        <v>311</v>
      </c>
      <c r="F118" s="9" t="s">
        <v>395</v>
      </c>
      <c r="G118" s="10" t="s">
        <v>508</v>
      </c>
      <c r="H118" s="9" t="s">
        <v>540</v>
      </c>
      <c r="I118" s="10" t="s">
        <v>640</v>
      </c>
      <c r="J118" s="9">
        <v>3</v>
      </c>
      <c r="K118" s="9"/>
    </row>
    <row r="119" spans="1:11" ht="15.75" thickBot="1" x14ac:dyDescent="0.3">
      <c r="A119" s="1"/>
      <c r="B119" s="11">
        <f>ROW(B119) - ROW($B$2)</f>
        <v>117</v>
      </c>
      <c r="C119" s="12" t="s">
        <v>31</v>
      </c>
      <c r="D119" s="7" t="s">
        <v>158</v>
      </c>
      <c r="E119" s="8" t="s">
        <v>284</v>
      </c>
      <c r="F119" s="7" t="s">
        <v>395</v>
      </c>
      <c r="G119" s="8" t="s">
        <v>509</v>
      </c>
      <c r="H119" s="7" t="s">
        <v>540</v>
      </c>
      <c r="I119" s="8" t="s">
        <v>617</v>
      </c>
      <c r="J119" s="7">
        <v>1</v>
      </c>
      <c r="K119" s="7"/>
    </row>
    <row r="120" spans="1:11" ht="15.75" thickBot="1" x14ac:dyDescent="0.3">
      <c r="A120" s="1"/>
      <c r="B120" s="11">
        <f t="shared" si="0"/>
        <v>118</v>
      </c>
      <c r="C120" s="13" t="s">
        <v>31</v>
      </c>
      <c r="D120" s="9" t="s">
        <v>159</v>
      </c>
      <c r="E120" s="10" t="s">
        <v>312</v>
      </c>
      <c r="F120" s="9" t="s">
        <v>396</v>
      </c>
      <c r="G120" s="10" t="s">
        <v>510</v>
      </c>
      <c r="H120" s="9" t="s">
        <v>540</v>
      </c>
      <c r="I120" s="10" t="s">
        <v>641</v>
      </c>
      <c r="J120" s="9">
        <v>4</v>
      </c>
      <c r="K120" s="9"/>
    </row>
    <row r="121" spans="1:11" ht="15.75" thickBot="1" x14ac:dyDescent="0.3">
      <c r="A121" s="1"/>
      <c r="B121" s="11">
        <f>ROW(B121) - ROW($B$2)</f>
        <v>119</v>
      </c>
      <c r="C121" s="12" t="s">
        <v>31</v>
      </c>
      <c r="D121" s="7" t="s">
        <v>160</v>
      </c>
      <c r="E121" s="8" t="s">
        <v>313</v>
      </c>
      <c r="F121" s="7" t="s">
        <v>395</v>
      </c>
      <c r="G121" s="8" t="s">
        <v>511</v>
      </c>
      <c r="H121" s="7" t="s">
        <v>540</v>
      </c>
      <c r="I121" s="8" t="s">
        <v>642</v>
      </c>
      <c r="J121" s="7">
        <v>1</v>
      </c>
      <c r="K121" s="7"/>
    </row>
    <row r="122" spans="1:11" ht="15.75" thickBot="1" x14ac:dyDescent="0.3">
      <c r="A122" s="1"/>
      <c r="B122" s="11">
        <f t="shared" si="0"/>
        <v>120</v>
      </c>
      <c r="C122" s="13" t="s">
        <v>31</v>
      </c>
      <c r="D122" s="14" t="s">
        <v>161</v>
      </c>
      <c r="E122" s="15" t="s">
        <v>292</v>
      </c>
      <c r="F122" s="14" t="s">
        <v>395</v>
      </c>
      <c r="G122" s="15" t="s">
        <v>490</v>
      </c>
      <c r="H122" s="14" t="s">
        <v>540</v>
      </c>
      <c r="I122" s="15" t="s">
        <v>608</v>
      </c>
      <c r="J122" s="14">
        <v>1</v>
      </c>
      <c r="K122" s="16" t="s">
        <v>654</v>
      </c>
    </row>
    <row r="123" spans="1:11" ht="15.75" thickBot="1" x14ac:dyDescent="0.3">
      <c r="A123" s="1"/>
      <c r="B123" s="11">
        <f>ROW(B123) - ROW($B$2)</f>
        <v>121</v>
      </c>
      <c r="C123" s="12" t="s">
        <v>31</v>
      </c>
      <c r="D123" s="7" t="s">
        <v>162</v>
      </c>
      <c r="E123" s="8" t="s">
        <v>314</v>
      </c>
      <c r="F123" s="7" t="s">
        <v>395</v>
      </c>
      <c r="G123" s="8" t="s">
        <v>512</v>
      </c>
      <c r="H123" s="7" t="s">
        <v>540</v>
      </c>
      <c r="I123" s="8" t="s">
        <v>643</v>
      </c>
      <c r="J123" s="7">
        <v>4</v>
      </c>
      <c r="K123" s="7"/>
    </row>
    <row r="124" spans="1:11" ht="24.75" thickBot="1" x14ac:dyDescent="0.3">
      <c r="A124" s="1"/>
      <c r="B124" s="11">
        <f t="shared" si="0"/>
        <v>122</v>
      </c>
      <c r="C124" s="13" t="s">
        <v>31</v>
      </c>
      <c r="D124" s="9" t="s">
        <v>163</v>
      </c>
      <c r="E124" s="10" t="s">
        <v>315</v>
      </c>
      <c r="F124" s="9" t="s">
        <v>395</v>
      </c>
      <c r="G124" s="10" t="s">
        <v>513</v>
      </c>
      <c r="H124" s="9" t="s">
        <v>540</v>
      </c>
      <c r="I124" s="10" t="s">
        <v>644</v>
      </c>
      <c r="J124" s="9">
        <v>12</v>
      </c>
      <c r="K124" s="9"/>
    </row>
    <row r="125" spans="1:11" ht="15.75" thickBot="1" x14ac:dyDescent="0.3">
      <c r="A125" s="1"/>
      <c r="B125" s="11">
        <f>ROW(B125) - ROW($B$2)</f>
        <v>123</v>
      </c>
      <c r="C125" s="12" t="s">
        <v>31</v>
      </c>
      <c r="D125" s="7" t="s">
        <v>164</v>
      </c>
      <c r="E125" s="8" t="s">
        <v>316</v>
      </c>
      <c r="F125" s="7" t="s">
        <v>396</v>
      </c>
      <c r="G125" s="8" t="s">
        <v>514</v>
      </c>
      <c r="H125" s="7" t="s">
        <v>540</v>
      </c>
      <c r="I125" s="8" t="s">
        <v>614</v>
      </c>
      <c r="J125" s="7">
        <v>4</v>
      </c>
      <c r="K125" s="7"/>
    </row>
    <row r="126" spans="1:11" ht="15.75" thickBot="1" x14ac:dyDescent="0.3">
      <c r="A126" s="1"/>
      <c r="B126" s="11">
        <f t="shared" si="0"/>
        <v>124</v>
      </c>
      <c r="C126" s="13" t="s">
        <v>31</v>
      </c>
      <c r="D126" s="9" t="s">
        <v>165</v>
      </c>
      <c r="E126" s="10" t="s">
        <v>317</v>
      </c>
      <c r="F126" s="9" t="s">
        <v>395</v>
      </c>
      <c r="G126" s="10" t="s">
        <v>515</v>
      </c>
      <c r="H126" s="9" t="s">
        <v>540</v>
      </c>
      <c r="I126" s="10" t="s">
        <v>645</v>
      </c>
      <c r="J126" s="9">
        <v>1</v>
      </c>
      <c r="K126" s="9"/>
    </row>
    <row r="127" spans="1:11" ht="15.75" thickBot="1" x14ac:dyDescent="0.3">
      <c r="A127" s="1"/>
      <c r="B127" s="11">
        <f>ROW(B127) - ROW($B$2)</f>
        <v>125</v>
      </c>
      <c r="C127" s="12" t="s">
        <v>31</v>
      </c>
      <c r="D127" s="7" t="s">
        <v>166</v>
      </c>
      <c r="E127" s="8" t="s">
        <v>318</v>
      </c>
      <c r="F127" s="7" t="s">
        <v>395</v>
      </c>
      <c r="G127" s="8" t="s">
        <v>656</v>
      </c>
      <c r="H127" s="9" t="s">
        <v>540</v>
      </c>
      <c r="I127" s="8" t="s">
        <v>646</v>
      </c>
      <c r="J127" s="7">
        <v>1</v>
      </c>
      <c r="K127" s="7"/>
    </row>
    <row r="128" spans="1:11" ht="15.75" thickBot="1" x14ac:dyDescent="0.3">
      <c r="A128" s="1"/>
      <c r="B128" s="11">
        <f t="shared" ref="B128" si="1">ROW(B128) - ROW($B$2)</f>
        <v>126</v>
      </c>
      <c r="C128" s="13" t="s">
        <v>31</v>
      </c>
      <c r="D128" s="9" t="s">
        <v>691</v>
      </c>
      <c r="E128" s="10" t="s">
        <v>692</v>
      </c>
      <c r="F128" s="9" t="s">
        <v>395</v>
      </c>
      <c r="G128" s="10" t="s">
        <v>693</v>
      </c>
      <c r="H128" s="9" t="s">
        <v>540</v>
      </c>
      <c r="I128" s="10" t="s">
        <v>694</v>
      </c>
      <c r="J128" s="9">
        <v>6</v>
      </c>
      <c r="K128" s="9"/>
    </row>
    <row r="129" spans="1:11" ht="24.75" thickBot="1" x14ac:dyDescent="0.3">
      <c r="A129" s="1"/>
      <c r="B129" s="11">
        <f t="shared" si="0"/>
        <v>127</v>
      </c>
      <c r="C129" s="13" t="s">
        <v>33</v>
      </c>
      <c r="D129" s="9" t="s">
        <v>167</v>
      </c>
      <c r="E129" s="10" t="s">
        <v>319</v>
      </c>
      <c r="F129" s="7" t="s">
        <v>652</v>
      </c>
      <c r="G129" s="10" t="s">
        <v>398</v>
      </c>
      <c r="H129" s="9" t="s">
        <v>579</v>
      </c>
      <c r="I129" s="10" t="s">
        <v>655</v>
      </c>
      <c r="J129" s="9">
        <v>9</v>
      </c>
      <c r="K129" s="9"/>
    </row>
    <row r="130" spans="1:11" ht="36.75" thickBot="1" x14ac:dyDescent="0.3">
      <c r="A130" s="1"/>
      <c r="B130" s="11">
        <f>ROW(B130) - ROW($B$2)</f>
        <v>128</v>
      </c>
      <c r="C130" s="12" t="s">
        <v>34</v>
      </c>
      <c r="D130" s="7" t="s">
        <v>168</v>
      </c>
      <c r="E130" s="8" t="s">
        <v>320</v>
      </c>
      <c r="F130" s="7" t="s">
        <v>652</v>
      </c>
      <c r="G130" s="8" t="s">
        <v>399</v>
      </c>
      <c r="H130" s="7" t="s">
        <v>569</v>
      </c>
      <c r="I130" s="10" t="s">
        <v>655</v>
      </c>
      <c r="J130" s="7">
        <v>1</v>
      </c>
      <c r="K130" s="7"/>
    </row>
    <row r="131" spans="1:11" ht="48.75" thickBot="1" x14ac:dyDescent="0.3">
      <c r="A131" s="1"/>
      <c r="B131" s="11">
        <f t="shared" si="0"/>
        <v>129</v>
      </c>
      <c r="C131" s="13" t="s">
        <v>33</v>
      </c>
      <c r="D131" s="9" t="s">
        <v>169</v>
      </c>
      <c r="E131" s="10" t="s">
        <v>321</v>
      </c>
      <c r="F131" s="7" t="s">
        <v>652</v>
      </c>
      <c r="G131" s="10" t="s">
        <v>516</v>
      </c>
      <c r="H131" s="9" t="s">
        <v>580</v>
      </c>
      <c r="I131" s="10" t="s">
        <v>655</v>
      </c>
      <c r="J131" s="9">
        <v>1</v>
      </c>
      <c r="K131" s="9"/>
    </row>
    <row r="132" spans="1:11" ht="36.75" thickBot="1" x14ac:dyDescent="0.3">
      <c r="A132" s="1"/>
      <c r="B132" s="11">
        <f>ROW(B132) - ROW($B$2)</f>
        <v>130</v>
      </c>
      <c r="C132" s="12" t="s">
        <v>35</v>
      </c>
      <c r="D132" s="7" t="s">
        <v>170</v>
      </c>
      <c r="E132" s="8" t="s">
        <v>322</v>
      </c>
      <c r="F132" s="7" t="s">
        <v>652</v>
      </c>
      <c r="G132" s="8" t="s">
        <v>400</v>
      </c>
      <c r="H132" s="7" t="s">
        <v>581</v>
      </c>
      <c r="I132" s="10" t="s">
        <v>655</v>
      </c>
      <c r="J132" s="7">
        <v>1</v>
      </c>
      <c r="K132" s="7"/>
    </row>
    <row r="133" spans="1:11" ht="15.75" thickBot="1" x14ac:dyDescent="0.3">
      <c r="A133" s="1"/>
      <c r="B133" s="11">
        <f t="shared" si="0"/>
        <v>131</v>
      </c>
      <c r="C133" s="13" t="s">
        <v>36</v>
      </c>
      <c r="D133" s="9" t="s">
        <v>171</v>
      </c>
      <c r="E133" s="10" t="s">
        <v>323</v>
      </c>
      <c r="F133" s="7" t="s">
        <v>652</v>
      </c>
      <c r="G133" s="10" t="s">
        <v>517</v>
      </c>
      <c r="H133" s="9" t="s">
        <v>582</v>
      </c>
      <c r="I133" s="10" t="s">
        <v>655</v>
      </c>
      <c r="J133" s="9">
        <v>2</v>
      </c>
      <c r="K133" s="9"/>
    </row>
    <row r="134" spans="1:11" ht="36.75" thickBot="1" x14ac:dyDescent="0.3">
      <c r="A134" s="1"/>
      <c r="B134" s="11">
        <f>ROW(B134) - ROW($B$2)</f>
        <v>132</v>
      </c>
      <c r="C134" s="12" t="s">
        <v>37</v>
      </c>
      <c r="D134" s="7" t="s">
        <v>172</v>
      </c>
      <c r="E134" s="8" t="s">
        <v>324</v>
      </c>
      <c r="F134" s="7" t="s">
        <v>401</v>
      </c>
      <c r="G134" s="8" t="s">
        <v>518</v>
      </c>
      <c r="H134" s="7" t="s">
        <v>583</v>
      </c>
      <c r="I134" s="10" t="s">
        <v>655</v>
      </c>
      <c r="J134" s="7">
        <v>2</v>
      </c>
      <c r="K134" s="7"/>
    </row>
    <row r="135" spans="1:11" ht="15.75" thickBot="1" x14ac:dyDescent="0.3">
      <c r="A135" s="1"/>
      <c r="B135" s="11">
        <f t="shared" si="0"/>
        <v>133</v>
      </c>
      <c r="C135" s="13" t="s">
        <v>38</v>
      </c>
      <c r="D135" s="9" t="s">
        <v>173</v>
      </c>
      <c r="E135" s="10" t="s">
        <v>325</v>
      </c>
      <c r="F135" s="7" t="s">
        <v>652</v>
      </c>
      <c r="G135" s="10" t="s">
        <v>402</v>
      </c>
      <c r="H135" s="9" t="s">
        <v>584</v>
      </c>
      <c r="I135" s="10" t="s">
        <v>655</v>
      </c>
      <c r="J135" s="9">
        <v>1</v>
      </c>
      <c r="K135" s="9"/>
    </row>
    <row r="136" spans="1:11" ht="15.75" thickBot="1" x14ac:dyDescent="0.3">
      <c r="A136" s="1"/>
      <c r="B136" s="11">
        <f>ROW(B136) - ROW($B$2)</f>
        <v>134</v>
      </c>
      <c r="C136" s="12" t="s">
        <v>38</v>
      </c>
      <c r="D136" s="7" t="s">
        <v>174</v>
      </c>
      <c r="E136" s="8" t="s">
        <v>326</v>
      </c>
      <c r="F136" s="7" t="s">
        <v>403</v>
      </c>
      <c r="G136" s="8" t="s">
        <v>519</v>
      </c>
      <c r="H136" s="7" t="s">
        <v>585</v>
      </c>
      <c r="I136" s="10" t="s">
        <v>655</v>
      </c>
      <c r="J136" s="7">
        <v>1</v>
      </c>
      <c r="K136" s="7"/>
    </row>
    <row r="137" spans="1:11" ht="36.75" thickBot="1" x14ac:dyDescent="0.3">
      <c r="A137" s="1"/>
      <c r="B137" s="11">
        <f t="shared" si="0"/>
        <v>135</v>
      </c>
      <c r="C137" s="13" t="s">
        <v>5</v>
      </c>
      <c r="D137" s="9" t="s">
        <v>175</v>
      </c>
      <c r="E137" s="10" t="s">
        <v>327</v>
      </c>
      <c r="F137" s="9" t="s">
        <v>404</v>
      </c>
      <c r="G137" s="10" t="s">
        <v>520</v>
      </c>
      <c r="H137" s="9" t="s">
        <v>553</v>
      </c>
      <c r="I137" s="10" t="s">
        <v>655</v>
      </c>
      <c r="J137" s="9">
        <v>3</v>
      </c>
      <c r="K137" s="9"/>
    </row>
    <row r="138" spans="1:11" ht="36.75" thickBot="1" x14ac:dyDescent="0.3">
      <c r="A138" s="1"/>
      <c r="B138" s="11">
        <f>ROW(B138) - ROW($B$2)</f>
        <v>136</v>
      </c>
      <c r="C138" s="12" t="s">
        <v>38</v>
      </c>
      <c r="D138" s="7" t="s">
        <v>176</v>
      </c>
      <c r="E138" s="8" t="s">
        <v>328</v>
      </c>
      <c r="F138" s="7" t="s">
        <v>405</v>
      </c>
      <c r="G138" s="8" t="s">
        <v>405</v>
      </c>
      <c r="H138" s="7" t="s">
        <v>586</v>
      </c>
      <c r="I138" s="10" t="s">
        <v>655</v>
      </c>
      <c r="J138" s="7">
        <v>8</v>
      </c>
      <c r="K138" s="7"/>
    </row>
    <row r="139" spans="1:11" ht="15.75" thickBot="1" x14ac:dyDescent="0.3">
      <c r="A139" s="1"/>
      <c r="B139" s="11">
        <f t="shared" si="0"/>
        <v>137</v>
      </c>
      <c r="C139" s="13" t="s">
        <v>38</v>
      </c>
      <c r="D139" s="9" t="s">
        <v>177</v>
      </c>
      <c r="E139" s="10" t="s">
        <v>329</v>
      </c>
      <c r="F139" s="9" t="s">
        <v>406</v>
      </c>
      <c r="G139" s="10" t="s">
        <v>521</v>
      </c>
      <c r="H139" s="9" t="s">
        <v>585</v>
      </c>
      <c r="I139" s="10" t="s">
        <v>655</v>
      </c>
      <c r="J139" s="9">
        <v>4</v>
      </c>
      <c r="K139" s="9"/>
    </row>
    <row r="140" spans="1:11" ht="15.75" thickBot="1" x14ac:dyDescent="0.3">
      <c r="A140" s="1"/>
      <c r="B140" s="11">
        <f>ROW(B140) - ROW($B$2)</f>
        <v>138</v>
      </c>
      <c r="C140" s="12" t="s">
        <v>38</v>
      </c>
      <c r="D140" s="7" t="s">
        <v>178</v>
      </c>
      <c r="E140" s="8" t="s">
        <v>330</v>
      </c>
      <c r="F140" s="7" t="s">
        <v>407</v>
      </c>
      <c r="G140" s="8" t="s">
        <v>522</v>
      </c>
      <c r="H140" s="7" t="s">
        <v>585</v>
      </c>
      <c r="I140" s="10" t="s">
        <v>655</v>
      </c>
      <c r="J140" s="7">
        <v>2</v>
      </c>
      <c r="K140" s="7"/>
    </row>
    <row r="141" spans="1:11" ht="24.75" thickBot="1" x14ac:dyDescent="0.3">
      <c r="A141" s="1"/>
      <c r="B141" s="11">
        <f t="shared" si="0"/>
        <v>139</v>
      </c>
      <c r="C141" s="13" t="s">
        <v>38</v>
      </c>
      <c r="D141" s="9" t="s">
        <v>179</v>
      </c>
      <c r="E141" s="10" t="s">
        <v>331</v>
      </c>
      <c r="F141" s="9" t="s">
        <v>404</v>
      </c>
      <c r="G141" s="10" t="s">
        <v>523</v>
      </c>
      <c r="H141" s="9" t="s">
        <v>585</v>
      </c>
      <c r="I141" s="10" t="s">
        <v>655</v>
      </c>
      <c r="J141" s="9">
        <v>1</v>
      </c>
      <c r="K141" s="9"/>
    </row>
    <row r="142" spans="1:11" ht="15.75" thickBot="1" x14ac:dyDescent="0.3">
      <c r="A142" s="1"/>
      <c r="B142" s="11">
        <f>ROW(B142) - ROW($B$2)</f>
        <v>140</v>
      </c>
      <c r="C142" s="12" t="s">
        <v>38</v>
      </c>
      <c r="D142" s="7" t="s">
        <v>180</v>
      </c>
      <c r="E142" s="8" t="s">
        <v>332</v>
      </c>
      <c r="F142" s="7" t="s">
        <v>408</v>
      </c>
      <c r="G142" s="8" t="s">
        <v>524</v>
      </c>
      <c r="H142" s="7" t="s">
        <v>585</v>
      </c>
      <c r="I142" s="10" t="s">
        <v>655</v>
      </c>
      <c r="J142" s="7">
        <v>1</v>
      </c>
      <c r="K142" s="7"/>
    </row>
    <row r="143" spans="1:11" ht="15.75" thickBot="1" x14ac:dyDescent="0.3">
      <c r="A143" s="1"/>
      <c r="B143" s="11">
        <f t="shared" si="0"/>
        <v>141</v>
      </c>
      <c r="C143" s="13" t="s">
        <v>38</v>
      </c>
      <c r="D143" s="9" t="s">
        <v>181</v>
      </c>
      <c r="E143" s="10" t="s">
        <v>333</v>
      </c>
      <c r="F143" s="9" t="s">
        <v>409</v>
      </c>
      <c r="G143" s="10" t="s">
        <v>525</v>
      </c>
      <c r="H143" s="9" t="s">
        <v>551</v>
      </c>
      <c r="I143" s="10" t="s">
        <v>655</v>
      </c>
      <c r="J143" s="9">
        <v>1</v>
      </c>
      <c r="K143" s="9"/>
    </row>
    <row r="144" spans="1:11" ht="15.75" thickBot="1" x14ac:dyDescent="0.3">
      <c r="A144" s="1"/>
      <c r="B144" s="11">
        <f>ROW(B144) - ROW($B$2)</f>
        <v>142</v>
      </c>
      <c r="C144" s="12" t="s">
        <v>38</v>
      </c>
      <c r="D144" s="7" t="s">
        <v>182</v>
      </c>
      <c r="E144" s="8" t="s">
        <v>334</v>
      </c>
      <c r="F144" s="7" t="s">
        <v>410</v>
      </c>
      <c r="G144" s="8" t="s">
        <v>526</v>
      </c>
      <c r="H144" s="7" t="s">
        <v>587</v>
      </c>
      <c r="I144" s="10" t="s">
        <v>655</v>
      </c>
      <c r="J144" s="7">
        <v>1</v>
      </c>
      <c r="K144" s="7"/>
    </row>
    <row r="145" spans="1:11" ht="15.75" thickBot="1" x14ac:dyDescent="0.3">
      <c r="A145" s="1"/>
      <c r="B145" s="11">
        <f t="shared" si="0"/>
        <v>143</v>
      </c>
      <c r="C145" s="13" t="s">
        <v>38</v>
      </c>
      <c r="D145" s="9" t="s">
        <v>183</v>
      </c>
      <c r="E145" s="10" t="s">
        <v>335</v>
      </c>
      <c r="F145" s="9" t="s">
        <v>406</v>
      </c>
      <c r="G145" s="10" t="s">
        <v>527</v>
      </c>
      <c r="H145" s="9" t="s">
        <v>587</v>
      </c>
      <c r="I145" s="10" t="s">
        <v>655</v>
      </c>
      <c r="J145" s="9">
        <v>1</v>
      </c>
      <c r="K145" s="9"/>
    </row>
    <row r="146" spans="1:11" ht="15.75" thickBot="1" x14ac:dyDescent="0.3">
      <c r="A146" s="1"/>
      <c r="B146" s="11">
        <f>ROW(B146) - ROW($B$2)</f>
        <v>144</v>
      </c>
      <c r="C146" s="12" t="s">
        <v>38</v>
      </c>
      <c r="D146" s="7" t="s">
        <v>184</v>
      </c>
      <c r="E146" s="8" t="s">
        <v>336</v>
      </c>
      <c r="F146" s="7" t="s">
        <v>411</v>
      </c>
      <c r="G146" s="8" t="s">
        <v>528</v>
      </c>
      <c r="H146" s="7" t="s">
        <v>551</v>
      </c>
      <c r="I146" s="10" t="s">
        <v>655</v>
      </c>
      <c r="J146" s="7">
        <v>1</v>
      </c>
      <c r="K146" s="7"/>
    </row>
    <row r="147" spans="1:11" ht="15.75" thickBot="1" x14ac:dyDescent="0.3">
      <c r="A147" s="1"/>
      <c r="B147" s="11">
        <f t="shared" si="0"/>
        <v>145</v>
      </c>
      <c r="C147" s="13" t="s">
        <v>38</v>
      </c>
      <c r="D147" s="9" t="s">
        <v>185</v>
      </c>
      <c r="E147" s="10" t="s">
        <v>337</v>
      </c>
      <c r="F147" s="9" t="s">
        <v>412</v>
      </c>
      <c r="G147" s="10" t="s">
        <v>529</v>
      </c>
      <c r="H147" s="9" t="s">
        <v>551</v>
      </c>
      <c r="I147" s="10" t="s">
        <v>655</v>
      </c>
      <c r="J147" s="9">
        <v>1</v>
      </c>
      <c r="K147" s="9"/>
    </row>
    <row r="148" spans="1:11" ht="15.75" thickBot="1" x14ac:dyDescent="0.3">
      <c r="A148" s="1"/>
      <c r="B148" s="11">
        <f>ROW(B148) - ROW($B$2)</f>
        <v>146</v>
      </c>
      <c r="C148" s="12" t="s">
        <v>38</v>
      </c>
      <c r="D148" s="7" t="s">
        <v>186</v>
      </c>
      <c r="E148" s="8" t="s">
        <v>338</v>
      </c>
      <c r="F148" s="7" t="s">
        <v>413</v>
      </c>
      <c r="G148" s="8" t="s">
        <v>530</v>
      </c>
      <c r="H148" s="7" t="s">
        <v>585</v>
      </c>
      <c r="I148" s="10" t="s">
        <v>655</v>
      </c>
      <c r="J148" s="7">
        <v>2</v>
      </c>
      <c r="K148" s="7"/>
    </row>
    <row r="149" spans="1:11" ht="15.75" thickBot="1" x14ac:dyDescent="0.3">
      <c r="A149" s="1"/>
      <c r="B149" s="11">
        <f t="shared" si="0"/>
        <v>147</v>
      </c>
      <c r="C149" s="13" t="s">
        <v>38</v>
      </c>
      <c r="D149" s="9" t="s">
        <v>187</v>
      </c>
      <c r="E149" s="10" t="s">
        <v>329</v>
      </c>
      <c r="F149" s="9" t="s">
        <v>406</v>
      </c>
      <c r="G149" s="10" t="s">
        <v>531</v>
      </c>
      <c r="H149" s="9" t="s">
        <v>585</v>
      </c>
      <c r="I149" s="10" t="s">
        <v>655</v>
      </c>
      <c r="J149" s="9">
        <v>3</v>
      </c>
      <c r="K149" s="9"/>
    </row>
    <row r="150" spans="1:11" ht="15.75" thickBot="1" x14ac:dyDescent="0.3">
      <c r="A150" s="1"/>
      <c r="B150" s="11">
        <f>ROW(B150) - ROW($B$2)</f>
        <v>148</v>
      </c>
      <c r="C150" s="12" t="s">
        <v>38</v>
      </c>
      <c r="D150" s="7" t="s">
        <v>188</v>
      </c>
      <c r="E150" s="8" t="s">
        <v>339</v>
      </c>
      <c r="F150" s="7" t="s">
        <v>414</v>
      </c>
      <c r="G150" s="8" t="s">
        <v>532</v>
      </c>
      <c r="H150" s="7" t="s">
        <v>587</v>
      </c>
      <c r="I150" s="10" t="s">
        <v>655</v>
      </c>
      <c r="J150" s="7">
        <v>1</v>
      </c>
      <c r="K150" s="7"/>
    </row>
    <row r="151" spans="1:11" ht="15.75" thickBot="1" x14ac:dyDescent="0.3">
      <c r="A151" s="1"/>
      <c r="B151" s="11">
        <f t="shared" si="0"/>
        <v>149</v>
      </c>
      <c r="C151" s="13"/>
      <c r="D151" s="9" t="s">
        <v>189</v>
      </c>
      <c r="E151" s="10" t="s">
        <v>340</v>
      </c>
      <c r="F151" s="9" t="s">
        <v>653</v>
      </c>
      <c r="G151" s="10" t="s">
        <v>415</v>
      </c>
      <c r="H151" s="9" t="s">
        <v>550</v>
      </c>
      <c r="I151" s="10" t="s">
        <v>655</v>
      </c>
      <c r="J151" s="9">
        <v>1</v>
      </c>
      <c r="K151" s="9"/>
    </row>
    <row r="152" spans="1:11" ht="15.75" thickBot="1" x14ac:dyDescent="0.3">
      <c r="A152" s="1"/>
      <c r="B152" s="11">
        <f>ROW(B152) - ROW($B$2)</f>
        <v>150</v>
      </c>
      <c r="C152" s="12" t="s">
        <v>38</v>
      </c>
      <c r="D152" s="7" t="s">
        <v>190</v>
      </c>
      <c r="E152" s="8" t="s">
        <v>341</v>
      </c>
      <c r="F152" s="7" t="s">
        <v>416</v>
      </c>
      <c r="G152" s="8" t="s">
        <v>533</v>
      </c>
      <c r="H152" s="7" t="s">
        <v>585</v>
      </c>
      <c r="I152" s="10" t="s">
        <v>655</v>
      </c>
      <c r="J152" s="7">
        <v>1</v>
      </c>
      <c r="K152" s="7"/>
    </row>
    <row r="153" spans="1:11" ht="24.75" thickBot="1" x14ac:dyDescent="0.3">
      <c r="A153" s="1"/>
      <c r="B153" s="11">
        <f t="shared" si="0"/>
        <v>151</v>
      </c>
      <c r="C153" s="13" t="s">
        <v>38</v>
      </c>
      <c r="D153" s="9" t="s">
        <v>191</v>
      </c>
      <c r="E153" s="10" t="s">
        <v>342</v>
      </c>
      <c r="F153" s="9" t="s">
        <v>417</v>
      </c>
      <c r="G153" s="10" t="s">
        <v>534</v>
      </c>
      <c r="H153" s="9" t="s">
        <v>588</v>
      </c>
      <c r="I153" s="10" t="s">
        <v>655</v>
      </c>
      <c r="J153" s="9">
        <v>1</v>
      </c>
      <c r="K153" s="9"/>
    </row>
    <row r="154" spans="1:11" ht="36.75" thickBot="1" x14ac:dyDescent="0.3">
      <c r="A154" s="1"/>
      <c r="B154" s="11">
        <f>ROW(B154) - ROW($B$2)</f>
        <v>152</v>
      </c>
      <c r="C154" s="12" t="s">
        <v>38</v>
      </c>
      <c r="D154" s="7" t="s">
        <v>192</v>
      </c>
      <c r="E154" s="8" t="s">
        <v>343</v>
      </c>
      <c r="F154" s="7" t="s">
        <v>404</v>
      </c>
      <c r="G154" s="8" t="s">
        <v>535</v>
      </c>
      <c r="H154" s="7" t="s">
        <v>589</v>
      </c>
      <c r="I154" s="10" t="s">
        <v>655</v>
      </c>
      <c r="J154" s="7">
        <v>1</v>
      </c>
      <c r="K154" s="7"/>
    </row>
    <row r="155" spans="1:11" ht="15.75" thickBot="1" x14ac:dyDescent="0.3">
      <c r="A155" s="1"/>
      <c r="B155" s="11">
        <f t="shared" si="0"/>
        <v>153</v>
      </c>
      <c r="C155" s="13" t="s">
        <v>39</v>
      </c>
      <c r="D155" s="9" t="s">
        <v>193</v>
      </c>
      <c r="E155" s="10" t="s">
        <v>344</v>
      </c>
      <c r="F155" s="9" t="s">
        <v>418</v>
      </c>
      <c r="G155" s="10" t="s">
        <v>536</v>
      </c>
      <c r="H155" s="9" t="s">
        <v>590</v>
      </c>
      <c r="I155" s="10" t="s">
        <v>647</v>
      </c>
      <c r="J155" s="9">
        <v>1</v>
      </c>
      <c r="K155" s="9"/>
    </row>
    <row r="156" spans="1:11" ht="15.75" thickBot="1" x14ac:dyDescent="0.3">
      <c r="A156" s="1"/>
      <c r="B156" s="11">
        <f>ROW(B156) - ROW($B$2)</f>
        <v>154</v>
      </c>
      <c r="C156" s="12" t="s">
        <v>40</v>
      </c>
      <c r="D156" s="14" t="s">
        <v>194</v>
      </c>
      <c r="E156" s="15" t="s">
        <v>345</v>
      </c>
      <c r="F156" s="14" t="s">
        <v>652</v>
      </c>
      <c r="G156" s="15" t="s">
        <v>419</v>
      </c>
      <c r="H156" s="14" t="s">
        <v>591</v>
      </c>
      <c r="I156" s="15" t="s">
        <v>608</v>
      </c>
      <c r="J156" s="14">
        <v>1</v>
      </c>
      <c r="K156" s="16" t="s">
        <v>654</v>
      </c>
    </row>
    <row r="157" spans="1:11" ht="15.75" thickBot="1" x14ac:dyDescent="0.3">
      <c r="A157" s="1"/>
      <c r="B157" s="11">
        <f t="shared" si="0"/>
        <v>155</v>
      </c>
      <c r="C157" s="13" t="s">
        <v>40</v>
      </c>
      <c r="D157" s="9" t="s">
        <v>195</v>
      </c>
      <c r="E157" s="10" t="s">
        <v>345</v>
      </c>
      <c r="F157" s="7" t="s">
        <v>652</v>
      </c>
      <c r="G157" s="10" t="s">
        <v>419</v>
      </c>
      <c r="H157" s="9" t="s">
        <v>591</v>
      </c>
      <c r="I157" s="10" t="s">
        <v>647</v>
      </c>
      <c r="J157" s="9">
        <v>1</v>
      </c>
      <c r="K157" s="9"/>
    </row>
    <row r="158" spans="1:11" ht="15.75" thickBot="1" x14ac:dyDescent="0.3">
      <c r="A158" s="1"/>
      <c r="B158" s="11">
        <f>ROW(B158) - ROW($B$2)</f>
        <v>156</v>
      </c>
      <c r="C158" s="12"/>
      <c r="D158" s="7" t="s">
        <v>196</v>
      </c>
      <c r="E158" s="8" t="s">
        <v>346</v>
      </c>
      <c r="F158" s="7" t="s">
        <v>652</v>
      </c>
      <c r="G158" s="8" t="s">
        <v>537</v>
      </c>
      <c r="H158" s="7" t="s">
        <v>592</v>
      </c>
      <c r="I158" s="8" t="s">
        <v>648</v>
      </c>
      <c r="J158" s="7">
        <v>1</v>
      </c>
      <c r="K158" s="7"/>
    </row>
    <row r="159" spans="1:11" ht="24.75" thickBot="1" x14ac:dyDescent="0.3">
      <c r="B159" s="11">
        <f t="shared" si="0"/>
        <v>157</v>
      </c>
      <c r="C159" s="13" t="s">
        <v>40</v>
      </c>
      <c r="D159" s="9" t="s">
        <v>197</v>
      </c>
      <c r="E159" s="10" t="s">
        <v>347</v>
      </c>
      <c r="F159" s="9" t="s">
        <v>420</v>
      </c>
      <c r="G159" s="10" t="s">
        <v>538</v>
      </c>
      <c r="H159" s="9" t="s">
        <v>593</v>
      </c>
      <c r="I159" s="10" t="s">
        <v>647</v>
      </c>
      <c r="J159" s="9">
        <v>1</v>
      </c>
      <c r="K159" s="9"/>
    </row>
    <row r="160" spans="1:11" ht="24.75" thickBot="1" x14ac:dyDescent="0.3">
      <c r="B160" s="11">
        <f t="shared" ref="B160" si="2">ROW(B160) - ROW($B$2)</f>
        <v>158</v>
      </c>
      <c r="C160" s="13" t="s">
        <v>661</v>
      </c>
      <c r="D160" s="9" t="s">
        <v>10</v>
      </c>
      <c r="E160" s="10" t="s">
        <v>662</v>
      </c>
      <c r="F160" s="9" t="s">
        <v>652</v>
      </c>
      <c r="G160" s="10" t="s">
        <v>663</v>
      </c>
      <c r="H160" s="9" t="s">
        <v>557</v>
      </c>
      <c r="I160" s="10" t="s">
        <v>655</v>
      </c>
      <c r="J160" s="9">
        <v>1</v>
      </c>
      <c r="K160" s="9"/>
    </row>
    <row r="161" spans="2:11" ht="24.75" thickBot="1" x14ac:dyDescent="0.3">
      <c r="B161" s="11">
        <f>ROW(B161) - ROW($B$2)</f>
        <v>159</v>
      </c>
      <c r="C161" s="13" t="s">
        <v>661</v>
      </c>
      <c r="D161" s="7" t="s">
        <v>664</v>
      </c>
      <c r="E161" s="8" t="s">
        <v>665</v>
      </c>
      <c r="F161" s="9" t="s">
        <v>652</v>
      </c>
      <c r="G161" s="8" t="s">
        <v>666</v>
      </c>
      <c r="H161" s="7" t="s">
        <v>569</v>
      </c>
      <c r="I161" s="10" t="s">
        <v>655</v>
      </c>
      <c r="J161" s="7">
        <v>7</v>
      </c>
      <c r="K161" s="7"/>
    </row>
    <row r="162" spans="2:11" ht="48.75" thickBot="1" x14ac:dyDescent="0.3">
      <c r="B162" s="11">
        <f t="shared" ref="B162:B163" si="3">ROW(B162) - ROW($B$2)</f>
        <v>160</v>
      </c>
      <c r="C162" s="13" t="s">
        <v>661</v>
      </c>
      <c r="D162" s="7" t="s">
        <v>679</v>
      </c>
      <c r="E162" s="8" t="s">
        <v>680</v>
      </c>
      <c r="F162" s="9" t="s">
        <v>652</v>
      </c>
      <c r="G162" s="8" t="s">
        <v>681</v>
      </c>
      <c r="H162" s="7" t="s">
        <v>655</v>
      </c>
      <c r="I162" s="10" t="s">
        <v>655</v>
      </c>
      <c r="J162" s="7">
        <v>1</v>
      </c>
      <c r="K162" s="7"/>
    </row>
    <row r="163" spans="2:11" ht="15.75" thickBot="1" x14ac:dyDescent="0.3">
      <c r="B163" s="11">
        <f t="shared" si="3"/>
        <v>161</v>
      </c>
      <c r="C163" s="13" t="s">
        <v>661</v>
      </c>
      <c r="D163" s="7" t="s">
        <v>682</v>
      </c>
      <c r="E163" s="8" t="s">
        <v>683</v>
      </c>
      <c r="F163" s="9" t="s">
        <v>652</v>
      </c>
      <c r="G163" s="8" t="s">
        <v>684</v>
      </c>
      <c r="H163" s="7" t="s">
        <v>655</v>
      </c>
      <c r="I163" s="10" t="s">
        <v>655</v>
      </c>
      <c r="J163" s="7">
        <v>1</v>
      </c>
      <c r="K163" s="7"/>
    </row>
    <row r="164" spans="2:11" ht="15.75" thickBot="1" x14ac:dyDescent="0.3">
      <c r="B164" s="11">
        <f t="shared" ref="B164:B168" si="4">ROW(B164) - ROW($B$2)</f>
        <v>162</v>
      </c>
      <c r="C164" s="13" t="s">
        <v>661</v>
      </c>
      <c r="D164" s="9" t="s">
        <v>667</v>
      </c>
      <c r="E164" s="10" t="s">
        <v>655</v>
      </c>
      <c r="F164" s="9" t="s">
        <v>652</v>
      </c>
      <c r="G164" s="10" t="s">
        <v>668</v>
      </c>
      <c r="H164" s="9" t="s">
        <v>669</v>
      </c>
      <c r="I164" s="10" t="s">
        <v>655</v>
      </c>
      <c r="J164" s="9">
        <v>1</v>
      </c>
      <c r="K164" s="20" t="s">
        <v>670</v>
      </c>
    </row>
    <row r="165" spans="2:11" ht="15.75" thickBot="1" x14ac:dyDescent="0.3">
      <c r="B165" s="11">
        <f t="shared" si="4"/>
        <v>163</v>
      </c>
      <c r="C165" s="13" t="s">
        <v>661</v>
      </c>
      <c r="D165" s="7" t="s">
        <v>671</v>
      </c>
      <c r="E165" s="8" t="s">
        <v>655</v>
      </c>
      <c r="F165" s="9" t="s">
        <v>652</v>
      </c>
      <c r="G165" s="8" t="s">
        <v>672</v>
      </c>
      <c r="H165" s="9" t="s">
        <v>669</v>
      </c>
      <c r="I165" s="8" t="s">
        <v>655</v>
      </c>
      <c r="J165" s="7">
        <v>4</v>
      </c>
      <c r="K165" s="21" t="s">
        <v>670</v>
      </c>
    </row>
    <row r="166" spans="2:11" ht="51.75" thickBot="1" x14ac:dyDescent="0.3">
      <c r="B166" s="11">
        <f t="shared" si="4"/>
        <v>164</v>
      </c>
      <c r="C166" s="13" t="s">
        <v>661</v>
      </c>
      <c r="D166" s="7" t="s">
        <v>673</v>
      </c>
      <c r="E166" s="8" t="s">
        <v>655</v>
      </c>
      <c r="F166" s="9" t="s">
        <v>652</v>
      </c>
      <c r="G166" s="8" t="s">
        <v>655</v>
      </c>
      <c r="H166" s="7" t="s">
        <v>655</v>
      </c>
      <c r="I166" s="8" t="s">
        <v>655</v>
      </c>
      <c r="J166" s="7"/>
      <c r="K166" s="19" t="s">
        <v>674</v>
      </c>
    </row>
    <row r="167" spans="2:11" ht="24.75" thickBot="1" x14ac:dyDescent="0.3">
      <c r="B167" s="11">
        <f t="shared" si="4"/>
        <v>165</v>
      </c>
      <c r="C167" s="13" t="s">
        <v>661</v>
      </c>
      <c r="D167" s="7" t="s">
        <v>655</v>
      </c>
      <c r="E167" s="8" t="s">
        <v>686</v>
      </c>
      <c r="F167" s="9" t="s">
        <v>652</v>
      </c>
      <c r="G167" s="8" t="s">
        <v>685</v>
      </c>
      <c r="H167" s="7" t="s">
        <v>687</v>
      </c>
      <c r="I167" s="8" t="s">
        <v>655</v>
      </c>
      <c r="J167" s="7">
        <v>1</v>
      </c>
      <c r="K167" s="19"/>
    </row>
    <row r="168" spans="2:11" ht="15.75" thickBot="1" x14ac:dyDescent="0.3">
      <c r="B168" s="11">
        <f t="shared" si="4"/>
        <v>166</v>
      </c>
      <c r="C168" s="13" t="s">
        <v>661</v>
      </c>
      <c r="D168" s="7" t="s">
        <v>688</v>
      </c>
      <c r="E168" s="8" t="s">
        <v>655</v>
      </c>
      <c r="F168" s="9" t="s">
        <v>652</v>
      </c>
      <c r="G168" s="8" t="s">
        <v>689</v>
      </c>
      <c r="H168" s="7" t="s">
        <v>690</v>
      </c>
      <c r="I168" s="8" t="s">
        <v>655</v>
      </c>
      <c r="J168" s="7">
        <v>1</v>
      </c>
      <c r="K168" s="19"/>
    </row>
    <row r="169" spans="2:11" ht="39" thickBot="1" x14ac:dyDescent="0.3">
      <c r="B169" s="11">
        <f>ROW(B169) - ROW($B$2)</f>
        <v>167</v>
      </c>
      <c r="C169" s="13" t="s">
        <v>661</v>
      </c>
      <c r="D169" s="7" t="s">
        <v>675</v>
      </c>
      <c r="E169" s="8" t="s">
        <v>676</v>
      </c>
      <c r="F169" s="9" t="s">
        <v>652</v>
      </c>
      <c r="G169" s="8" t="s">
        <v>677</v>
      </c>
      <c r="H169" s="7" t="s">
        <v>655</v>
      </c>
      <c r="I169" s="8" t="s">
        <v>655</v>
      </c>
      <c r="J169" s="7">
        <v>1</v>
      </c>
      <c r="K169" s="19" t="s">
        <v>678</v>
      </c>
    </row>
  </sheetData>
  <mergeCells count="1">
    <mergeCell ref="I1:K1"/>
  </mergeCells>
  <hyperlinks>
    <hyperlink ref="K164" r:id="rId1"/>
    <hyperlink ref="K165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2025-01-29T09:30:48Z</dcterms:modified>
</cp:coreProperties>
</file>