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05" i="1" l="1"/>
  <c r="B104" i="1"/>
  <c r="B103" i="1"/>
  <c r="B102" i="1"/>
  <c r="B101" i="1"/>
  <c r="B100" i="1"/>
  <c r="B99" i="1" l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<sst xmlns="http://schemas.openxmlformats.org/spreadsheetml/2006/main" count="735" uniqueCount="450">
  <si>
    <t>#</t>
  </si>
  <si>
    <t>Item Type</t>
  </si>
  <si>
    <t>Capacitor</t>
  </si>
  <si>
    <t>(TVS/ESD)</t>
  </si>
  <si>
    <t>Diode</t>
  </si>
  <si>
    <t>TVS Diodes</t>
  </si>
  <si>
    <t>Diodes</t>
  </si>
  <si>
    <t>Schottky Diode</t>
  </si>
  <si>
    <t>Fuses</t>
  </si>
  <si>
    <t>Fuse Holder</t>
  </si>
  <si>
    <t>Terminal Block</t>
  </si>
  <si>
    <t>Ethernet Connectors</t>
  </si>
  <si>
    <t>Male Header</t>
  </si>
  <si>
    <t>Power Connectors</t>
  </si>
  <si>
    <t>Inductors</t>
  </si>
  <si>
    <t>Inductor</t>
  </si>
  <si>
    <t>LED</t>
  </si>
  <si>
    <t>RGB LED</t>
  </si>
  <si>
    <t>IC</t>
  </si>
  <si>
    <t>MOSFETs</t>
  </si>
  <si>
    <t>Resistor</t>
  </si>
  <si>
    <t>Resistors</t>
  </si>
  <si>
    <t>Potentiometer</t>
  </si>
  <si>
    <t>Thermistors</t>
  </si>
  <si>
    <t>Switch</t>
  </si>
  <si>
    <t>Crystal</t>
  </si>
  <si>
    <t>Designator</t>
  </si>
  <si>
    <t>C1, C2, C8, C9, C17, C18, C25, C26, C32, C33</t>
  </si>
  <si>
    <t>C3, C10, C19, C27, C34</t>
  </si>
  <si>
    <t>C4, C11, C20, C28, C36</t>
  </si>
  <si>
    <t>C5, C12, C21, C29, C37, C53, C91, C129, C167</t>
  </si>
  <si>
    <t>C6, C13, C15, C16, C22, C24, C30, C35, C38, C40, C52, C75, C76, C77, C113, C114, C115, C151, C152, C153, C189, C190, C191</t>
  </si>
  <si>
    <t>C7, C14, C23, C31, C39, C41, C48</t>
  </si>
  <si>
    <t>C42, C50, C51</t>
  </si>
  <si>
    <t>C43, C44</t>
  </si>
  <si>
    <t>C45, C46, C47</t>
  </si>
  <si>
    <t>C49</t>
  </si>
  <si>
    <t>C54, C72, C73, C74, C92, C110, C111, C112, C130, C148, C149, C150, C168, C186, C187, C188</t>
  </si>
  <si>
    <t>C55, C61, C63, C65, C66, C71, C81, C83, C87, C88, C90, C93, C99, C101, C103, C104, C109, C119, C121, C125, C126, C128, C131, C137, C139, C141, C142, C147, C157, C159, C163, C164, C166, C169, C175, C177, C179, C180, C185, C195, C197, C201, C202, C204</t>
  </si>
  <si>
    <t>C56, C57, C94, C95, C132, C133, C170, C171</t>
  </si>
  <si>
    <t>C58, C59, C67, C96, C97, C105, C134, C135, C143, C172, C173, C181</t>
  </si>
  <si>
    <t>C60, C98, C136, C174</t>
  </si>
  <si>
    <t>C62, C64, C100, C102, C138, C140, C176, C178</t>
  </si>
  <si>
    <t>C68, C69, C70, C106, C107, C108, C144, C145, C146, C182, C183, C184</t>
  </si>
  <si>
    <t>C78, C79, C80, C116, C117, C118, C154, C155, C156, C192, C193, C194</t>
  </si>
  <si>
    <t>C82, C120, C158, C196</t>
  </si>
  <si>
    <t>C84, C85, C86, C122, C123, C124, C160, C161, C162, C198, C199, C200</t>
  </si>
  <si>
    <t>C89, C127, C165, C203</t>
  </si>
  <si>
    <t>D1, D2, D4, D6, D7</t>
  </si>
  <si>
    <t>D3</t>
  </si>
  <si>
    <t>D5</t>
  </si>
  <si>
    <t>D8</t>
  </si>
  <si>
    <t>D9</t>
  </si>
  <si>
    <t>D10</t>
  </si>
  <si>
    <t>D11, D32, D56, D80, D104</t>
  </si>
  <si>
    <t>D12, D36, D60, D84</t>
  </si>
  <si>
    <t>D13, D20, D21, D24, D37, D44, D45, D48, D61, D68, D69, D72, D85, D92, D93, D96</t>
  </si>
  <si>
    <t>D14, D38, D62, D86</t>
  </si>
  <si>
    <t>D15, D16, D17, D39, D40, D41, D63, D64, D65, D87, D88, D89</t>
  </si>
  <si>
    <t>D18, D19, D22, D23, D33, D34, D35, D42, D43, D46, D47, D57, D58, D59, D66, D67, D70, D71, D81, D82, D83, D90, D91, D94, D95, D105, D106, D107</t>
  </si>
  <si>
    <t>D25, D26, D27, D28, D29, D30, D49, D50, D51, D52, D53, D54, D73, D74, D75, D76, D77, D78, D97, D98, D99, D100, D101, D102</t>
  </si>
  <si>
    <t>D31, D55, D79, D103</t>
  </si>
  <si>
    <t>F1</t>
  </si>
  <si>
    <t>J1, J2, J4, J5, J6</t>
  </si>
  <si>
    <t>J3</t>
  </si>
  <si>
    <t>J7</t>
  </si>
  <si>
    <t>J8, J13, J16, J17, J18, J23, J26, J27, J28, J33, J36, J37, J38, J43, J46, J47</t>
  </si>
  <si>
    <t>J9, J19, J29, J39</t>
  </si>
  <si>
    <t>J10, J20, J30, J40</t>
  </si>
  <si>
    <t>J11, J21, J31, J41</t>
  </si>
  <si>
    <t>J12, J22, J32, J42</t>
  </si>
  <si>
    <t>J14, J24, J34, J44</t>
  </si>
  <si>
    <t>J15, J25, J35, J45</t>
  </si>
  <si>
    <t>L1</t>
  </si>
  <si>
    <t>L2, L3, L4, L5</t>
  </si>
  <si>
    <t>LED1, LED2, LED3, LED4, LED5, LED6, LED7</t>
  </si>
  <si>
    <t>LED8, LED9, LED10, LED11</t>
  </si>
  <si>
    <t>Q1, Q3, Q4, Q5</t>
  </si>
  <si>
    <t>Q2</t>
  </si>
  <si>
    <t>Q6, Q15, Q24, Q33</t>
  </si>
  <si>
    <t>Q7, Q8, Q9, Q10, Q11, Q12, Q13, Q16, Q17, Q18, Q19, Q20, Q21, Q22, Q25, Q26, Q27, Q28, Q29, Q30, Q31, Q34, Q35, Q36, Q37, Q38, Q39, Q40</t>
  </si>
  <si>
    <t>Q14, Q23, Q32, Q41</t>
  </si>
  <si>
    <t>R1, R2, R3, R4, R8</t>
  </si>
  <si>
    <t>R5, R6, R7, R9, R10</t>
  </si>
  <si>
    <t>R11</t>
  </si>
  <si>
    <t>R12, R13</t>
  </si>
  <si>
    <t>R14</t>
  </si>
  <si>
    <t>R15</t>
  </si>
  <si>
    <t>R16</t>
  </si>
  <si>
    <t>R17</t>
  </si>
  <si>
    <t>R18, R19, R22, R23, R24, R26, R28, R30, R33, R34, R35, R36, R37, R38, R39, R40, R41, R42, R43, R44, R45, R46, R47, R48, R49, R50, R51, R52, R53, R54, R55, R56, R57, R58, R59, R60, R61, R62, R63, R64, R65, R66, R70, R73, R131, R132, R142, R147, R148, R149, R150, R151, R153, R155, R156, R161, R162, R163, R165, R167, R169, R172, R173, R174, R175, R176, R177, R178, R179, R180, R181, R182, R183, R184, R185, R186, R187, R188, R189, R190, R191, R192, R193, R194, R195, R196, R197, R198, R199, R200, R201, R202, R203, R204, R205, R209, R212, R270, R271, R281, R286, R287, R288, R289, R290, R292, R294, R295, R300, R301, R302, R304, R306, R308, R311, R312, R313, R314, R315, R316, R317, R318, R319, R320, R321, R322, R323, R324, R325, R326, R327, R328, R329, R330, R331, R332, R333, R334, R335, R336, R337, R338, R339, R340, R341, R342, R343, R344, R348, R351, R409, R410, R420, R425, R426, R427, R428, R429, R431, R433, R434, R439, R440, R441, R443, R445, R447, R450, R451, R452, R453, R454, R455, R456, R457, R458, R459, R460, R461, R462, R463, R464, R465, R466, R467, R468, R469, R470, R471, R472, R473, R474, R475, R476, R477, R478, R479, R480, R481, R482, R483, R487, R490, R548, R549, R559, R564, R565, R566, R567, R568, R570, R572, R573</t>
  </si>
  <si>
    <t>R20, R76, R77, R86, R87, R97, R103, R159, R215, R216, R225, R226, R236, R242, R298, R354, R355, R364, R365, R375, R381, R437, R493, R494, R503, R504, R514, R520</t>
  </si>
  <si>
    <t>R21, R31, R32, R68, R69, R137, R138, R139, R141, R143, R144, R146, R154, R158, R160, R170, R171, R207, R208, R273, R276, R277, R278, R280, R282, R283, R285, R293, R297, R299, R309, R310, R346, R347, R412, R415, R416, R417, R419, R421, R422, R424, R432, R436, R438, R448, R449, R485, R486, R551, R554, R555, R556, R558, R560, R561, R563, R571, R575</t>
  </si>
  <si>
    <t>R25, R88, R89, R90, R91, R102, R110, R111, R112, R116, R117, R118, R119, R120, R121, R140, R145, R164, R227, R228, R229, R230, R241, R249, R250, R251, R255, R256, R257, R258, R259, R260, R279, R284, R303, R366, R367, R368, R369, R380, R388, R389, R390, R394, R395, R396, R397, R398, R399, R418, R423, R442, R505, R506, R507, R508, R519, R527, R528, R529, R533, R534, R535, R536, R537, R538, R557, R562</t>
  </si>
  <si>
    <t>R27, R166, R305, R444</t>
  </si>
  <si>
    <t>R29, R168, R307, R446</t>
  </si>
  <si>
    <t>R67, R71, R74, R206, R210, R213, R345, R349, R352, R484, R488, R491</t>
  </si>
  <si>
    <t>R72, R211, R350, R489</t>
  </si>
  <si>
    <t>R75, R214, R353, R492</t>
  </si>
  <si>
    <t>R78, R80, R100, R217, R219, R239, R356, R358, R378, R495, R497, R517</t>
  </si>
  <si>
    <t>R79, R81, R101, R218, R220, R240, R357, R359, R379, R496, R498, R518</t>
  </si>
  <si>
    <t>R82, R83, R93, R94, R99, R108, R221, R222, R232, R233, R238, R247, R360, R361, R371, R372, R377, R386, R499, R500, R510, R511, R516, R525</t>
  </si>
  <si>
    <t>R84, R85, R104, R223, R224, R243, R362, R363, R382, R501, R502, R521</t>
  </si>
  <si>
    <t>R92, R231, R370, R509, R576, R577, R578, R579</t>
  </si>
  <si>
    <t>R95, R96, R109, R234, R235, R248, R373, R374, R387, R512, R513, R526</t>
  </si>
  <si>
    <t>R98, R237, R376, R515</t>
  </si>
  <si>
    <t>R105, R244, R383, R522</t>
  </si>
  <si>
    <t>R106, R245, R384, R523</t>
  </si>
  <si>
    <t>R107, R246, R385, R524</t>
  </si>
  <si>
    <t>R113, R114, R115, R122, R123, R124, R136, R252, R253, R254, R261, R262, R263, R275, R391, R392, R393, R400, R401, R402, R414, R530, R531, R532, R539, R540, R541, R553</t>
  </si>
  <si>
    <t>R125, R126, R127, R128, R129, R130, R264, R265, R266, R267, R268, R269, R403, R404, R405, R406, R407, R408, R542, R543, R544, R545, R546, R547</t>
  </si>
  <si>
    <t>R133, R152, R157, R272, R291, R296, R411, R430, R435, R550, R569, R574</t>
  </si>
  <si>
    <t>R134</t>
  </si>
  <si>
    <t>R135, R274, R413, R552</t>
  </si>
  <si>
    <t>RT1, RT2, RT3, RT4</t>
  </si>
  <si>
    <t>SW1, SW3, SW5, SW7</t>
  </si>
  <si>
    <t>SW2, SW4, SW6, SW8</t>
  </si>
  <si>
    <t>U1, U2, U3, U4, U5</t>
  </si>
  <si>
    <t>U6</t>
  </si>
  <si>
    <t>U7</t>
  </si>
  <si>
    <t>U8, U12, U16, U20</t>
  </si>
  <si>
    <t>U9, U11, U13, U15, U17, U19, U21, U23</t>
  </si>
  <si>
    <t>U10, U14, U18, U22</t>
  </si>
  <si>
    <t>X1, X2, X3, X4</t>
  </si>
  <si>
    <t>Description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</si>
  <si>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</si>
  <si>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</si>
  <si>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</si>
  <si>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</si>
  <si>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</si>
  <si>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</si>
  <si>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</si>
  <si>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0.22UF 50V X7R 1206</t>
  </si>
  <si>
    <t>CAP CER 47UF 25V X5R 1206</t>
  </si>
  <si>
    <t>CAP CER 6.8PF 50V C0G/NPO 0402</t>
  </si>
  <si>
    <t>CAP CER 0.22UF 100V X7R 0805</t>
  </si>
  <si>
    <t>CAP CER 0.1UF 16V X7R 0402</t>
  </si>
  <si>
    <t>CAP CER 15PF 50V C0G/NPO 0201</t>
  </si>
  <si>
    <t>CAP CER 0.082UF 50V X7R 0603</t>
  </si>
  <si>
    <t>CAP CER 10UF 10V X7R 0603</t>
  </si>
  <si>
    <t>CAP CER 1UF 16V X5R 0402</t>
  </si>
  <si>
    <t>CAP CER 0.033UF 50V X7R 0603</t>
  </si>
  <si>
    <t>35V 220uF ±20% Plugin,D6.3xL12mm Polymer Aluminum Capacitors ROHS</t>
  </si>
  <si>
    <t>CAP CER 0.22UF 25V X5R 0402</t>
  </si>
  <si>
    <t>CAP CER 1000PF 25V X7R 0402</t>
  </si>
  <si>
    <t>CAP CER 4.7UF 10V X5R 0402</t>
  </si>
  <si>
    <t>26.7V 24V SOD-123 ESD and Surge Protection (TVS/ESD) ROHS</t>
  </si>
  <si>
    <t>TVS DIODE 58VWM 93.6VC SMB</t>
  </si>
  <si>
    <t>TVS DIODE 26VWM 42.1VC SMB</t>
  </si>
  <si>
    <t>6V 5V SOD-123 ESD and Surge Protection (TVS/ESD) ROHS</t>
  </si>
  <si>
    <t>TVS SURGE PROTECTOR 1-CH 3.3V</t>
  </si>
  <si>
    <t>TVS DIODE 24VWM 40VC SOT23-3</t>
  </si>
  <si>
    <t>SOT-23 TVS ROHS</t>
  </si>
  <si>
    <t>DIODE SCHOTTKY 100V 1A SMA</t>
  </si>
  <si>
    <t>DIODE BIDIR ESD X4DFN2</t>
  </si>
  <si>
    <t>TVS DIODE 3VWM SOT323-5</t>
  </si>
  <si>
    <t>DIODE SCHOTTKY 100V 150MA SOD123</t>
  </si>
  <si>
    <t>DIODE SCHOTTKY 30V 300MA SOD523</t>
  </si>
  <si>
    <t>DIODE SCHOTTKY 40V 350MA SOD323</t>
  </si>
  <si>
    <t>DIODE SCHOTTKY 100V 3A SMBFLAT</t>
  </si>
  <si>
    <t>PTC RESET FUSE 6V 1.1A 0805</t>
  </si>
  <si>
    <t>FUSE HOLDER BLADE 80V PCB</t>
  </si>
  <si>
    <t>1x3P With Cover Plate 3 1 16mm -40℃~+105℃ 76A 1kV Black 6~14 Straight Needle 16 Plugin,P=16mm Barrier Terminal Blocks ROHS</t>
  </si>
  <si>
    <t>RJ45Receptacle Unshielded 1 Bend-in Gold Phosphor Bronze Without LED Plugin Ethernet Connectors / Modular Connectors (RJ45 RJ11) ROHS</t>
  </si>
  <si>
    <t>Gold 250V 3A Straight Square Pins 2.5mm 2P 260℃ 6mm -40℃~+105℃ 3mm 2.54mm Plugin Black Brass 1x2P Plugin,P=2.54mm Pin Headers ROHS</t>
  </si>
  <si>
    <t>CABLE ADAPTER 6 POS</t>
  </si>
  <si>
    <t>Gold 250V 3A Straight Square Pins 2.5mm 3P 260℃ 6mm -40℃~+105℃ 3mm 2.54mm Plugin Black Brass 1x3P Plugin,P=2.54mm Pin Headers ROHS</t>
  </si>
  <si>
    <t>CONN HEADER VERT 4POS 4.14MM</t>
  </si>
  <si>
    <t>1x2P 18A -40℃~+105℃ 250V Black 12~30 Straight pin 5.08mm 2.5 1 2 Plugin,P=5.08mm Screw terminal ROHS</t>
  </si>
  <si>
    <t>CONN HEADER VERT 9POS 4.14MM</t>
  </si>
  <si>
    <t>Gold 250V 3A Straight Square Pins 2.5mm 5P 260℃ 6mm -40℃~+105℃ 3mm 2.54mm Plugin Black Brass 1x5P Plugin,P=2.54mm Pin Headers ROHS</t>
  </si>
  <si>
    <t>FIXED IND 15UH 9A 28 MOHM SMD</t>
  </si>
  <si>
    <t>1.65A 18uH ±20% 2A SMD,5x5mm Power Inductors ROHS</t>
  </si>
  <si>
    <t>RED LED 0603 Light Emitting Diodes</t>
  </si>
  <si>
    <t>Plugin,D=5mm RGB LEDs ROHS</t>
  </si>
  <si>
    <t>MOSFET N-CH 60V 200A DDPAK</t>
  </si>
  <si>
    <t>MOSFET N-CH 60V 15A PWRDI3333</t>
  </si>
  <si>
    <t>N-CHANNEL 20-V (D-S) MOSFET</t>
  </si>
  <si>
    <t>MOSFET N-CH 100V 180A H2PAK-2</t>
  </si>
  <si>
    <t>IC GATE DRVR LOW-SIDE SOT23-6</t>
  </si>
  <si>
    <t>RES 100K OHM 1% 1/8W 0805</t>
  </si>
  <si>
    <t>RES 3.9K OHM 1% 1/16W 0402</t>
  </si>
  <si>
    <t>RES SMD 698K OHM 0.1% 1/8W 0805</t>
  </si>
  <si>
    <t>RES SMD 100K OHM 0.1% 1/16W 0402</t>
  </si>
  <si>
    <t>RES SMD 51.1K OHM 0.1% 1/8W 0805</t>
  </si>
  <si>
    <t>RES SMD 24.9KOHM 0.1% 1/16W 0402</t>
  </si>
  <si>
    <t>RES 240 OHM 1% 1/16W 0402</t>
  </si>
  <si>
    <t>RES 499 OHM 1% 1/16W 0402</t>
  </si>
  <si>
    <t>RES 0 OHM JUMPER 1/16W 0402</t>
  </si>
  <si>
    <t>RES 22K OHM 1% 1/16W 0402</t>
  </si>
  <si>
    <t>RES 10K OHM 1% 1/16W 0402</t>
  </si>
  <si>
    <t>RES 0 OHM JUMPER 1/8W 0805</t>
  </si>
  <si>
    <t>RES 100K OHM 1% 1/16W 0402</t>
  </si>
  <si>
    <t>RES 200 OHM 1% 1/16W 0402</t>
  </si>
  <si>
    <t>RES SMD 10 OHM 1% 1/10W 0603</t>
  </si>
  <si>
    <t>RES 75 OHM 5% 1/16W 0402</t>
  </si>
  <si>
    <t>RES SMD 68K OHM 0.1% 1/10W 0603</t>
  </si>
  <si>
    <t>RES 27K OHM 1% 1/10W 0603</t>
  </si>
  <si>
    <t>RES 1.5K OHM 1% 1/16W 0402</t>
  </si>
  <si>
    <t>RES 3.9K OHM 1% 1/10W 0603</t>
  </si>
  <si>
    <t>RES 560 OHM 1% 1/16W 0402</t>
  </si>
  <si>
    <t>RES 11K OHM 1% 1/16W 0402</t>
  </si>
  <si>
    <t>62.5mW Thin Film Resistor 50V ±25ppm/℃ ±0.1% 72kΩ 0603 Chip Resistor - Surface Mount ROHS</t>
  </si>
  <si>
    <t>SMD Chip Resistor, 68 kOhm, ï¿½ 1%, 62.5 mW, 0402 [1005 Metric], Thick Film, General Purpose</t>
  </si>
  <si>
    <t>RES 3.01K OHM 1% 1/10W 0603</t>
  </si>
  <si>
    <t>RES 4.7K OHM 1% 1/16W 0402</t>
  </si>
  <si>
    <t>RES 33 OHM 1% 1/16W 0402</t>
  </si>
  <si>
    <t>RES 0.01 OHM 1% 3W 2512</t>
  </si>
  <si>
    <t>RES 120 OHM 1% 1/10W 0603</t>
  </si>
  <si>
    <t>RES 3.3 OHM 1% 1/16W 0402</t>
  </si>
  <si>
    <t>THERMISTOR NTC 10KOHM 3380K 0603</t>
  </si>
  <si>
    <t>SWITCH TACTILE SPST-NO 0.05A 12V</t>
  </si>
  <si>
    <t>2 positions SPST Black Flat Toggle, Raised Style SMD-4P,5.1x6mm DIP Switches ROHS</t>
  </si>
  <si>
    <t>OR Controller N+1 ORing Controller N-Channel 1:1 SOT-23-6</t>
  </si>
  <si>
    <t>IC REG BUCK ADJ 4A 13WQFN</t>
  </si>
  <si>
    <t>IC REG LINEAR 3.3V 1.3A 6DFN</t>
  </si>
  <si>
    <t>3-PHASE BRUSHLESS MOTOR CONTROLL</t>
  </si>
  <si>
    <t>IC TRANSCEIVER HALF 1/1 8SOIC</t>
  </si>
  <si>
    <t>24MHz Surface Mount Crystal 12pF ±10ppm ±20ppm SMD2016-4P Crystals ROHS</t>
  </si>
  <si>
    <t>Footprint</t>
  </si>
  <si>
    <t>UCD-220uF-10mmDia</t>
  </si>
  <si>
    <t>RVT1H470M0607</t>
  </si>
  <si>
    <t>Cap-0805</t>
  </si>
  <si>
    <t>Cap-0603</t>
  </si>
  <si>
    <t>Cap-1206</t>
  </si>
  <si>
    <t>Cap-0402</t>
  </si>
  <si>
    <t>Cap-0201</t>
  </si>
  <si>
    <t>SPE1VM221E12OL</t>
  </si>
  <si>
    <t>SOD-123</t>
  </si>
  <si>
    <t>SMB_</t>
  </si>
  <si>
    <t>SOT-23</t>
  </si>
  <si>
    <t>SMA</t>
  </si>
  <si>
    <t>DFN-2(0.3x0.6)</t>
  </si>
  <si>
    <t>SOT-323-5</t>
  </si>
  <si>
    <t>SOD-523</t>
  </si>
  <si>
    <t>SOD-323</t>
  </si>
  <si>
    <t>Fuse-0805</t>
  </si>
  <si>
    <t>178.6165.0002</t>
  </si>
  <si>
    <t>KF88SM-16.0-3P</t>
  </si>
  <si>
    <t>HC-RJ45-5622-1-6-Y</t>
  </si>
  <si>
    <t>HDR1X2_</t>
  </si>
  <si>
    <t>TC2030-IDC_</t>
  </si>
  <si>
    <t>HDR1X3_</t>
  </si>
  <si>
    <t>1-770174-0</t>
  </si>
  <si>
    <t>DB128L-5.08-2P-BK-S</t>
  </si>
  <si>
    <t>1-770182-0</t>
  </si>
  <si>
    <t>HDR1X5_</t>
  </si>
  <si>
    <t>SRP1265A-150M</t>
  </si>
  <si>
    <t>FNR5040S180MT</t>
  </si>
  <si>
    <t>LED-0603</t>
  </si>
  <si>
    <t>WS2812D-F5</t>
  </si>
  <si>
    <t>TO-263</t>
  </si>
  <si>
    <t>PowerDI-3333-8</t>
  </si>
  <si>
    <t>Sot-23</t>
  </si>
  <si>
    <t>H2PAK-2</t>
  </si>
  <si>
    <t>SOT-23-6</t>
  </si>
  <si>
    <t>RES-0805</t>
  </si>
  <si>
    <t>Res-0402</t>
  </si>
  <si>
    <t>Res-0805</t>
  </si>
  <si>
    <t>Res-0603</t>
  </si>
  <si>
    <t>3386P-1-104TLF</t>
  </si>
  <si>
    <t>RES-2512</t>
  </si>
  <si>
    <t>B3U-1000P</t>
  </si>
  <si>
    <t>DSIC02LSGET</t>
  </si>
  <si>
    <t>13-WQFN-HR (3x2)</t>
  </si>
  <si>
    <t>DFN-6(3x3)</t>
  </si>
  <si>
    <t>64-VFQFPN 9X9</t>
  </si>
  <si>
    <t>SOIC-8(0.154", 3.90mm Width)</t>
  </si>
  <si>
    <t>SMD2016-4P</t>
  </si>
  <si>
    <t>Manufacturer Part Number</t>
  </si>
  <si>
    <t>UCD1H221MNL1GS</t>
  </si>
  <si>
    <t>CC0805JRX7R0BB223</t>
  </si>
  <si>
    <t>GRM21BR61H106ME43L</t>
  </si>
  <si>
    <t>CL10A105KB8NNNC</t>
  </si>
  <si>
    <t>UMK316AB7475KL-T</t>
  </si>
  <si>
    <t>CC1206JKX7R9BB224</t>
  </si>
  <si>
    <t>GRM31CR61E476ME44L</t>
  </si>
  <si>
    <t>CC0402CRNPO9BN6R8</t>
  </si>
  <si>
    <t>CC0805KKX7R0BB224</t>
  </si>
  <si>
    <t>CC0402JRX7R7BB104</t>
  </si>
  <si>
    <t>CC0201JRNPO9BN150</t>
  </si>
  <si>
    <t>CC0603KRX7R9BB823</t>
  </si>
  <si>
    <t>GRM188Z71A106KA73D</t>
  </si>
  <si>
    <t>CC0402KRX5R7BB105</t>
  </si>
  <si>
    <t>CL10B333KB8NNNC</t>
  </si>
  <si>
    <t>CC0402KRX5R8BB224</t>
  </si>
  <si>
    <t>CC0402KRX7R8BB102</t>
  </si>
  <si>
    <t>CC0402KRX5R6BB475</t>
  </si>
  <si>
    <t>AZ4024-01G</t>
  </si>
  <si>
    <t>SMBJ58A-13-F</t>
  </si>
  <si>
    <t>SMBJ26A-13-F</t>
  </si>
  <si>
    <t>AZ3005-01G</t>
  </si>
  <si>
    <t>AZ3003-01G</t>
  </si>
  <si>
    <t>CDSOT23-T24CAN-Q</t>
  </si>
  <si>
    <t>SM712</t>
  </si>
  <si>
    <t>STPS1H100A</t>
  </si>
  <si>
    <t>ESDM2033MX4T5G</t>
  </si>
  <si>
    <t>ESDALC6V1W5</t>
  </si>
  <si>
    <t>BAT46ZFILM</t>
  </si>
  <si>
    <t>BAT30KFILM</t>
  </si>
  <si>
    <t>BAT48JFILM</t>
  </si>
  <si>
    <t>STPS3H100UF</t>
  </si>
  <si>
    <t>0805L110SLYR</t>
  </si>
  <si>
    <t>X6511WV-02H-C60D30</t>
  </si>
  <si>
    <t>TC2030-IDC</t>
  </si>
  <si>
    <t>X6511WV-03H-C60D30</t>
  </si>
  <si>
    <t>X6511WV-05H-C60D30</t>
  </si>
  <si>
    <t>NCD0603R3</t>
  </si>
  <si>
    <t>CSD18542KTT</t>
  </si>
  <si>
    <t>DMT6007LFG-7</t>
  </si>
  <si>
    <t>SI2302CDS</t>
  </si>
  <si>
    <t>STH240N10F7-2</t>
  </si>
  <si>
    <t>PM8851D</t>
  </si>
  <si>
    <t>RC0805FR-07100KL</t>
  </si>
  <si>
    <t>RC0402FR-073K9L</t>
  </si>
  <si>
    <t>RT0805BRD07698KL</t>
  </si>
  <si>
    <t>RT0402BRD07100KL</t>
  </si>
  <si>
    <t>RT0805BRD0751K1L</t>
  </si>
  <si>
    <t>RT0402BRD0724K9L</t>
  </si>
  <si>
    <t>RC0402FR-07240RL</t>
  </si>
  <si>
    <t>RC0402FR-07499RL</t>
  </si>
  <si>
    <t>RC0402FR-070RL</t>
  </si>
  <si>
    <t>RC0402FR-0722KL</t>
  </si>
  <si>
    <t>RC0402FR-0710KL</t>
  </si>
  <si>
    <t>RC0805FR-070RL</t>
  </si>
  <si>
    <t>RC0402FR-07100KL</t>
  </si>
  <si>
    <t>RC0402FR-07200RL</t>
  </si>
  <si>
    <t>RC0603FR-0710RL</t>
  </si>
  <si>
    <t>RC0402JR-0775RL</t>
  </si>
  <si>
    <t>RT0603BRD0768KL</t>
  </si>
  <si>
    <t>RC0603FR-0727KL</t>
  </si>
  <si>
    <t>RC0402FR-071K5L</t>
  </si>
  <si>
    <t>RC0603FR-073K9L</t>
  </si>
  <si>
    <t>RC0402FR-07560RL</t>
  </si>
  <si>
    <t>RC0402FR-0711KL</t>
  </si>
  <si>
    <t>AR03BTCX7202N</t>
  </si>
  <si>
    <t>RC0603FR-073K01L</t>
  </si>
  <si>
    <t>RC0402FR-074K7L</t>
  </si>
  <si>
    <t>RC0402FR-0733RL</t>
  </si>
  <si>
    <t>CRA2512-FZ-R010ELF</t>
  </si>
  <si>
    <t>RC0603FR-07120RL</t>
  </si>
  <si>
    <t>RC0402FR-073R3L</t>
  </si>
  <si>
    <t>NCP18XH103F03RB</t>
  </si>
  <si>
    <t>LM74700QDBVRQ1</t>
  </si>
  <si>
    <t>LM60440AQRPKRQ1</t>
  </si>
  <si>
    <t>ST1L05APU33R</t>
  </si>
  <si>
    <t>STSPIN32G4</t>
  </si>
  <si>
    <t>THVD1449DR</t>
  </si>
  <si>
    <t>TCAN3414DR</t>
  </si>
  <si>
    <t>XL7EL89COI-111YLC-24M</t>
  </si>
  <si>
    <t>Manufacturer</t>
  </si>
  <si>
    <t>Nichicon</t>
  </si>
  <si>
    <t>ROQANG</t>
  </si>
  <si>
    <t>Yageo</t>
  </si>
  <si>
    <t>Murata</t>
  </si>
  <si>
    <t>Samsung</t>
  </si>
  <si>
    <t>Taiyo Yuden</t>
  </si>
  <si>
    <t>Yunxing</t>
  </si>
  <si>
    <t>AMAZING</t>
  </si>
  <si>
    <t>Amazing</t>
  </si>
  <si>
    <t>Bourns</t>
  </si>
  <si>
    <t>TECH PUBLIC</t>
  </si>
  <si>
    <t>STMicroelectronics</t>
  </si>
  <si>
    <t>ON Semiconductor</t>
  </si>
  <si>
    <t>Littelfuse</t>
  </si>
  <si>
    <t>Littelfuse Wickmann</t>
  </si>
  <si>
    <t>Cixi Kefa Elec</t>
  </si>
  <si>
    <t>HCTL</t>
  </si>
  <si>
    <t>XKB</t>
  </si>
  <si>
    <t>Tag-Connect</t>
  </si>
  <si>
    <t>TE Connectivity</t>
  </si>
  <si>
    <t>DIBO</t>
  </si>
  <si>
    <t>cjiang (Changjiang Microelectronics Tech)</t>
  </si>
  <si>
    <t>Foshan NationStar Optoelectronics</t>
  </si>
  <si>
    <t>Worldsemi</t>
  </si>
  <si>
    <t>Texas Instruments</t>
  </si>
  <si>
    <t>Viking Tech</t>
  </si>
  <si>
    <t>BOURNS</t>
  </si>
  <si>
    <t>Omron</t>
  </si>
  <si>
    <t>DongGuan</t>
  </si>
  <si>
    <t>YXC</t>
  </si>
  <si>
    <t>220uF</t>
  </si>
  <si>
    <t>47uF</t>
  </si>
  <si>
    <t>22nF</t>
  </si>
  <si>
    <t>10uF</t>
  </si>
  <si>
    <t>1uF</t>
  </si>
  <si>
    <t>0.1uF</t>
  </si>
  <si>
    <t>4.7uF</t>
  </si>
  <si>
    <t>220nF</t>
  </si>
  <si>
    <t>6.8pF</t>
  </si>
  <si>
    <t>15pF</t>
  </si>
  <si>
    <t>82nF</t>
  </si>
  <si>
    <t>33nF</t>
  </si>
  <si>
    <t>1nF</t>
  </si>
  <si>
    <t>15uH</t>
  </si>
  <si>
    <t>18uH</t>
  </si>
  <si>
    <t>100K</t>
  </si>
  <si>
    <t>3.9K</t>
  </si>
  <si>
    <t>698K</t>
  </si>
  <si>
    <t>51.1K</t>
  </si>
  <si>
    <t>24.9K</t>
  </si>
  <si>
    <t>240R</t>
  </si>
  <si>
    <t>499R</t>
  </si>
  <si>
    <t>0R</t>
  </si>
  <si>
    <t>22K</t>
  </si>
  <si>
    <t>10K</t>
  </si>
  <si>
    <t>200R</t>
  </si>
  <si>
    <t>10R</t>
  </si>
  <si>
    <t>DNP</t>
  </si>
  <si>
    <t>75R</t>
  </si>
  <si>
    <t>68K</t>
  </si>
  <si>
    <t>27K</t>
  </si>
  <si>
    <t>1.5K</t>
  </si>
  <si>
    <t>560R</t>
  </si>
  <si>
    <t>11K</t>
  </si>
  <si>
    <t>72K</t>
  </si>
  <si>
    <t>3.01K</t>
  </si>
  <si>
    <t>4.7K</t>
  </si>
  <si>
    <t>33R</t>
  </si>
  <si>
    <t>10mΩ</t>
  </si>
  <si>
    <t>120R</t>
  </si>
  <si>
    <t>3.3R</t>
  </si>
  <si>
    <t>24MHz</t>
  </si>
  <si>
    <t>Quantity</t>
  </si>
  <si>
    <t>CL10B104KB8WPNC</t>
  </si>
  <si>
    <t>Value</t>
  </si>
  <si>
    <t>Remarks</t>
  </si>
  <si>
    <t>-</t>
  </si>
  <si>
    <t>DO NOT PLACE</t>
  </si>
  <si>
    <t>Peripheral</t>
  </si>
  <si>
    <t>Fuse</t>
  </si>
  <si>
    <t>Custom</t>
  </si>
  <si>
    <t>Shunt Jumper</t>
  </si>
  <si>
    <t>Open top 3A 2.54mm P=2.54mm Shunts, Jumpers ROHS</t>
  </si>
  <si>
    <t>X2541-A1NIB</t>
  </si>
  <si>
    <t>XKB Connection</t>
  </si>
  <si>
    <t>Tag Connect Cable</t>
  </si>
  <si>
    <t>TC2030-CTX 6-Pin Cable for ARM Cortex ATMEL</t>
  </si>
  <si>
    <t>TC2030-CTX</t>
  </si>
  <si>
    <t>Qty: 2 cables per whole order</t>
  </si>
  <si>
    <t>0287001.PXCN</t>
  </si>
  <si>
    <t>32V 1kA Blade fuse 1A Automotive Fuses ROHS</t>
  </si>
  <si>
    <t>0287020.PXCN</t>
  </si>
  <si>
    <t>32V 1kA Blade fuse 20A Automotive Fuses ROHS</t>
  </si>
  <si>
    <t>Servo Motor</t>
  </si>
  <si>
    <t xml:space="preserve"> Should be provided by Client</t>
  </si>
  <si>
    <t>Brake Resistor</t>
  </si>
  <si>
    <t>150W 5R</t>
  </si>
  <si>
    <t>4 depends on the client also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</si>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</sst>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.aliexpress.com/item/10050064089962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5"/>
  <sheetViews>
    <sheetView tabSelected="1" topLeftCell="A67" workbookViewId="0">
      <selection activeCell="D107" sqref="D107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16.7109375" bestFit="1" customWidth="1"/>
    <col min="11" max="11" width="11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26</v>
      </c>
      <c r="E2" s="6" t="s">
        <v>124</v>
      </c>
      <c r="F2" s="5" t="s">
        <v>219</v>
      </c>
      <c r="G2" s="6" t="s">
        <v>269</v>
      </c>
      <c r="H2" s="5" t="s">
        <v>350</v>
      </c>
      <c r="I2" s="6" t="s">
        <v>425</v>
      </c>
      <c r="J2" s="5" t="s">
        <v>423</v>
      </c>
      <c r="K2" s="5" t="s">
        <v>426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27</v>
      </c>
      <c r="E3" s="8" t="s">
        <v>125</v>
      </c>
      <c r="F3" s="7" t="s">
        <v>220</v>
      </c>
      <c r="G3" s="8" t="s">
        <v>270</v>
      </c>
      <c r="H3" s="7" t="s">
        <v>351</v>
      </c>
      <c r="I3" s="8" t="s">
        <v>381</v>
      </c>
      <c r="J3" s="7">
        <v>10</v>
      </c>
      <c r="K3" s="7"/>
    </row>
    <row r="4" spans="1:11" ht="36.75" thickBot="1" x14ac:dyDescent="0.3">
      <c r="A4" s="1"/>
      <c r="B4" s="11">
        <f t="shared" ref="B4:B98" si="0">ROW(B4) - ROW($B$2)</f>
        <v>2</v>
      </c>
      <c r="C4" s="13" t="s">
        <v>2</v>
      </c>
      <c r="D4" s="9" t="s">
        <v>28</v>
      </c>
      <c r="E4" s="10" t="s">
        <v>126</v>
      </c>
      <c r="F4" s="9" t="s">
        <v>221</v>
      </c>
      <c r="G4" s="10" t="s">
        <v>221</v>
      </c>
      <c r="H4" s="9" t="s">
        <v>352</v>
      </c>
      <c r="I4" s="10" t="s">
        <v>382</v>
      </c>
      <c r="J4" s="9">
        <v>5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29</v>
      </c>
      <c r="E5" s="8" t="s">
        <v>127</v>
      </c>
      <c r="F5" s="7" t="s">
        <v>222</v>
      </c>
      <c r="G5" s="8" t="s">
        <v>271</v>
      </c>
      <c r="H5" s="7" t="s">
        <v>353</v>
      </c>
      <c r="I5" s="8" t="s">
        <v>383</v>
      </c>
      <c r="J5" s="7">
        <v>5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30</v>
      </c>
      <c r="E6" s="10" t="s">
        <v>128</v>
      </c>
      <c r="F6" s="9" t="s">
        <v>222</v>
      </c>
      <c r="G6" s="10" t="s">
        <v>272</v>
      </c>
      <c r="H6" s="9" t="s">
        <v>354</v>
      </c>
      <c r="I6" s="10" t="s">
        <v>384</v>
      </c>
      <c r="J6" s="9">
        <v>9</v>
      </c>
      <c r="K6" s="9"/>
    </row>
    <row r="7" spans="1:11" ht="36.75" thickBot="1" x14ac:dyDescent="0.3">
      <c r="A7" s="1"/>
      <c r="B7" s="11">
        <f>ROW(B7) - ROW($B$2)</f>
        <v>5</v>
      </c>
      <c r="C7" s="13" t="s">
        <v>2</v>
      </c>
      <c r="D7" s="7" t="s">
        <v>31</v>
      </c>
      <c r="E7" s="8" t="s">
        <v>129</v>
      </c>
      <c r="F7" s="7" t="s">
        <v>223</v>
      </c>
      <c r="G7" s="8" t="s">
        <v>273</v>
      </c>
      <c r="H7" s="7" t="s">
        <v>355</v>
      </c>
      <c r="I7" s="8" t="s">
        <v>385</v>
      </c>
      <c r="J7" s="7">
        <v>23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32</v>
      </c>
      <c r="E8" s="10" t="s">
        <v>130</v>
      </c>
      <c r="F8" s="9" t="s">
        <v>223</v>
      </c>
      <c r="G8" s="10" t="s">
        <v>424</v>
      </c>
      <c r="H8" s="7" t="s">
        <v>355</v>
      </c>
      <c r="I8" s="10" t="s">
        <v>386</v>
      </c>
      <c r="J8" s="9">
        <v>7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33</v>
      </c>
      <c r="E9" s="8" t="s">
        <v>131</v>
      </c>
      <c r="F9" s="7" t="s">
        <v>224</v>
      </c>
      <c r="G9" s="8" t="s">
        <v>274</v>
      </c>
      <c r="H9" s="7" t="s">
        <v>356</v>
      </c>
      <c r="I9" s="8" t="s">
        <v>387</v>
      </c>
      <c r="J9" s="7">
        <v>3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34</v>
      </c>
      <c r="E10" s="10" t="s">
        <v>132</v>
      </c>
      <c r="F10" s="9" t="s">
        <v>224</v>
      </c>
      <c r="G10" s="10" t="s">
        <v>275</v>
      </c>
      <c r="H10" s="9" t="s">
        <v>353</v>
      </c>
      <c r="I10" s="10" t="s">
        <v>388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35</v>
      </c>
      <c r="E11" s="8" t="s">
        <v>133</v>
      </c>
      <c r="F11" s="7" t="s">
        <v>224</v>
      </c>
      <c r="G11" s="8" t="s">
        <v>276</v>
      </c>
      <c r="H11" s="7" t="s">
        <v>354</v>
      </c>
      <c r="I11" s="8" t="s">
        <v>382</v>
      </c>
      <c r="J11" s="7">
        <v>3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36</v>
      </c>
      <c r="E12" s="10" t="s">
        <v>134</v>
      </c>
      <c r="F12" s="9" t="s">
        <v>225</v>
      </c>
      <c r="G12" s="10" t="s">
        <v>277</v>
      </c>
      <c r="H12" s="9" t="s">
        <v>353</v>
      </c>
      <c r="I12" s="10" t="s">
        <v>389</v>
      </c>
      <c r="J12" s="9">
        <v>1</v>
      </c>
      <c r="K12" s="9"/>
    </row>
    <row r="13" spans="1:11" ht="24.75" thickBot="1" x14ac:dyDescent="0.3">
      <c r="A13" s="1"/>
      <c r="B13" s="11">
        <f>ROW(B13) - ROW($B$2)</f>
        <v>11</v>
      </c>
      <c r="C13" s="13" t="s">
        <v>2</v>
      </c>
      <c r="D13" s="7" t="s">
        <v>37</v>
      </c>
      <c r="E13" s="8" t="s">
        <v>135</v>
      </c>
      <c r="F13" s="7" t="s">
        <v>222</v>
      </c>
      <c r="G13" s="8" t="s">
        <v>278</v>
      </c>
      <c r="H13" s="7" t="s">
        <v>353</v>
      </c>
      <c r="I13" s="8" t="s">
        <v>388</v>
      </c>
      <c r="J13" s="7">
        <v>16</v>
      </c>
      <c r="K13" s="7"/>
    </row>
    <row r="14" spans="1:11" ht="72.75" thickBot="1" x14ac:dyDescent="0.3">
      <c r="A14" s="1"/>
      <c r="B14" s="11">
        <f t="shared" si="0"/>
        <v>12</v>
      </c>
      <c r="C14" s="13" t="s">
        <v>2</v>
      </c>
      <c r="D14" s="9" t="s">
        <v>38</v>
      </c>
      <c r="E14" s="10" t="s">
        <v>136</v>
      </c>
      <c r="F14" s="9" t="s">
        <v>225</v>
      </c>
      <c r="G14" s="10" t="s">
        <v>279</v>
      </c>
      <c r="H14" s="9" t="s">
        <v>353</v>
      </c>
      <c r="I14" s="10" t="s">
        <v>386</v>
      </c>
      <c r="J14" s="9">
        <v>44</v>
      </c>
      <c r="K14" s="9"/>
    </row>
    <row r="15" spans="1:11" ht="15.75" thickBot="1" x14ac:dyDescent="0.3">
      <c r="A15" s="1"/>
      <c r="B15" s="11">
        <f>ROW(B15) - ROW($B$2)</f>
        <v>13</v>
      </c>
      <c r="C15" s="13" t="s">
        <v>2</v>
      </c>
      <c r="D15" s="7" t="s">
        <v>39</v>
      </c>
      <c r="E15" s="8" t="s">
        <v>137</v>
      </c>
      <c r="F15" s="7" t="s">
        <v>226</v>
      </c>
      <c r="G15" s="8" t="s">
        <v>280</v>
      </c>
      <c r="H15" s="7" t="s">
        <v>353</v>
      </c>
      <c r="I15" s="8" t="s">
        <v>390</v>
      </c>
      <c r="J15" s="7">
        <v>8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2</v>
      </c>
      <c r="D16" s="9" t="s">
        <v>40</v>
      </c>
      <c r="E16" s="10" t="s">
        <v>138</v>
      </c>
      <c r="F16" s="9" t="s">
        <v>223</v>
      </c>
      <c r="G16" s="10" t="s">
        <v>281</v>
      </c>
      <c r="H16" s="9" t="s">
        <v>353</v>
      </c>
      <c r="I16" s="10" t="s">
        <v>391</v>
      </c>
      <c r="J16" s="9">
        <v>12</v>
      </c>
      <c r="K16" s="9"/>
    </row>
    <row r="17" spans="1:11" ht="15.75" thickBot="1" x14ac:dyDescent="0.3">
      <c r="A17" s="1"/>
      <c r="B17" s="11">
        <f>ROW(B17) - ROW($B$2)</f>
        <v>15</v>
      </c>
      <c r="C17" s="13" t="s">
        <v>2</v>
      </c>
      <c r="D17" s="7" t="s">
        <v>41</v>
      </c>
      <c r="E17" s="8" t="s">
        <v>139</v>
      </c>
      <c r="F17" s="7" t="s">
        <v>223</v>
      </c>
      <c r="G17" s="8" t="s">
        <v>282</v>
      </c>
      <c r="H17" s="7" t="s">
        <v>354</v>
      </c>
      <c r="I17" s="8" t="s">
        <v>384</v>
      </c>
      <c r="J17" s="7">
        <v>4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42</v>
      </c>
      <c r="E18" s="10" t="s">
        <v>140</v>
      </c>
      <c r="F18" s="9" t="s">
        <v>225</v>
      </c>
      <c r="G18" s="10" t="s">
        <v>283</v>
      </c>
      <c r="H18" s="9" t="s">
        <v>353</v>
      </c>
      <c r="I18" s="10" t="s">
        <v>385</v>
      </c>
      <c r="J18" s="9">
        <v>8</v>
      </c>
      <c r="K18" s="9"/>
    </row>
    <row r="19" spans="1:11" ht="24.75" thickBot="1" x14ac:dyDescent="0.3">
      <c r="A19" s="1"/>
      <c r="B19" s="11">
        <f>ROW(B19) - ROW($B$2)</f>
        <v>17</v>
      </c>
      <c r="C19" s="13" t="s">
        <v>2</v>
      </c>
      <c r="D19" s="7" t="s">
        <v>43</v>
      </c>
      <c r="E19" s="8" t="s">
        <v>141</v>
      </c>
      <c r="F19" s="7" t="s">
        <v>223</v>
      </c>
      <c r="G19" s="8" t="s">
        <v>284</v>
      </c>
      <c r="H19" s="7" t="s">
        <v>355</v>
      </c>
      <c r="I19" s="8" t="s">
        <v>392</v>
      </c>
      <c r="J19" s="7">
        <v>12</v>
      </c>
      <c r="K19" s="7"/>
    </row>
    <row r="20" spans="1:11" ht="24.75" thickBot="1" x14ac:dyDescent="0.3">
      <c r="A20" s="1"/>
      <c r="B20" s="11">
        <f t="shared" si="0"/>
        <v>18</v>
      </c>
      <c r="C20" s="13" t="s">
        <v>2</v>
      </c>
      <c r="D20" s="9" t="s">
        <v>44</v>
      </c>
      <c r="E20" s="10" t="s">
        <v>142</v>
      </c>
      <c r="F20" s="9" t="s">
        <v>227</v>
      </c>
      <c r="G20" s="10" t="s">
        <v>227</v>
      </c>
      <c r="H20" s="9" t="s">
        <v>357</v>
      </c>
      <c r="I20" s="10" t="s">
        <v>381</v>
      </c>
      <c r="J20" s="9">
        <v>12</v>
      </c>
      <c r="K20" s="9"/>
    </row>
    <row r="21" spans="1:11" ht="15.75" thickBot="1" x14ac:dyDescent="0.3">
      <c r="A21" s="1"/>
      <c r="B21" s="11">
        <f>ROW(B21) - ROW($B$2)</f>
        <v>19</v>
      </c>
      <c r="C21" s="13" t="s">
        <v>2</v>
      </c>
      <c r="D21" s="7" t="s">
        <v>45</v>
      </c>
      <c r="E21" s="8" t="s">
        <v>143</v>
      </c>
      <c r="F21" s="7" t="s">
        <v>225</v>
      </c>
      <c r="G21" s="8" t="s">
        <v>285</v>
      </c>
      <c r="H21" s="7" t="s">
        <v>353</v>
      </c>
      <c r="I21" s="8" t="s">
        <v>388</v>
      </c>
      <c r="J21" s="7">
        <v>4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2</v>
      </c>
      <c r="D22" s="9" t="s">
        <v>46</v>
      </c>
      <c r="E22" s="10" t="s">
        <v>144</v>
      </c>
      <c r="F22" s="9" t="s">
        <v>225</v>
      </c>
      <c r="G22" s="10" t="s">
        <v>286</v>
      </c>
      <c r="H22" s="9" t="s">
        <v>353</v>
      </c>
      <c r="I22" s="10" t="s">
        <v>393</v>
      </c>
      <c r="J22" s="9">
        <v>12</v>
      </c>
      <c r="K22" s="9"/>
    </row>
    <row r="23" spans="1:11" ht="15.75" thickBot="1" x14ac:dyDescent="0.3">
      <c r="A23" s="1"/>
      <c r="B23" s="11">
        <f>ROW(B23) - ROW($B$2)</f>
        <v>21</v>
      </c>
      <c r="C23" s="13" t="s">
        <v>2</v>
      </c>
      <c r="D23" s="7" t="s">
        <v>47</v>
      </c>
      <c r="E23" s="8" t="s">
        <v>145</v>
      </c>
      <c r="F23" s="7" t="s">
        <v>225</v>
      </c>
      <c r="G23" s="8" t="s">
        <v>287</v>
      </c>
      <c r="H23" s="7" t="s">
        <v>353</v>
      </c>
      <c r="I23" s="8" t="s">
        <v>387</v>
      </c>
      <c r="J23" s="7">
        <v>4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3</v>
      </c>
      <c r="D24" s="9" t="s">
        <v>48</v>
      </c>
      <c r="E24" s="10" t="s">
        <v>146</v>
      </c>
      <c r="F24" s="9" t="s">
        <v>228</v>
      </c>
      <c r="G24" s="10" t="s">
        <v>288</v>
      </c>
      <c r="H24" s="9" t="s">
        <v>358</v>
      </c>
      <c r="I24" s="10" t="s">
        <v>427</v>
      </c>
      <c r="J24" s="9">
        <v>5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4</v>
      </c>
      <c r="D25" s="7" t="s">
        <v>49</v>
      </c>
      <c r="E25" s="8" t="s">
        <v>147</v>
      </c>
      <c r="F25" s="7" t="s">
        <v>229</v>
      </c>
      <c r="G25" s="8" t="s">
        <v>289</v>
      </c>
      <c r="H25" s="7" t="s">
        <v>6</v>
      </c>
      <c r="I25" s="10" t="s">
        <v>427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5</v>
      </c>
      <c r="D26" s="9" t="s">
        <v>50</v>
      </c>
      <c r="E26" s="10" t="s">
        <v>148</v>
      </c>
      <c r="F26" s="9" t="s">
        <v>229</v>
      </c>
      <c r="G26" s="10" t="s">
        <v>290</v>
      </c>
      <c r="H26" s="9" t="s">
        <v>6</v>
      </c>
      <c r="I26" s="10" t="s">
        <v>427</v>
      </c>
      <c r="J26" s="9">
        <v>1</v>
      </c>
      <c r="K26" s="9"/>
    </row>
    <row r="27" spans="1:11" ht="24.75" thickBot="1" x14ac:dyDescent="0.3">
      <c r="A27" s="1"/>
      <c r="B27" s="11">
        <f>ROW(B27) - ROW($B$2)</f>
        <v>25</v>
      </c>
      <c r="C27" s="12" t="s">
        <v>3</v>
      </c>
      <c r="D27" s="7" t="s">
        <v>51</v>
      </c>
      <c r="E27" s="8" t="s">
        <v>149</v>
      </c>
      <c r="F27" s="7" t="s">
        <v>228</v>
      </c>
      <c r="G27" s="8" t="s">
        <v>291</v>
      </c>
      <c r="H27" s="7" t="s">
        <v>358</v>
      </c>
      <c r="I27" s="10" t="s">
        <v>427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4</v>
      </c>
      <c r="D28" s="9" t="s">
        <v>52</v>
      </c>
      <c r="E28" s="10" t="s">
        <v>150</v>
      </c>
      <c r="F28" s="9" t="s">
        <v>228</v>
      </c>
      <c r="G28" s="10" t="s">
        <v>292</v>
      </c>
      <c r="H28" s="9" t="s">
        <v>359</v>
      </c>
      <c r="I28" s="10" t="s">
        <v>427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5</v>
      </c>
      <c r="D29" s="7" t="s">
        <v>53</v>
      </c>
      <c r="E29" s="8" t="s">
        <v>151</v>
      </c>
      <c r="F29" s="7" t="s">
        <v>230</v>
      </c>
      <c r="G29" s="8" t="s">
        <v>293</v>
      </c>
      <c r="H29" s="7" t="s">
        <v>360</v>
      </c>
      <c r="I29" s="10" t="s">
        <v>427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4</v>
      </c>
      <c r="D30" s="9" t="s">
        <v>54</v>
      </c>
      <c r="E30" s="10" t="s">
        <v>152</v>
      </c>
      <c r="F30" s="9" t="s">
        <v>230</v>
      </c>
      <c r="G30" s="10" t="s">
        <v>294</v>
      </c>
      <c r="H30" s="9" t="s">
        <v>361</v>
      </c>
      <c r="I30" s="10" t="s">
        <v>427</v>
      </c>
      <c r="J30" s="9">
        <v>5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6</v>
      </c>
      <c r="D31" s="7" t="s">
        <v>55</v>
      </c>
      <c r="E31" s="8" t="s">
        <v>153</v>
      </c>
      <c r="F31" s="7" t="s">
        <v>231</v>
      </c>
      <c r="G31" s="8" t="s">
        <v>295</v>
      </c>
      <c r="H31" s="7" t="s">
        <v>362</v>
      </c>
      <c r="I31" s="10" t="s">
        <v>427</v>
      </c>
      <c r="J31" s="7">
        <v>4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3</v>
      </c>
      <c r="D32" s="9" t="s">
        <v>56</v>
      </c>
      <c r="E32" s="10" t="s">
        <v>154</v>
      </c>
      <c r="F32" s="9" t="s">
        <v>232</v>
      </c>
      <c r="G32" s="10" t="s">
        <v>296</v>
      </c>
      <c r="H32" s="9" t="s">
        <v>363</v>
      </c>
      <c r="I32" s="10" t="s">
        <v>427</v>
      </c>
      <c r="J32" s="9">
        <v>16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5</v>
      </c>
      <c r="D33" s="7" t="s">
        <v>57</v>
      </c>
      <c r="E33" s="8" t="s">
        <v>155</v>
      </c>
      <c r="F33" s="7" t="s">
        <v>233</v>
      </c>
      <c r="G33" s="8" t="s">
        <v>297</v>
      </c>
      <c r="H33" s="7" t="s">
        <v>362</v>
      </c>
      <c r="I33" s="10" t="s">
        <v>427</v>
      </c>
      <c r="J33" s="7">
        <v>4</v>
      </c>
      <c r="K33" s="7"/>
    </row>
    <row r="34" spans="1:11" ht="24.75" thickBot="1" x14ac:dyDescent="0.3">
      <c r="A34" s="1"/>
      <c r="B34" s="11">
        <f t="shared" si="0"/>
        <v>32</v>
      </c>
      <c r="C34" s="13" t="s">
        <v>7</v>
      </c>
      <c r="D34" s="9" t="s">
        <v>58</v>
      </c>
      <c r="E34" s="10" t="s">
        <v>156</v>
      </c>
      <c r="F34" s="9" t="s">
        <v>228</v>
      </c>
      <c r="G34" s="10" t="s">
        <v>298</v>
      </c>
      <c r="H34" s="9" t="s">
        <v>362</v>
      </c>
      <c r="I34" s="10" t="s">
        <v>427</v>
      </c>
      <c r="J34" s="9">
        <v>12</v>
      </c>
      <c r="K34" s="9"/>
    </row>
    <row r="35" spans="1:11" ht="48.75" thickBot="1" x14ac:dyDescent="0.3">
      <c r="A35" s="1"/>
      <c r="B35" s="11">
        <f>ROW(B35) - ROW($B$2)</f>
        <v>33</v>
      </c>
      <c r="C35" s="12" t="s">
        <v>4</v>
      </c>
      <c r="D35" s="7" t="s">
        <v>59</v>
      </c>
      <c r="E35" s="8" t="s">
        <v>157</v>
      </c>
      <c r="F35" s="7" t="s">
        <v>234</v>
      </c>
      <c r="G35" s="8" t="s">
        <v>299</v>
      </c>
      <c r="H35" s="7" t="s">
        <v>362</v>
      </c>
      <c r="I35" s="10" t="s">
        <v>427</v>
      </c>
      <c r="J35" s="7">
        <v>28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4</v>
      </c>
      <c r="D36" s="9" t="s">
        <v>60</v>
      </c>
      <c r="E36" s="10" t="s">
        <v>158</v>
      </c>
      <c r="F36" s="9" t="s">
        <v>235</v>
      </c>
      <c r="G36" s="10" t="s">
        <v>300</v>
      </c>
      <c r="H36" s="9" t="s">
        <v>362</v>
      </c>
      <c r="I36" s="10" t="s">
        <v>427</v>
      </c>
      <c r="J36" s="9">
        <v>24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4</v>
      </c>
      <c r="D37" s="7" t="s">
        <v>61</v>
      </c>
      <c r="E37" s="8" t="s">
        <v>159</v>
      </c>
      <c r="F37" s="7" t="s">
        <v>229</v>
      </c>
      <c r="G37" s="8" t="s">
        <v>301</v>
      </c>
      <c r="H37" s="7" t="s">
        <v>362</v>
      </c>
      <c r="I37" s="10" t="s">
        <v>427</v>
      </c>
      <c r="J37" s="7">
        <v>4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8</v>
      </c>
      <c r="D38" s="9" t="s">
        <v>62</v>
      </c>
      <c r="E38" s="10" t="s">
        <v>160</v>
      </c>
      <c r="F38" s="9" t="s">
        <v>236</v>
      </c>
      <c r="G38" s="10" t="s">
        <v>302</v>
      </c>
      <c r="H38" s="9" t="s">
        <v>364</v>
      </c>
      <c r="I38" s="10" t="s">
        <v>427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9</v>
      </c>
      <c r="D39" s="7" t="s">
        <v>63</v>
      </c>
      <c r="E39" s="8" t="s">
        <v>161</v>
      </c>
      <c r="F39" s="7" t="s">
        <v>237</v>
      </c>
      <c r="G39" s="8" t="s">
        <v>237</v>
      </c>
      <c r="H39" s="7" t="s">
        <v>365</v>
      </c>
      <c r="I39" s="10" t="s">
        <v>427</v>
      </c>
      <c r="J39" s="7">
        <v>5</v>
      </c>
      <c r="K39" s="7"/>
    </row>
    <row r="40" spans="1:11" ht="48.75" thickBot="1" x14ac:dyDescent="0.3">
      <c r="A40" s="1"/>
      <c r="B40" s="11">
        <f t="shared" si="0"/>
        <v>38</v>
      </c>
      <c r="C40" s="13" t="s">
        <v>10</v>
      </c>
      <c r="D40" s="9" t="s">
        <v>64</v>
      </c>
      <c r="E40" s="10" t="s">
        <v>162</v>
      </c>
      <c r="F40" s="9" t="s">
        <v>238</v>
      </c>
      <c r="G40" s="10" t="s">
        <v>238</v>
      </c>
      <c r="H40" s="9" t="s">
        <v>366</v>
      </c>
      <c r="I40" s="10" t="s">
        <v>427</v>
      </c>
      <c r="J40" s="9">
        <v>1</v>
      </c>
      <c r="K40" s="9"/>
    </row>
    <row r="41" spans="1:11" ht="60.75" thickBot="1" x14ac:dyDescent="0.3">
      <c r="A41" s="1"/>
      <c r="B41" s="11">
        <f>ROW(B41) - ROW($B$2)</f>
        <v>39</v>
      </c>
      <c r="C41" s="12" t="s">
        <v>11</v>
      </c>
      <c r="D41" s="7" t="s">
        <v>65</v>
      </c>
      <c r="E41" s="8" t="s">
        <v>163</v>
      </c>
      <c r="F41" s="7" t="s">
        <v>239</v>
      </c>
      <c r="G41" s="8" t="s">
        <v>239</v>
      </c>
      <c r="H41" s="7" t="s">
        <v>367</v>
      </c>
      <c r="I41" s="10" t="s">
        <v>427</v>
      </c>
      <c r="J41" s="7">
        <v>1</v>
      </c>
      <c r="K41" s="7"/>
    </row>
    <row r="42" spans="1:11" ht="48.75" thickBot="1" x14ac:dyDescent="0.3">
      <c r="A42" s="1"/>
      <c r="B42" s="11">
        <f t="shared" si="0"/>
        <v>40</v>
      </c>
      <c r="C42" s="13" t="s">
        <v>12</v>
      </c>
      <c r="D42" s="9" t="s">
        <v>66</v>
      </c>
      <c r="E42" s="10" t="s">
        <v>164</v>
      </c>
      <c r="F42" s="9" t="s">
        <v>240</v>
      </c>
      <c r="G42" s="10" t="s">
        <v>303</v>
      </c>
      <c r="H42" s="9" t="s">
        <v>368</v>
      </c>
      <c r="I42" s="10" t="s">
        <v>427</v>
      </c>
      <c r="J42" s="9">
        <v>16</v>
      </c>
      <c r="K42" s="9"/>
    </row>
    <row r="43" spans="1:11" ht="15.75" thickBot="1" x14ac:dyDescent="0.3">
      <c r="A43" s="1"/>
      <c r="B43" s="11">
        <f>ROW(B43) - ROW($B$2)</f>
        <v>41</v>
      </c>
      <c r="C43" s="12"/>
      <c r="D43" s="7" t="s">
        <v>67</v>
      </c>
      <c r="E43" s="8" t="s">
        <v>165</v>
      </c>
      <c r="F43" s="7" t="s">
        <v>241</v>
      </c>
      <c r="G43" s="8" t="s">
        <v>304</v>
      </c>
      <c r="H43" s="7" t="s">
        <v>369</v>
      </c>
      <c r="I43" s="10" t="s">
        <v>427</v>
      </c>
      <c r="J43" s="7">
        <v>4</v>
      </c>
      <c r="K43" s="7"/>
    </row>
    <row r="44" spans="1:11" ht="48.75" thickBot="1" x14ac:dyDescent="0.3">
      <c r="A44" s="1"/>
      <c r="B44" s="11">
        <f t="shared" si="0"/>
        <v>42</v>
      </c>
      <c r="C44" s="13" t="s">
        <v>12</v>
      </c>
      <c r="D44" s="9" t="s">
        <v>68</v>
      </c>
      <c r="E44" s="10" t="s">
        <v>166</v>
      </c>
      <c r="F44" s="9" t="s">
        <v>242</v>
      </c>
      <c r="G44" s="10" t="s">
        <v>305</v>
      </c>
      <c r="H44" s="9" t="s">
        <v>368</v>
      </c>
      <c r="I44" s="10" t="s">
        <v>427</v>
      </c>
      <c r="J44" s="9">
        <v>4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13</v>
      </c>
      <c r="D45" s="7" t="s">
        <v>69</v>
      </c>
      <c r="E45" s="8" t="s">
        <v>167</v>
      </c>
      <c r="F45" s="7" t="s">
        <v>243</v>
      </c>
      <c r="G45" s="8" t="s">
        <v>243</v>
      </c>
      <c r="H45" s="7" t="s">
        <v>370</v>
      </c>
      <c r="I45" s="10" t="s">
        <v>427</v>
      </c>
      <c r="J45" s="7">
        <v>4</v>
      </c>
      <c r="K45" s="7"/>
    </row>
    <row r="46" spans="1:11" ht="48.75" thickBot="1" x14ac:dyDescent="0.3">
      <c r="A46" s="1"/>
      <c r="B46" s="11">
        <f t="shared" si="0"/>
        <v>44</v>
      </c>
      <c r="C46" s="13" t="s">
        <v>10</v>
      </c>
      <c r="D46" s="9" t="s">
        <v>70</v>
      </c>
      <c r="E46" s="10" t="s">
        <v>168</v>
      </c>
      <c r="F46" s="9" t="s">
        <v>244</v>
      </c>
      <c r="G46" s="10" t="s">
        <v>244</v>
      </c>
      <c r="H46" s="9" t="s">
        <v>371</v>
      </c>
      <c r="I46" s="10" t="s">
        <v>427</v>
      </c>
      <c r="J46" s="9">
        <v>4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13</v>
      </c>
      <c r="D47" s="7" t="s">
        <v>71</v>
      </c>
      <c r="E47" s="8" t="s">
        <v>169</v>
      </c>
      <c r="F47" s="7" t="s">
        <v>245</v>
      </c>
      <c r="G47" s="8" t="s">
        <v>245</v>
      </c>
      <c r="H47" s="7" t="s">
        <v>370</v>
      </c>
      <c r="I47" s="10" t="s">
        <v>427</v>
      </c>
      <c r="J47" s="7">
        <v>4</v>
      </c>
      <c r="K47" s="7"/>
    </row>
    <row r="48" spans="1:11" ht="48.75" thickBot="1" x14ac:dyDescent="0.3">
      <c r="A48" s="1"/>
      <c r="B48" s="11">
        <f t="shared" si="0"/>
        <v>46</v>
      </c>
      <c r="C48" s="13" t="s">
        <v>12</v>
      </c>
      <c r="D48" s="9" t="s">
        <v>72</v>
      </c>
      <c r="E48" s="10" t="s">
        <v>170</v>
      </c>
      <c r="F48" s="9" t="s">
        <v>246</v>
      </c>
      <c r="G48" s="10" t="s">
        <v>306</v>
      </c>
      <c r="H48" s="9" t="s">
        <v>368</v>
      </c>
      <c r="I48" s="10" t="s">
        <v>427</v>
      </c>
      <c r="J48" s="9">
        <v>4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14</v>
      </c>
      <c r="D49" s="7" t="s">
        <v>73</v>
      </c>
      <c r="E49" s="8" t="s">
        <v>171</v>
      </c>
      <c r="F49" s="7" t="s">
        <v>247</v>
      </c>
      <c r="G49" s="8" t="s">
        <v>247</v>
      </c>
      <c r="H49" s="7" t="s">
        <v>360</v>
      </c>
      <c r="I49" s="8" t="s">
        <v>394</v>
      </c>
      <c r="J49" s="7">
        <v>1</v>
      </c>
      <c r="K49" s="7"/>
    </row>
    <row r="50" spans="1:11" ht="24.75" thickBot="1" x14ac:dyDescent="0.3">
      <c r="A50" s="1"/>
      <c r="B50" s="11">
        <f t="shared" si="0"/>
        <v>48</v>
      </c>
      <c r="C50" s="13" t="s">
        <v>15</v>
      </c>
      <c r="D50" s="9" t="s">
        <v>74</v>
      </c>
      <c r="E50" s="10" t="s">
        <v>172</v>
      </c>
      <c r="F50" s="9" t="s">
        <v>248</v>
      </c>
      <c r="G50" s="10" t="s">
        <v>248</v>
      </c>
      <c r="H50" s="9" t="s">
        <v>372</v>
      </c>
      <c r="I50" s="10" t="s">
        <v>395</v>
      </c>
      <c r="J50" s="9">
        <v>4</v>
      </c>
      <c r="K50" s="9"/>
    </row>
    <row r="51" spans="1:11" ht="24.75" thickBot="1" x14ac:dyDescent="0.3">
      <c r="A51" s="1"/>
      <c r="B51" s="11">
        <f>ROW(B51) - ROW($B$2)</f>
        <v>49</v>
      </c>
      <c r="C51" s="12" t="s">
        <v>16</v>
      </c>
      <c r="D51" s="7" t="s">
        <v>75</v>
      </c>
      <c r="E51" s="8" t="s">
        <v>173</v>
      </c>
      <c r="F51" s="7" t="s">
        <v>249</v>
      </c>
      <c r="G51" s="8" t="s">
        <v>307</v>
      </c>
      <c r="H51" s="7" t="s">
        <v>373</v>
      </c>
      <c r="I51" s="8" t="s">
        <v>427</v>
      </c>
      <c r="J51" s="7">
        <v>7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17</v>
      </c>
      <c r="D52" s="9" t="s">
        <v>76</v>
      </c>
      <c r="E52" s="10" t="s">
        <v>174</v>
      </c>
      <c r="F52" s="9" t="s">
        <v>250</v>
      </c>
      <c r="G52" s="10" t="s">
        <v>250</v>
      </c>
      <c r="H52" s="9" t="s">
        <v>374</v>
      </c>
      <c r="I52" s="8" t="s">
        <v>427</v>
      </c>
      <c r="J52" s="9">
        <v>4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18</v>
      </c>
      <c r="D53" s="7" t="s">
        <v>77</v>
      </c>
      <c r="E53" s="8" t="s">
        <v>175</v>
      </c>
      <c r="F53" s="7" t="s">
        <v>251</v>
      </c>
      <c r="G53" s="8" t="s">
        <v>308</v>
      </c>
      <c r="H53" s="7" t="s">
        <v>375</v>
      </c>
      <c r="I53" s="8" t="s">
        <v>427</v>
      </c>
      <c r="J53" s="7">
        <v>4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19</v>
      </c>
      <c r="D54" s="9" t="s">
        <v>78</v>
      </c>
      <c r="E54" s="10" t="s">
        <v>176</v>
      </c>
      <c r="F54" s="9" t="s">
        <v>252</v>
      </c>
      <c r="G54" s="10" t="s">
        <v>309</v>
      </c>
      <c r="H54" s="9" t="s">
        <v>6</v>
      </c>
      <c r="I54" s="8" t="s">
        <v>427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3" t="s">
        <v>19</v>
      </c>
      <c r="D55" s="7" t="s">
        <v>79</v>
      </c>
      <c r="E55" s="8" t="s">
        <v>177</v>
      </c>
      <c r="F55" s="7" t="s">
        <v>253</v>
      </c>
      <c r="G55" s="8" t="s">
        <v>310</v>
      </c>
      <c r="H55" s="7" t="s">
        <v>361</v>
      </c>
      <c r="I55" s="8" t="s">
        <v>427</v>
      </c>
      <c r="J55" s="7">
        <v>4</v>
      </c>
      <c r="K55" s="7"/>
    </row>
    <row r="56" spans="1:11" ht="36.75" thickBot="1" x14ac:dyDescent="0.3">
      <c r="A56" s="1"/>
      <c r="B56" s="11">
        <f t="shared" si="0"/>
        <v>54</v>
      </c>
      <c r="C56" s="13" t="s">
        <v>19</v>
      </c>
      <c r="D56" s="9" t="s">
        <v>80</v>
      </c>
      <c r="E56" s="10" t="s">
        <v>178</v>
      </c>
      <c r="F56" s="9" t="s">
        <v>254</v>
      </c>
      <c r="G56" s="10" t="s">
        <v>311</v>
      </c>
      <c r="H56" s="9" t="s">
        <v>362</v>
      </c>
      <c r="I56" s="8" t="s">
        <v>427</v>
      </c>
      <c r="J56" s="9">
        <v>28</v>
      </c>
      <c r="K56" s="9"/>
    </row>
    <row r="57" spans="1:11" ht="15.75" thickBot="1" x14ac:dyDescent="0.3">
      <c r="A57" s="1"/>
      <c r="B57" s="11">
        <f>ROW(B57) - ROW($B$2)</f>
        <v>55</v>
      </c>
      <c r="C57" s="13" t="s">
        <v>19</v>
      </c>
      <c r="D57" s="7" t="s">
        <v>81</v>
      </c>
      <c r="E57" s="8" t="s">
        <v>179</v>
      </c>
      <c r="F57" s="7" t="s">
        <v>255</v>
      </c>
      <c r="G57" s="8" t="s">
        <v>312</v>
      </c>
      <c r="H57" s="7" t="s">
        <v>362</v>
      </c>
      <c r="I57" s="8" t="s">
        <v>427</v>
      </c>
      <c r="J57" s="7">
        <v>4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20</v>
      </c>
      <c r="D58" s="9" t="s">
        <v>82</v>
      </c>
      <c r="E58" s="10" t="s">
        <v>180</v>
      </c>
      <c r="F58" s="9" t="s">
        <v>256</v>
      </c>
      <c r="G58" s="10" t="s">
        <v>313</v>
      </c>
      <c r="H58" s="9" t="s">
        <v>353</v>
      </c>
      <c r="I58" s="10" t="s">
        <v>396</v>
      </c>
      <c r="J58" s="9">
        <v>5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20</v>
      </c>
      <c r="D59" s="7" t="s">
        <v>83</v>
      </c>
      <c r="E59" s="8" t="s">
        <v>181</v>
      </c>
      <c r="F59" s="7" t="s">
        <v>257</v>
      </c>
      <c r="G59" s="8" t="s">
        <v>314</v>
      </c>
      <c r="H59" s="7" t="s">
        <v>353</v>
      </c>
      <c r="I59" s="8" t="s">
        <v>397</v>
      </c>
      <c r="J59" s="7">
        <v>5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20</v>
      </c>
      <c r="D60" s="9" t="s">
        <v>84</v>
      </c>
      <c r="E60" s="10" t="s">
        <v>182</v>
      </c>
      <c r="F60" s="9" t="s">
        <v>256</v>
      </c>
      <c r="G60" s="10" t="s">
        <v>315</v>
      </c>
      <c r="H60" s="9" t="s">
        <v>353</v>
      </c>
      <c r="I60" s="10" t="s">
        <v>398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20</v>
      </c>
      <c r="D61" s="7" t="s">
        <v>85</v>
      </c>
      <c r="E61" s="8" t="s">
        <v>183</v>
      </c>
      <c r="F61" s="7" t="s">
        <v>257</v>
      </c>
      <c r="G61" s="8" t="s">
        <v>316</v>
      </c>
      <c r="H61" s="7" t="s">
        <v>353</v>
      </c>
      <c r="I61" s="8" t="s">
        <v>396</v>
      </c>
      <c r="J61" s="7">
        <v>2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21</v>
      </c>
      <c r="D62" s="9" t="s">
        <v>86</v>
      </c>
      <c r="E62" s="10" t="s">
        <v>184</v>
      </c>
      <c r="F62" s="9" t="s">
        <v>256</v>
      </c>
      <c r="G62" s="10" t="s">
        <v>317</v>
      </c>
      <c r="H62" s="9" t="s">
        <v>353</v>
      </c>
      <c r="I62" s="10" t="s">
        <v>399</v>
      </c>
      <c r="J62" s="9">
        <v>1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21</v>
      </c>
      <c r="D63" s="7" t="s">
        <v>87</v>
      </c>
      <c r="E63" s="8" t="s">
        <v>185</v>
      </c>
      <c r="F63" s="7" t="s">
        <v>257</v>
      </c>
      <c r="G63" s="8" t="s">
        <v>318</v>
      </c>
      <c r="H63" s="7" t="s">
        <v>353</v>
      </c>
      <c r="I63" s="8" t="s">
        <v>400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21</v>
      </c>
      <c r="D64" s="9" t="s">
        <v>88</v>
      </c>
      <c r="E64" s="10" t="s">
        <v>186</v>
      </c>
      <c r="F64" s="9" t="s">
        <v>257</v>
      </c>
      <c r="G64" s="10" t="s">
        <v>319</v>
      </c>
      <c r="H64" s="9" t="s">
        <v>353</v>
      </c>
      <c r="I64" s="10" t="s">
        <v>401</v>
      </c>
      <c r="J64" s="9">
        <v>1</v>
      </c>
      <c r="K64" s="9"/>
    </row>
    <row r="65" spans="1:11" ht="15.75" thickBot="1" x14ac:dyDescent="0.3">
      <c r="A65" s="1"/>
      <c r="B65" s="11">
        <f>ROW(B65) - ROW($B$2)</f>
        <v>63</v>
      </c>
      <c r="C65" s="13" t="s">
        <v>21</v>
      </c>
      <c r="D65" s="7" t="s">
        <v>89</v>
      </c>
      <c r="E65" s="8" t="s">
        <v>187</v>
      </c>
      <c r="F65" s="7" t="s">
        <v>257</v>
      </c>
      <c r="G65" s="8" t="s">
        <v>320</v>
      </c>
      <c r="H65" s="7" t="s">
        <v>353</v>
      </c>
      <c r="I65" s="8" t="s">
        <v>402</v>
      </c>
      <c r="J65" s="7">
        <v>1</v>
      </c>
      <c r="K65" s="7"/>
    </row>
    <row r="66" spans="1:11" ht="360.75" thickBot="1" x14ac:dyDescent="0.3">
      <c r="A66" s="1"/>
      <c r="B66" s="11">
        <f t="shared" si="0"/>
        <v>64</v>
      </c>
      <c r="C66" s="13" t="s">
        <v>21</v>
      </c>
      <c r="D66" s="9" t="s">
        <v>90</v>
      </c>
      <c r="E66" s="10" t="s">
        <v>188</v>
      </c>
      <c r="F66" s="9" t="s">
        <v>257</v>
      </c>
      <c r="G66" s="10" t="s">
        <v>321</v>
      </c>
      <c r="H66" s="9" t="s">
        <v>353</v>
      </c>
      <c r="I66" s="10" t="s">
        <v>403</v>
      </c>
      <c r="J66" s="9">
        <v>214</v>
      </c>
      <c r="K66" s="9"/>
    </row>
    <row r="67" spans="1:11" ht="48.75" thickBot="1" x14ac:dyDescent="0.3">
      <c r="A67" s="1"/>
      <c r="B67" s="11">
        <f>ROW(B67) - ROW($B$2)</f>
        <v>65</v>
      </c>
      <c r="C67" s="12" t="s">
        <v>21</v>
      </c>
      <c r="D67" s="7" t="s">
        <v>91</v>
      </c>
      <c r="E67" s="8" t="s">
        <v>189</v>
      </c>
      <c r="F67" s="7" t="s">
        <v>257</v>
      </c>
      <c r="G67" s="8" t="s">
        <v>322</v>
      </c>
      <c r="H67" s="7" t="s">
        <v>353</v>
      </c>
      <c r="I67" s="8" t="s">
        <v>404</v>
      </c>
      <c r="J67" s="7">
        <v>28</v>
      </c>
      <c r="K67" s="7"/>
    </row>
    <row r="68" spans="1:11" ht="108.75" thickBot="1" x14ac:dyDescent="0.3">
      <c r="A68" s="1"/>
      <c r="B68" s="11">
        <f t="shared" si="0"/>
        <v>66</v>
      </c>
      <c r="C68" s="13" t="s">
        <v>20</v>
      </c>
      <c r="D68" s="9" t="s">
        <v>92</v>
      </c>
      <c r="E68" s="10" t="s">
        <v>190</v>
      </c>
      <c r="F68" s="9" t="s">
        <v>257</v>
      </c>
      <c r="G68" s="10" t="s">
        <v>323</v>
      </c>
      <c r="H68" s="9" t="s">
        <v>353</v>
      </c>
      <c r="I68" s="10" t="s">
        <v>405</v>
      </c>
      <c r="J68" s="9">
        <v>59</v>
      </c>
      <c r="K68" s="9"/>
    </row>
    <row r="69" spans="1:11" ht="120.75" thickBot="1" x14ac:dyDescent="0.3">
      <c r="A69" s="1"/>
      <c r="B69" s="11">
        <f>ROW(B69) - ROW($B$2)</f>
        <v>67</v>
      </c>
      <c r="C69" s="12" t="s">
        <v>20</v>
      </c>
      <c r="D69" s="7" t="s">
        <v>93</v>
      </c>
      <c r="E69" s="8" t="s">
        <v>191</v>
      </c>
      <c r="F69" s="7" t="s">
        <v>258</v>
      </c>
      <c r="G69" s="8" t="s">
        <v>324</v>
      </c>
      <c r="H69" s="7" t="s">
        <v>353</v>
      </c>
      <c r="I69" s="8" t="s">
        <v>403</v>
      </c>
      <c r="J69" s="7">
        <v>68</v>
      </c>
      <c r="K69" s="7"/>
    </row>
    <row r="70" spans="1:11" ht="15.75" thickBot="1" x14ac:dyDescent="0.3">
      <c r="A70" s="1"/>
      <c r="B70" s="11">
        <f t="shared" si="0"/>
        <v>68</v>
      </c>
      <c r="C70" s="13" t="s">
        <v>20</v>
      </c>
      <c r="D70" s="9" t="s">
        <v>94</v>
      </c>
      <c r="E70" s="10" t="s">
        <v>192</v>
      </c>
      <c r="F70" s="9" t="s">
        <v>257</v>
      </c>
      <c r="G70" s="10" t="s">
        <v>325</v>
      </c>
      <c r="H70" s="9" t="s">
        <v>353</v>
      </c>
      <c r="I70" s="10" t="s">
        <v>396</v>
      </c>
      <c r="J70" s="9">
        <v>4</v>
      </c>
      <c r="K70" s="9"/>
    </row>
    <row r="71" spans="1:11" ht="15.75" thickBot="1" x14ac:dyDescent="0.3">
      <c r="A71" s="1"/>
      <c r="B71" s="11">
        <f>ROW(B71) - ROW($B$2)</f>
        <v>69</v>
      </c>
      <c r="C71" s="12"/>
      <c r="D71" s="7" t="s">
        <v>95</v>
      </c>
      <c r="E71" s="8" t="s">
        <v>193</v>
      </c>
      <c r="F71" s="7" t="s">
        <v>257</v>
      </c>
      <c r="G71" s="8" t="s">
        <v>326</v>
      </c>
      <c r="H71" s="7" t="s">
        <v>353</v>
      </c>
      <c r="I71" s="8" t="s">
        <v>406</v>
      </c>
      <c r="J71" s="7">
        <v>4</v>
      </c>
      <c r="K71" s="7"/>
    </row>
    <row r="72" spans="1:11" ht="24.75" thickBot="1" x14ac:dyDescent="0.3">
      <c r="A72" s="1"/>
      <c r="B72" s="11">
        <f t="shared" si="0"/>
        <v>70</v>
      </c>
      <c r="C72" s="13" t="s">
        <v>20</v>
      </c>
      <c r="D72" s="9" t="s">
        <v>96</v>
      </c>
      <c r="E72" s="10" t="s">
        <v>194</v>
      </c>
      <c r="F72" s="9" t="s">
        <v>259</v>
      </c>
      <c r="G72" s="10" t="s">
        <v>327</v>
      </c>
      <c r="H72" s="9" t="s">
        <v>353</v>
      </c>
      <c r="I72" s="10" t="s">
        <v>407</v>
      </c>
      <c r="J72" s="9">
        <v>12</v>
      </c>
      <c r="K72" s="9"/>
    </row>
    <row r="73" spans="1:11" ht="26.25" thickBot="1" x14ac:dyDescent="0.3">
      <c r="A73" s="1"/>
      <c r="B73" s="11">
        <f>ROW(B73) - ROW($B$2)</f>
        <v>71</v>
      </c>
      <c r="C73" s="12" t="s">
        <v>21</v>
      </c>
      <c r="D73" s="15" t="s">
        <v>97</v>
      </c>
      <c r="E73" s="16" t="s">
        <v>188</v>
      </c>
      <c r="F73" s="15" t="s">
        <v>257</v>
      </c>
      <c r="G73" s="16" t="s">
        <v>321</v>
      </c>
      <c r="H73" s="15" t="s">
        <v>353</v>
      </c>
      <c r="I73" s="16" t="s">
        <v>408</v>
      </c>
      <c r="J73" s="15">
        <v>4</v>
      </c>
      <c r="K73" s="17" t="s">
        <v>428</v>
      </c>
    </row>
    <row r="74" spans="1:11" ht="15.75" thickBot="1" x14ac:dyDescent="0.3">
      <c r="A74" s="1"/>
      <c r="B74" s="11">
        <f t="shared" si="0"/>
        <v>72</v>
      </c>
      <c r="C74" s="13" t="s">
        <v>20</v>
      </c>
      <c r="D74" s="9" t="s">
        <v>98</v>
      </c>
      <c r="E74" s="10" t="s">
        <v>195</v>
      </c>
      <c r="F74" s="9" t="s">
        <v>257</v>
      </c>
      <c r="G74" s="10" t="s">
        <v>328</v>
      </c>
      <c r="H74" s="9" t="s">
        <v>353</v>
      </c>
      <c r="I74" s="10" t="s">
        <v>409</v>
      </c>
      <c r="J74" s="9">
        <v>4</v>
      </c>
      <c r="K74" s="9"/>
    </row>
    <row r="75" spans="1:11" ht="24.75" thickBot="1" x14ac:dyDescent="0.3">
      <c r="A75" s="1"/>
      <c r="B75" s="11">
        <f>ROW(B75) - ROW($B$2)</f>
        <v>73</v>
      </c>
      <c r="C75" s="13" t="s">
        <v>20</v>
      </c>
      <c r="D75" s="7" t="s">
        <v>99</v>
      </c>
      <c r="E75" s="8" t="s">
        <v>196</v>
      </c>
      <c r="F75" s="7" t="s">
        <v>259</v>
      </c>
      <c r="G75" s="8" t="s">
        <v>329</v>
      </c>
      <c r="H75" s="7" t="s">
        <v>353</v>
      </c>
      <c r="I75" s="8" t="s">
        <v>410</v>
      </c>
      <c r="J75" s="7">
        <v>12</v>
      </c>
      <c r="K75" s="7"/>
    </row>
    <row r="76" spans="1:11" ht="24.75" thickBot="1" x14ac:dyDescent="0.3">
      <c r="A76" s="1"/>
      <c r="B76" s="11">
        <f t="shared" si="0"/>
        <v>74</v>
      </c>
      <c r="C76" s="13" t="s">
        <v>20</v>
      </c>
      <c r="D76" s="9" t="s">
        <v>100</v>
      </c>
      <c r="E76" s="10" t="s">
        <v>197</v>
      </c>
      <c r="F76" s="9" t="s">
        <v>259</v>
      </c>
      <c r="G76" s="10" t="s">
        <v>330</v>
      </c>
      <c r="H76" s="9" t="s">
        <v>353</v>
      </c>
      <c r="I76" s="10" t="s">
        <v>411</v>
      </c>
      <c r="J76" s="9">
        <v>12</v>
      </c>
      <c r="K76" s="9"/>
    </row>
    <row r="77" spans="1:11" ht="48.75" thickBot="1" x14ac:dyDescent="0.3">
      <c r="A77" s="1"/>
      <c r="B77" s="11">
        <f>ROW(B77) - ROW($B$2)</f>
        <v>75</v>
      </c>
      <c r="C77" s="13" t="s">
        <v>20</v>
      </c>
      <c r="D77" s="7" t="s">
        <v>101</v>
      </c>
      <c r="E77" s="8" t="s">
        <v>198</v>
      </c>
      <c r="F77" s="7" t="s">
        <v>257</v>
      </c>
      <c r="G77" s="8" t="s">
        <v>331</v>
      </c>
      <c r="H77" s="7" t="s">
        <v>353</v>
      </c>
      <c r="I77" s="8" t="s">
        <v>412</v>
      </c>
      <c r="J77" s="7">
        <v>24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20</v>
      </c>
      <c r="D78" s="9" t="s">
        <v>102</v>
      </c>
      <c r="E78" s="10" t="s">
        <v>199</v>
      </c>
      <c r="F78" s="9" t="s">
        <v>259</v>
      </c>
      <c r="G78" s="10" t="s">
        <v>332</v>
      </c>
      <c r="H78" s="9" t="s">
        <v>353</v>
      </c>
      <c r="I78" s="10" t="s">
        <v>397</v>
      </c>
      <c r="J78" s="9">
        <v>12</v>
      </c>
      <c r="K78" s="9"/>
    </row>
    <row r="79" spans="1:11" ht="15.75" thickBot="1" x14ac:dyDescent="0.3">
      <c r="A79" s="1"/>
      <c r="B79" s="11">
        <f>ROW(B79) - ROW($B$2)</f>
        <v>77</v>
      </c>
      <c r="C79" s="12" t="s">
        <v>20</v>
      </c>
      <c r="D79" s="7" t="s">
        <v>103</v>
      </c>
      <c r="E79" s="8" t="s">
        <v>200</v>
      </c>
      <c r="F79" s="7" t="s">
        <v>257</v>
      </c>
      <c r="G79" s="8" t="s">
        <v>333</v>
      </c>
      <c r="H79" s="7" t="s">
        <v>353</v>
      </c>
      <c r="I79" s="8" t="s">
        <v>413</v>
      </c>
      <c r="J79" s="7">
        <v>8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21</v>
      </c>
      <c r="D80" s="9" t="s">
        <v>104</v>
      </c>
      <c r="E80" s="10" t="s">
        <v>201</v>
      </c>
      <c r="F80" s="9" t="s">
        <v>257</v>
      </c>
      <c r="G80" s="10" t="s">
        <v>334</v>
      </c>
      <c r="H80" s="9" t="s">
        <v>353</v>
      </c>
      <c r="I80" s="10" t="s">
        <v>414</v>
      </c>
      <c r="J80" s="9">
        <v>12</v>
      </c>
      <c r="K80" s="9"/>
    </row>
    <row r="81" spans="1:11" ht="36.75" thickBot="1" x14ac:dyDescent="0.3">
      <c r="A81" s="1"/>
      <c r="B81" s="11">
        <f>ROW(B81) - ROW($B$2)</f>
        <v>79</v>
      </c>
      <c r="C81" s="12" t="s">
        <v>20</v>
      </c>
      <c r="D81" s="7" t="s">
        <v>105</v>
      </c>
      <c r="E81" s="8" t="s">
        <v>202</v>
      </c>
      <c r="F81" s="7" t="s">
        <v>259</v>
      </c>
      <c r="G81" s="8" t="s">
        <v>335</v>
      </c>
      <c r="H81" s="7" t="s">
        <v>376</v>
      </c>
      <c r="I81" s="8" t="s">
        <v>415</v>
      </c>
      <c r="J81" s="7">
        <v>4</v>
      </c>
      <c r="K81" s="7"/>
    </row>
    <row r="82" spans="1:11" ht="36.75" thickBot="1" x14ac:dyDescent="0.3">
      <c r="A82" s="1"/>
      <c r="B82" s="11">
        <f t="shared" si="0"/>
        <v>80</v>
      </c>
      <c r="C82" s="13" t="s">
        <v>22</v>
      </c>
      <c r="D82" s="9" t="s">
        <v>106</v>
      </c>
      <c r="E82" s="10" t="s">
        <v>203</v>
      </c>
      <c r="F82" s="9" t="s">
        <v>260</v>
      </c>
      <c r="G82" s="10" t="s">
        <v>260</v>
      </c>
      <c r="H82" s="9" t="s">
        <v>377</v>
      </c>
      <c r="I82" s="10" t="s">
        <v>396</v>
      </c>
      <c r="J82" s="9">
        <v>4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20</v>
      </c>
      <c r="D83" s="7" t="s">
        <v>107</v>
      </c>
      <c r="E83" s="8" t="s">
        <v>204</v>
      </c>
      <c r="F83" s="7" t="s">
        <v>259</v>
      </c>
      <c r="G83" s="8" t="s">
        <v>336</v>
      </c>
      <c r="H83" s="7" t="s">
        <v>353</v>
      </c>
      <c r="I83" s="8" t="s">
        <v>416</v>
      </c>
      <c r="J83" s="7">
        <v>4</v>
      </c>
      <c r="K83" s="7"/>
    </row>
    <row r="84" spans="1:11" ht="15.75" thickBot="1" x14ac:dyDescent="0.3">
      <c r="A84" s="1"/>
      <c r="B84" s="11">
        <f t="shared" si="0"/>
        <v>82</v>
      </c>
      <c r="C84" s="13" t="s">
        <v>20</v>
      </c>
      <c r="D84" s="9" t="s">
        <v>108</v>
      </c>
      <c r="E84" s="10" t="s">
        <v>205</v>
      </c>
      <c r="F84" s="9" t="s">
        <v>257</v>
      </c>
      <c r="G84" s="10" t="s">
        <v>337</v>
      </c>
      <c r="H84" s="9" t="s">
        <v>353</v>
      </c>
      <c r="I84" s="10" t="s">
        <v>417</v>
      </c>
      <c r="J84" s="9">
        <v>4</v>
      </c>
      <c r="K84" s="9"/>
    </row>
    <row r="85" spans="1:11" ht="48.75" thickBot="1" x14ac:dyDescent="0.3">
      <c r="A85" s="1"/>
      <c r="B85" s="11">
        <f>ROW(B85) - ROW($B$2)</f>
        <v>83</v>
      </c>
      <c r="C85" s="13" t="s">
        <v>20</v>
      </c>
      <c r="D85" s="7" t="s">
        <v>109</v>
      </c>
      <c r="E85" s="8" t="s">
        <v>206</v>
      </c>
      <c r="F85" s="7" t="s">
        <v>257</v>
      </c>
      <c r="G85" s="8" t="s">
        <v>338</v>
      </c>
      <c r="H85" s="7" t="s">
        <v>353</v>
      </c>
      <c r="I85" s="8" t="s">
        <v>418</v>
      </c>
      <c r="J85" s="7">
        <v>28</v>
      </c>
      <c r="K85" s="7"/>
    </row>
    <row r="86" spans="1:11" ht="48.75" thickBot="1" x14ac:dyDescent="0.3">
      <c r="A86" s="1"/>
      <c r="B86" s="11">
        <f t="shared" si="0"/>
        <v>84</v>
      </c>
      <c r="C86" s="13" t="s">
        <v>20</v>
      </c>
      <c r="D86" s="9" t="s">
        <v>110</v>
      </c>
      <c r="E86" s="10" t="s">
        <v>207</v>
      </c>
      <c r="F86" s="9" t="s">
        <v>261</v>
      </c>
      <c r="G86" s="10" t="s">
        <v>339</v>
      </c>
      <c r="H86" s="9" t="s">
        <v>360</v>
      </c>
      <c r="I86" s="10" t="s">
        <v>419</v>
      </c>
      <c r="J86" s="9">
        <v>24</v>
      </c>
      <c r="K86" s="9"/>
    </row>
    <row r="87" spans="1:11" ht="24.75" thickBot="1" x14ac:dyDescent="0.3">
      <c r="A87" s="1"/>
      <c r="B87" s="11">
        <f>ROW(B87) - ROW($B$2)</f>
        <v>85</v>
      </c>
      <c r="C87" s="12" t="s">
        <v>20</v>
      </c>
      <c r="D87" s="7" t="s">
        <v>111</v>
      </c>
      <c r="E87" s="8" t="s">
        <v>208</v>
      </c>
      <c r="F87" s="7" t="s">
        <v>259</v>
      </c>
      <c r="G87" s="8" t="s">
        <v>340</v>
      </c>
      <c r="H87" s="7" t="s">
        <v>353</v>
      </c>
      <c r="I87" s="8" t="s">
        <v>420</v>
      </c>
      <c r="J87" s="7">
        <v>12</v>
      </c>
      <c r="K87" s="7"/>
    </row>
    <row r="88" spans="1:11" ht="26.25" thickBot="1" x14ac:dyDescent="0.3">
      <c r="A88" s="1"/>
      <c r="B88" s="11">
        <f t="shared" si="0"/>
        <v>86</v>
      </c>
      <c r="C88" s="13" t="s">
        <v>20</v>
      </c>
      <c r="D88" s="15" t="s">
        <v>112</v>
      </c>
      <c r="E88" s="16" t="s">
        <v>190</v>
      </c>
      <c r="F88" s="15" t="s">
        <v>257</v>
      </c>
      <c r="G88" s="16" t="s">
        <v>323</v>
      </c>
      <c r="H88" s="15" t="s">
        <v>353</v>
      </c>
      <c r="I88" s="16" t="s">
        <v>408</v>
      </c>
      <c r="J88" s="15">
        <v>1</v>
      </c>
      <c r="K88" s="17" t="s">
        <v>428</v>
      </c>
    </row>
    <row r="89" spans="1:11" ht="15.75" thickBot="1" x14ac:dyDescent="0.3">
      <c r="A89" s="1"/>
      <c r="B89" s="11">
        <f>ROW(B89) - ROW($B$2)</f>
        <v>87</v>
      </c>
      <c r="C89" s="13" t="s">
        <v>20</v>
      </c>
      <c r="D89" s="7" t="s">
        <v>113</v>
      </c>
      <c r="E89" s="8" t="s">
        <v>209</v>
      </c>
      <c r="F89" s="7" t="s">
        <v>257</v>
      </c>
      <c r="G89" s="8" t="s">
        <v>341</v>
      </c>
      <c r="H89" s="7" t="s">
        <v>353</v>
      </c>
      <c r="I89" s="8" t="s">
        <v>421</v>
      </c>
      <c r="J89" s="7">
        <v>4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23</v>
      </c>
      <c r="D90" s="9" t="s">
        <v>114</v>
      </c>
      <c r="E90" s="10" t="s">
        <v>210</v>
      </c>
      <c r="F90" s="9" t="s">
        <v>259</v>
      </c>
      <c r="G90" s="10" t="s">
        <v>342</v>
      </c>
      <c r="H90" s="9" t="s">
        <v>354</v>
      </c>
      <c r="I90" s="10" t="s">
        <v>405</v>
      </c>
      <c r="J90" s="9">
        <v>4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24</v>
      </c>
      <c r="D91" s="7" t="s">
        <v>115</v>
      </c>
      <c r="E91" s="8" t="s">
        <v>211</v>
      </c>
      <c r="F91" s="7" t="s">
        <v>262</v>
      </c>
      <c r="G91" s="8" t="s">
        <v>262</v>
      </c>
      <c r="H91" s="7" t="s">
        <v>378</v>
      </c>
      <c r="I91" s="8" t="s">
        <v>427</v>
      </c>
      <c r="J91" s="7">
        <v>4</v>
      </c>
      <c r="K91" s="7"/>
    </row>
    <row r="92" spans="1:11" ht="36.75" thickBot="1" x14ac:dyDescent="0.3">
      <c r="A92" s="1"/>
      <c r="B92" s="11">
        <f t="shared" si="0"/>
        <v>90</v>
      </c>
      <c r="C92" s="13" t="s">
        <v>24</v>
      </c>
      <c r="D92" s="9" t="s">
        <v>116</v>
      </c>
      <c r="E92" s="10" t="s">
        <v>212</v>
      </c>
      <c r="F92" s="9" t="s">
        <v>263</v>
      </c>
      <c r="G92" s="10" t="s">
        <v>263</v>
      </c>
      <c r="H92" s="9" t="s">
        <v>379</v>
      </c>
      <c r="I92" s="8" t="s">
        <v>427</v>
      </c>
      <c r="J92" s="9">
        <v>4</v>
      </c>
      <c r="K92" s="9"/>
    </row>
    <row r="93" spans="1:11" ht="24.75" thickBot="1" x14ac:dyDescent="0.3">
      <c r="A93" s="1"/>
      <c r="B93" s="11">
        <f>ROW(B93) - ROW($B$2)</f>
        <v>91</v>
      </c>
      <c r="C93" s="12" t="s">
        <v>18</v>
      </c>
      <c r="D93" s="7" t="s">
        <v>117</v>
      </c>
      <c r="E93" s="8" t="s">
        <v>213</v>
      </c>
      <c r="F93" s="7" t="s">
        <v>255</v>
      </c>
      <c r="G93" s="8" t="s">
        <v>343</v>
      </c>
      <c r="H93" s="7" t="s">
        <v>375</v>
      </c>
      <c r="I93" s="8" t="s">
        <v>427</v>
      </c>
      <c r="J93" s="7">
        <v>5</v>
      </c>
      <c r="K93" s="7"/>
    </row>
    <row r="94" spans="1:11" ht="15.75" thickBot="1" x14ac:dyDescent="0.3">
      <c r="A94" s="1"/>
      <c r="B94" s="11">
        <f t="shared" si="0"/>
        <v>92</v>
      </c>
      <c r="C94" s="13" t="s">
        <v>18</v>
      </c>
      <c r="D94" s="9" t="s">
        <v>118</v>
      </c>
      <c r="E94" s="10" t="s">
        <v>214</v>
      </c>
      <c r="F94" s="9" t="s">
        <v>264</v>
      </c>
      <c r="G94" s="10" t="s">
        <v>344</v>
      </c>
      <c r="H94" s="9" t="s">
        <v>375</v>
      </c>
      <c r="I94" s="8" t="s">
        <v>427</v>
      </c>
      <c r="J94" s="9">
        <v>1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18</v>
      </c>
      <c r="D95" s="7" t="s">
        <v>119</v>
      </c>
      <c r="E95" s="8" t="s">
        <v>215</v>
      </c>
      <c r="F95" s="7" t="s">
        <v>265</v>
      </c>
      <c r="G95" s="8" t="s">
        <v>345</v>
      </c>
      <c r="H95" s="7" t="s">
        <v>362</v>
      </c>
      <c r="I95" s="8" t="s">
        <v>427</v>
      </c>
      <c r="J95" s="7">
        <v>1</v>
      </c>
      <c r="K95" s="7"/>
    </row>
    <row r="96" spans="1:11" ht="24.75" thickBot="1" x14ac:dyDescent="0.3">
      <c r="A96" s="1"/>
      <c r="B96" s="11">
        <f t="shared" si="0"/>
        <v>94</v>
      </c>
      <c r="C96" s="13" t="s">
        <v>18</v>
      </c>
      <c r="D96" s="9" t="s">
        <v>120</v>
      </c>
      <c r="E96" s="10" t="s">
        <v>216</v>
      </c>
      <c r="F96" s="9" t="s">
        <v>266</v>
      </c>
      <c r="G96" s="10" t="s">
        <v>346</v>
      </c>
      <c r="H96" s="9" t="s">
        <v>362</v>
      </c>
      <c r="I96" s="8" t="s">
        <v>427</v>
      </c>
      <c r="J96" s="9">
        <v>4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18</v>
      </c>
      <c r="D97" s="7" t="s">
        <v>121</v>
      </c>
      <c r="E97" s="8" t="s">
        <v>217</v>
      </c>
      <c r="F97" s="7" t="s">
        <v>267</v>
      </c>
      <c r="G97" s="8" t="s">
        <v>347</v>
      </c>
      <c r="H97" s="7" t="s">
        <v>375</v>
      </c>
      <c r="I97" s="8" t="s">
        <v>427</v>
      </c>
      <c r="J97" s="7">
        <v>8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18</v>
      </c>
      <c r="D98" s="9" t="s">
        <v>122</v>
      </c>
      <c r="E98" s="10" t="s">
        <v>217</v>
      </c>
      <c r="F98" s="9" t="s">
        <v>267</v>
      </c>
      <c r="G98" s="10" t="s">
        <v>348</v>
      </c>
      <c r="H98" s="9" t="s">
        <v>375</v>
      </c>
      <c r="I98" s="8" t="s">
        <v>427</v>
      </c>
      <c r="J98" s="9">
        <v>4</v>
      </c>
      <c r="K98" s="9"/>
    </row>
    <row r="99" spans="1:11" ht="36.75" thickBot="1" x14ac:dyDescent="0.3">
      <c r="A99" s="1"/>
      <c r="B99" s="11">
        <f>ROW(B99) - ROW($B$2)</f>
        <v>97</v>
      </c>
      <c r="C99" s="12" t="s">
        <v>25</v>
      </c>
      <c r="D99" s="7" t="s">
        <v>123</v>
      </c>
      <c r="E99" s="8" t="s">
        <v>218</v>
      </c>
      <c r="F99" s="7" t="s">
        <v>268</v>
      </c>
      <c r="G99" s="8" t="s">
        <v>349</v>
      </c>
      <c r="H99" s="7" t="s">
        <v>380</v>
      </c>
      <c r="I99" s="8" t="s">
        <v>422</v>
      </c>
      <c r="J99" s="7">
        <v>4</v>
      </c>
      <c r="K99" s="7"/>
    </row>
    <row r="100" spans="1:11" ht="24.75" thickBot="1" x14ac:dyDescent="0.3">
      <c r="B100" s="11">
        <f t="shared" ref="B100" si="1">ROW(B100) - ROW($B$2)</f>
        <v>98</v>
      </c>
      <c r="C100" s="13" t="s">
        <v>429</v>
      </c>
      <c r="D100" s="9" t="s">
        <v>430</v>
      </c>
      <c r="E100" s="10" t="s">
        <v>441</v>
      </c>
      <c r="F100" s="9" t="s">
        <v>431</v>
      </c>
      <c r="G100" s="10" t="s">
        <v>440</v>
      </c>
      <c r="H100" s="9" t="s">
        <v>364</v>
      </c>
      <c r="I100" s="10" t="s">
        <v>427</v>
      </c>
      <c r="J100" s="9">
        <v>1</v>
      </c>
      <c r="K100" s="9"/>
    </row>
    <row r="101" spans="1:11" ht="24.75" thickBot="1" x14ac:dyDescent="0.3">
      <c r="B101" s="11">
        <f>ROW(B101) - ROW($B$2)</f>
        <v>99</v>
      </c>
      <c r="C101" s="13" t="s">
        <v>429</v>
      </c>
      <c r="D101" s="9" t="s">
        <v>430</v>
      </c>
      <c r="E101" s="10" t="s">
        <v>443</v>
      </c>
      <c r="F101" s="9" t="s">
        <v>431</v>
      </c>
      <c r="G101" s="10" t="s">
        <v>442</v>
      </c>
      <c r="H101" s="9" t="s">
        <v>364</v>
      </c>
      <c r="I101" s="10" t="s">
        <v>427</v>
      </c>
      <c r="J101" s="9">
        <v>4</v>
      </c>
      <c r="K101" s="9"/>
    </row>
    <row r="102" spans="1:11" ht="24.75" thickBot="1" x14ac:dyDescent="0.3">
      <c r="B102" s="11">
        <f t="shared" ref="B102" si="2">ROW(B102) - ROW($B$2)</f>
        <v>100</v>
      </c>
      <c r="C102" s="13" t="s">
        <v>429</v>
      </c>
      <c r="D102" s="7" t="s">
        <v>432</v>
      </c>
      <c r="E102" s="8" t="s">
        <v>433</v>
      </c>
      <c r="F102" s="9" t="s">
        <v>431</v>
      </c>
      <c r="G102" s="8" t="s">
        <v>434</v>
      </c>
      <c r="H102" s="7" t="s">
        <v>435</v>
      </c>
      <c r="I102" s="10" t="s">
        <v>427</v>
      </c>
      <c r="J102" s="7">
        <v>8</v>
      </c>
      <c r="K102" s="7"/>
    </row>
    <row r="103" spans="1:11" ht="39" thickBot="1" x14ac:dyDescent="0.3">
      <c r="B103" s="11">
        <f>ROW(B103) - ROW($B$2)</f>
        <v>101</v>
      </c>
      <c r="C103" s="13" t="s">
        <v>429</v>
      </c>
      <c r="D103" s="7" t="s">
        <v>444</v>
      </c>
      <c r="E103" s="8" t="s">
        <v>427</v>
      </c>
      <c r="F103" s="9" t="s">
        <v>431</v>
      </c>
      <c r="G103" s="8" t="s">
        <v>427</v>
      </c>
      <c r="H103" s="7" t="s">
        <v>427</v>
      </c>
      <c r="I103" s="8" t="s">
        <v>427</v>
      </c>
      <c r="J103" s="7"/>
      <c r="K103" s="19" t="s">
        <v>445</v>
      </c>
    </row>
    <row r="104" spans="1:11" ht="39" thickBot="1" x14ac:dyDescent="0.3">
      <c r="B104" s="11">
        <f>ROW(B104) - ROW($B$2)</f>
        <v>102</v>
      </c>
      <c r="C104" s="13" t="s">
        <v>429</v>
      </c>
      <c r="D104" s="7" t="s">
        <v>436</v>
      </c>
      <c r="E104" s="8" t="s">
        <v>437</v>
      </c>
      <c r="F104" s="9" t="s">
        <v>431</v>
      </c>
      <c r="G104" s="8" t="s">
        <v>438</v>
      </c>
      <c r="H104" s="7" t="s">
        <v>427</v>
      </c>
      <c r="I104" s="8" t="s">
        <v>427</v>
      </c>
      <c r="J104" s="7">
        <v>1</v>
      </c>
      <c r="K104" s="19" t="s">
        <v>439</v>
      </c>
    </row>
    <row r="105" spans="1:11" ht="24.75" thickBot="1" x14ac:dyDescent="0.3">
      <c r="B105" s="11">
        <f>ROW(B105) - ROW($B$2)</f>
        <v>103</v>
      </c>
      <c r="C105" s="13" t="s">
        <v>429</v>
      </c>
      <c r="D105" s="7" t="s">
        <v>446</v>
      </c>
      <c r="E105" s="8" t="s">
        <v>427</v>
      </c>
      <c r="F105" s="9" t="s">
        <v>431</v>
      </c>
      <c r="G105" s="8" t="s">
        <v>447</v>
      </c>
      <c r="H105" s="7" t="s">
        <v>427</v>
      </c>
      <c r="I105" s="8" t="s">
        <v>427</v>
      </c>
      <c r="J105" s="7" t="s">
        <v>448</v>
      </c>
      <c r="K105" s="18" t="s">
        <v>449</v>
      </c>
    </row>
  </sheetData>
  <mergeCells count="1">
    <mergeCell ref="I1:K1"/>
  </mergeCells>
  <hyperlinks>
    <hyperlink ref="K105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2025-01-29T12:16:24Z</dcterms:modified>
</cp:coreProperties>
</file>